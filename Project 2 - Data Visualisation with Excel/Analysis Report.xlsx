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ink/ink1.xml" ContentType="application/inkml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ink/ink2.xml" ContentType="application/inkml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ginmei/Desktop/"/>
    </mc:Choice>
  </mc:AlternateContent>
  <xr:revisionPtr revIDLastSave="0" documentId="13_ncr:2001_{E3FDF3C0-A267-B54A-8D35-CA56A50B1E01}" xr6:coauthVersionLast="47" xr6:coauthVersionMax="47" xr10:uidLastSave="{00000000-0000-0000-0000-000000000000}"/>
  <bookViews>
    <workbookView xWindow="0" yWindow="500" windowWidth="17300" windowHeight="14520" xr2:uid="{00000000-000D-0000-FFFF-FFFF00000000}"/>
  </bookViews>
  <sheets>
    <sheet name="Equipe" sheetId="2" r:id="rId1"/>
    <sheet name="TCD" sheetId="4" r:id="rId2"/>
    <sheet name="Top 15" sheetId="6" r:id="rId3"/>
    <sheet name="Calcul des ratios" sheetId="7" r:id="rId4"/>
    <sheet name="Classements" sheetId="9" r:id="rId5"/>
    <sheet name="Données NBA" sheetId="1" r:id="rId6"/>
    <sheet name="Dictionnaire des données" sheetId="3" r:id="rId7"/>
  </sheets>
  <definedNames>
    <definedName name="_xlnm._FilterDatabase" localSheetId="3" hidden="1">'Calcul des ratios'!$A$1:$AO$1</definedName>
    <definedName name="_xlnm._FilterDatabase" localSheetId="5" hidden="1">'Données NBA'!$A$1:$AM$570</definedName>
    <definedName name="_xlchart.v1.0" hidden="1">Classements!$D$4:$D$33</definedName>
    <definedName name="_xlchart.v1.1" hidden="1">Classements!$E$3</definedName>
    <definedName name="_xlchart.v1.2" hidden="1">Classements!$E$4:$E$33</definedName>
  </definedNames>
  <calcPr calcId="191029"/>
  <pivotCaches>
    <pivotCache cacheId="2" r:id="rId8"/>
    <pivotCache cacheId="24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5" i="7" l="1"/>
  <c r="C550" i="7"/>
  <c r="C548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6" i="7"/>
  <c r="C567" i="7"/>
  <c r="C568" i="7"/>
  <c r="C569" i="7"/>
  <c r="C570" i="7"/>
  <c r="C2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Y1" i="7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" i="2"/>
  <c r="D2" i="2"/>
  <c r="A30" i="3"/>
  <c r="W1" i="1"/>
</calcChain>
</file>

<file path=xl/sharedStrings.xml><?xml version="1.0" encoding="utf-8"?>
<sst xmlns="http://schemas.openxmlformats.org/spreadsheetml/2006/main" count="4972" uniqueCount="1878">
  <si>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</si>
  <si>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</si>
  <si>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</si>
  <si>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</si>
  <si>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</si>
  <si>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</si>
  <si>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</si>
  <si>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</si>
  <si>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</si>
  <si>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</si>
  <si>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</si>
  <si>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</si>
  <si>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</si>
  <si>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</si>
  <si>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</si>
  <si>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</si>
  <si>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</si>
  <si>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</si>
  <si>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</si>
  <si>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</si>
  <si>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</si>
  <si>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</si>
  <si>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</si>
  <si>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</si>
  <si>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</si>
  <si>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</si>
  <si>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</si>
  <si>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</si>
  <si>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</si>
  <si>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</si>
  <si>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</si>
  <si>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</si>
  <si>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</si>
  <si>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</si>
  <si>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</si>
  <si>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</si>
  <si>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</si>
  <si>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</si>
  <si>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</si>
  <si>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</si>
  <si>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</si>
  <si>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</si>
  <si>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</si>
  <si>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family val="2"/>
        <scheme val="minor"/>
      </rPr>
      <t>Shai Gilgeous-Alexander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</si>
  <si>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</si>
  <si>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Anthony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</si>
  <si>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</si>
  <si>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Nikola Jokić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</si>
  <si>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</si>
  <si>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Giannis Antetokounmpo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</si>
  <si>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</si>
  <si>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Jayson Tatum</t>
    </r>
  </si>
  <si>
    <r>
      <rPr>
        <u/>
        <sz val="10"/>
        <color rgb="FF1155CC"/>
        <rFont val="Arial"/>
        <family val="2"/>
        <scheme val="minor"/>
      </rPr>
      <t>BOS</t>
    </r>
  </si>
  <si>
    <t>Devin Booker</t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</si>
  <si>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</si>
  <si>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Herro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</si>
  <si>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</si>
  <si>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Trae Young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</si>
  <si>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</si>
  <si>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Cade Cunningham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</si>
  <si>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</si>
  <si>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James Harden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</si>
  <si>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</si>
  <si>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Karl-Anthony Towns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</si>
  <si>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</si>
  <si>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LaVine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</si>
  <si>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</si>
  <si>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</si>
  <si>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</si>
  <si>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Stephen Curry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</si>
  <si>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</si>
  <si>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DeMar DeRozan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</si>
  <si>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</si>
  <si>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LeBron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</si>
  <si>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</si>
  <si>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Donovan Mitchell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</si>
  <si>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</si>
  <si>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Jalen Brunson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</si>
  <si>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</si>
  <si>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Durant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</si>
  <si>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</si>
  <si>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Jaren Jackson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</si>
  <si>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</si>
  <si>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Pascal Siakam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</si>
  <si>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</si>
  <si>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Darius Garland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</si>
  <si>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</si>
  <si>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Coby White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</si>
  <si>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</si>
  <si>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</si>
  <si>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</si>
  <si>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Austin Reaves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</si>
  <si>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</si>
  <si>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De'Aaron Fox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</si>
  <si>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</si>
  <si>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Alperen Sengun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</si>
  <si>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</si>
  <si>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Franz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</si>
  <si>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</si>
  <si>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Damian Lillard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</si>
  <si>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</si>
  <si>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Mikal Bridges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</si>
  <si>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</si>
  <si>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Jamal Murray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</si>
  <si>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</si>
  <si>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Bam Adebayo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</si>
  <si>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</si>
  <si>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Luka Dončić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</si>
  <si>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</si>
  <si>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Michael Porter Jr,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</si>
  <si>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</si>
  <si>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Jaylen Brown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</si>
  <si>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</si>
  <si>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Jordan Poole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</si>
  <si>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</si>
  <si>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Tyrese Maxey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</si>
  <si>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</si>
  <si>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Tyrese Haliburton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</si>
  <si>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</si>
  <si>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Nikola Vučević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</si>
  <si>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</si>
  <si>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Anfernee Simons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</si>
  <si>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</si>
  <si>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Ivica Zubac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</si>
  <si>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</si>
  <si>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Malik Beasley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</si>
  <si>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</si>
  <si>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Domantas Sabonis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</si>
  <si>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</si>
  <si>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OG Anunoby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</si>
  <si>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</si>
  <si>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Shaedon Sharpe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</si>
  <si>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</si>
  <si>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Desmond Bane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</si>
  <si>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</si>
  <si>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Evan Mobley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</si>
  <si>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</si>
  <si>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Norman Powell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</si>
  <si>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</si>
  <si>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Miles Bridges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</si>
  <si>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</si>
  <si>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Julius Randle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</si>
  <si>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</si>
  <si>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Anthony Davis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</si>
  <si>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</si>
  <si>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Scottie Barnes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</si>
  <si>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</si>
  <si>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Derrick White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</si>
  <si>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</si>
  <si>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Kyrie Irving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</si>
  <si>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</si>
  <si>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RJ Barrett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</si>
  <si>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</si>
  <si>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Christian Braun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</si>
  <si>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</si>
  <si>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Deni Avdija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</si>
  <si>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</si>
  <si>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Paolo Banchero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</si>
  <si>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</si>
  <si>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Stephon Castle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</si>
  <si>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</si>
  <si>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LaMelo Ball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</si>
  <si>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</si>
  <si>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CJ McCollum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</si>
  <si>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</si>
  <si>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Ja Morant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</si>
  <si>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</si>
  <si>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Bennedict Mathurin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</si>
  <si>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</si>
  <si>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Collin Sexton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</si>
  <si>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</si>
  <si>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Payton Pritchard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</si>
  <si>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</si>
  <si>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Naz Reid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</si>
  <si>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</si>
  <si>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Keyonte George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</si>
  <si>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</si>
  <si>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Murphy III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</si>
  <si>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</si>
  <si>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Myles Turner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</si>
  <si>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</si>
  <si>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Malik Monk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</si>
  <si>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</si>
  <si>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Victor Wembanyama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</si>
  <si>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</si>
  <si>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Jarrett Allen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</si>
  <si>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</si>
  <si>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Quentin Grimes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</si>
  <si>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</si>
  <si>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De'Andre Hunter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</si>
  <si>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</si>
  <si>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Andrew Wiggins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</si>
  <si>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</si>
  <si>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Dyson Daniels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</si>
  <si>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</si>
  <si>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Cameron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</si>
  <si>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</si>
  <si>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Dillon Brooks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</si>
  <si>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</si>
  <si>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Josh Hart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</si>
  <si>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</si>
  <si>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Devin Vassell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</si>
  <si>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</si>
  <si>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Brook Lopez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</si>
  <si>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</si>
  <si>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Josh Giddey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</si>
  <si>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</si>
  <si>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Harrison Barnes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</si>
  <si>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</si>
  <si>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Klay Thompson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</si>
  <si>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</si>
  <si>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Tobias Harris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</si>
  <si>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</si>
  <si>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Jaden McDaniels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</si>
  <si>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</si>
  <si>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Russell Westbrook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</si>
  <si>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</si>
  <si>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Onyeka Okongwu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</si>
  <si>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</si>
  <si>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Dennis Schröder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</si>
  <si>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</si>
  <si>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Keldon Johnson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</si>
  <si>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</si>
  <si>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Amen Thompson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</si>
  <si>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</si>
  <si>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Jimmy Butler III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</si>
  <si>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</si>
  <si>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Kyle Kuzma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</si>
  <si>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</si>
  <si>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Zaccharie Risacher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</si>
  <si>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</si>
  <si>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Keegan Murray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</si>
  <si>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</si>
  <si>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Duren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</si>
  <si>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</si>
  <si>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Aaron Wiggins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</si>
  <si>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</si>
  <si>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Naji Marshall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</si>
  <si>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</si>
  <si>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Buddy Hield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</si>
  <si>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</si>
  <si>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Kelly Oubre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</si>
  <si>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</si>
  <si>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Bradley Beal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</si>
  <si>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</si>
  <si>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Lauri Markkanen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</si>
  <si>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</si>
  <si>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Toumani Camara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</si>
  <si>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</si>
  <si>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Ty Jerome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</si>
  <si>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</si>
  <si>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Sarr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</si>
  <si>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</si>
  <si>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Spencer Dinwiddie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</si>
  <si>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</si>
  <si>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Rudy Gobert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</si>
  <si>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</si>
  <si>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Tim Hardaway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</si>
  <si>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</si>
  <si>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Fred VanVleet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</si>
  <si>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</si>
  <si>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Jonas Valančiūnas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</si>
  <si>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</si>
  <si>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P,J, Washington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</si>
  <si>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</si>
  <si>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Scoot Henderson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</si>
  <si>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</si>
  <si>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</si>
  <si>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</si>
  <si>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Obi Toppin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</si>
  <si>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</si>
  <si>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Jakob Poeltl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</si>
  <si>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</si>
  <si>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Tyus Jones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</si>
  <si>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</si>
  <si>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Jaylen Wells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</si>
  <si>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</si>
  <si>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Gary Trent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</si>
  <si>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</si>
  <si>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Kristaps Porziņģis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</si>
  <si>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</si>
  <si>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Duncan Robinson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</si>
  <si>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</si>
  <si>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Santi Aldama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</si>
  <si>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</si>
  <si>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Julian Champagnie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</si>
  <si>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</si>
  <si>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Bub Carrington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</si>
  <si>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</si>
  <si>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Kawhi Leonard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</si>
  <si>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</si>
  <si>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Georges Niang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</si>
  <si>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</si>
  <si>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Scotty Pippen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</si>
  <si>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</si>
  <si>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Derrick Jones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</si>
  <si>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</si>
  <si>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Gradey Dick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</si>
  <si>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</si>
  <si>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Caris LeVert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</si>
  <si>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</si>
  <si>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Brice Sensabaugh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</si>
  <si>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</si>
  <si>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Rui Hachimura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</si>
  <si>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</si>
  <si>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Kevin Porter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</si>
  <si>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</si>
  <si>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Nickeil Alexander-Walker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</si>
  <si>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</si>
  <si>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Guerschon Yabusele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</si>
  <si>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</si>
  <si>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John Collins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</si>
  <si>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</si>
  <si>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Joe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</si>
  <si>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</si>
  <si>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Jalen Wilson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</si>
  <si>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</si>
  <si>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Aaron Gordon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</si>
  <si>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</si>
  <si>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Max Christie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</si>
  <si>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</si>
  <si>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Brandin Podziemski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</si>
  <si>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</si>
  <si>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Zion Williamson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</si>
  <si>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</si>
  <si>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Anthony Black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</si>
  <si>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</si>
  <si>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D'Angelo Russell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</si>
  <si>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</si>
  <si>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Bilal Coulibaly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</si>
  <si>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</si>
  <si>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Moses Moody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</si>
  <si>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</si>
  <si>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Donte DiVincenzo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</si>
  <si>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</si>
  <si>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Chris Paul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</si>
  <si>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</si>
  <si>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Nic Claxton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</si>
  <si>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</si>
  <si>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Kuminga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</si>
  <si>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</si>
  <si>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T,J, McConnell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</si>
  <si>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</si>
  <si>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Luguentz Dort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</si>
  <si>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</si>
  <si>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Dalton Knecht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</si>
  <si>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</si>
  <si>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Corey Kispert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</si>
  <si>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</si>
  <si>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Daniel Gafford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</si>
  <si>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</si>
  <si>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Amir Coffey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</si>
  <si>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</si>
  <si>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Smith Jr,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</si>
  <si>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</si>
  <si>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Kyle Filipowski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</si>
  <si>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</si>
  <si>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Jrue Holiday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</si>
  <si>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</si>
  <si>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Matas Buzelis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</si>
  <si>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</si>
  <si>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Tari Eason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</si>
  <si>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</si>
  <si>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Kevin Huerter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</si>
  <si>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</si>
  <si>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Royce O'Neale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</si>
  <si>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</si>
  <si>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Bobby Portis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</si>
  <si>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</si>
  <si>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Jalen Johnson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</si>
  <si>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</si>
  <si>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Terry Rozier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</si>
  <si>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</si>
  <si>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Grayson Allen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</si>
  <si>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</si>
  <si>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Jerami Grant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</si>
  <si>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</si>
  <si>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Mark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</si>
  <si>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</si>
  <si>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Kentavious Caldwell-Pope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</si>
  <si>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</si>
  <si>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Ochai Agbaji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</si>
  <si>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</si>
  <si>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Yves Missi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</si>
  <si>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</si>
  <si>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Paul George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</si>
  <si>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</si>
  <si>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Keon Ellis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</si>
  <si>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</si>
  <si>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Taurean Prince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</si>
  <si>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</si>
  <si>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Andrew Nembhard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</si>
  <si>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</si>
  <si>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Walker Kessler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</si>
  <si>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</si>
  <si>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Hartenstein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</si>
  <si>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</si>
  <si>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Ziaire Williams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</si>
  <si>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</si>
  <si>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Cole Anthony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</si>
  <si>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</si>
  <si>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Carter Jr,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</si>
  <si>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</si>
  <si>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Isaiah Collier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</si>
  <si>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</si>
  <si>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Jeremy Sochan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</si>
  <si>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</si>
  <si>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Draymond Green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</si>
  <si>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</si>
  <si>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Miles McBride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</si>
  <si>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</si>
  <si>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Edey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</si>
  <si>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</si>
  <si>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Jordan Hawkins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</si>
  <si>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</si>
  <si>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Sam Hauser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</si>
  <si>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</si>
  <si>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Cam Thomas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</si>
  <si>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</si>
  <si>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Jordan Clarkson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</si>
  <si>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</si>
  <si>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Ausar Thompson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</si>
  <si>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</si>
  <si>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Kel'el Ware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</si>
  <si>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</si>
  <si>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Nick Smith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</si>
  <si>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</si>
  <si>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Kyshawn George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</si>
  <si>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</si>
  <si>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Julian Strawther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</si>
  <si>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</si>
  <si>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Davion Mitchell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</si>
  <si>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</si>
  <si>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Bogdan Bogdanović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</si>
  <si>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</si>
  <si>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Mike Conley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</si>
  <si>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</si>
  <si>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Luke Kennard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</si>
  <si>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</si>
  <si>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Jose Alvarado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</si>
  <si>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</si>
  <si>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Deandre Ayton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</si>
  <si>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</si>
  <si>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Cason Wallace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</si>
  <si>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</si>
  <si>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Johnny Juzang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</si>
  <si>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</si>
  <si>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Jaime Jaquez Jr,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</si>
  <si>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</si>
  <si>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Brandon Miller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</si>
  <si>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</si>
  <si>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Patrick Williams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</si>
  <si>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</si>
  <si>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Suggs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</si>
  <si>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</si>
  <si>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Ayo Dosunmu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</si>
  <si>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</si>
  <si>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Immanuel Quickley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</si>
  <si>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</si>
  <si>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Dalano Banton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</si>
  <si>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</si>
  <si>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Peyton Watson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</si>
  <si>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</si>
  <si>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Dorian Finney-Smith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</si>
  <si>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</si>
  <si>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Justin Champagnie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</si>
  <si>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</si>
  <si>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Dejounte Murray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</si>
  <si>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</si>
  <si>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 Horford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</si>
  <si>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</si>
  <si>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Aaron Nesmith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</si>
  <si>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</si>
  <si>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AJ Green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</si>
  <si>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</si>
  <si>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Jared Butler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</si>
  <si>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</si>
  <si>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Tristan da Silva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</si>
  <si>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</si>
  <si>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Ricky Council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</si>
  <si>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</si>
  <si>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Jamal Shead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</si>
  <si>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</si>
  <si>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Brandon Clarke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</si>
  <si>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</si>
  <si>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Nick Richards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</si>
  <si>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</si>
  <si>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Jaden Ivey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</si>
  <si>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</si>
  <si>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Jalen Smith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</si>
  <si>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</si>
  <si>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Tyrese Martin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</si>
  <si>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</si>
  <si>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Ronald Holland 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</si>
  <si>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</si>
  <si>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Terance Mann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</si>
  <si>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</si>
  <si>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Sam Merrill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</si>
  <si>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</si>
  <si>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Dunn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</si>
  <si>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</si>
  <si>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Goga Bitadze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</si>
  <si>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</si>
  <si>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Josh Green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</si>
  <si>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</si>
  <si>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Chris Boucher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</si>
  <si>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</si>
  <si>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Cameron Payne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</si>
  <si>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</si>
  <si>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Jaden Hardy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</si>
  <si>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</si>
  <si>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Nikola Jović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</si>
  <si>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</si>
  <si>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Clint Capela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</si>
  <si>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</si>
  <si>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Haywood Highsmith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</si>
  <si>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</si>
  <si>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Chet Holmgren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</si>
  <si>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</si>
  <si>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Cam Whitmore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</si>
  <si>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</si>
  <si>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Kris Dunn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</si>
  <si>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</si>
  <si>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Max Strus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</si>
  <si>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</si>
  <si>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Gabe Vincent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</si>
  <si>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</si>
  <si>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Jarace Walker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</si>
  <si>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</si>
  <si>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Jake LaRavia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</si>
  <si>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</si>
  <si>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Jusuf Nurkić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</si>
  <si>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</si>
  <si>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Joel Embiid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</si>
  <si>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</si>
  <si>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Trendon Watford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</si>
  <si>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</si>
  <si>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Brandon Boston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</si>
  <si>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</si>
  <si>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Trey Lyles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</si>
  <si>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</si>
  <si>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Ja'Kobe Walter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</si>
  <si>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</si>
  <si>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Justin Edwards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</si>
  <si>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</si>
  <si>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Simone Fontecchio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</si>
  <si>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</si>
  <si>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Seth Curry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</si>
  <si>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</si>
  <si>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 Huff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</si>
  <si>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</si>
  <si>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Khris Middleton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</si>
  <si>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</si>
  <si>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Luke Kornet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</si>
  <si>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</si>
  <si>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Donovan Clingan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</si>
  <si>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</si>
  <si>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Kenrich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</si>
  <si>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</si>
  <si>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Stewart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</si>
  <si>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</si>
  <si>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Thomas Bryant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</si>
  <si>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</si>
  <si>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Noah Clowney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</si>
  <si>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</si>
  <si>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Jamison Battle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</si>
  <si>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</si>
  <si>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Jeremiah Robinson-Earl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</si>
  <si>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</si>
  <si>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Vít Krejčí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</si>
  <si>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</si>
  <si>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Zach Collins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</si>
  <si>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</si>
  <si>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Trayce Jackson-Davis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</si>
  <si>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</si>
  <si>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Moussa Diabaté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</si>
  <si>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</si>
  <si>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Gary Payton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</si>
  <si>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</si>
  <si>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Brandon Ingram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</si>
  <si>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</si>
  <si>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Day'Ron Sharpe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</si>
  <si>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</si>
  <si>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Mogbo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</si>
  <si>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</si>
  <si>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Moritz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</si>
  <si>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</si>
  <si>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Sandro Mamukelashvili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</si>
  <si>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</si>
  <si>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Kelly Olynyk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</si>
  <si>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</si>
  <si>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Alex Caruso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</si>
  <si>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</si>
  <si>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Jonathan Isaac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</si>
  <si>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</si>
  <si>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Jaxson Hayes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</si>
  <si>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</si>
  <si>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Talen Horton-Tucker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</si>
  <si>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</si>
  <si>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Marcus Sasser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</si>
  <si>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</si>
  <si>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Precious Achiuwa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</si>
  <si>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</si>
  <si>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Julian Phillips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</si>
  <si>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</si>
  <si>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Kyle Anderson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</si>
  <si>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</si>
  <si>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Cody Martin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</si>
  <si>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</si>
  <si>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Alec Burks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</si>
  <si>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</si>
  <si>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Caleb Martin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</si>
  <si>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</si>
  <si>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Tidjane Salaün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</si>
  <si>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</si>
  <si>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Garrison Mathews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</si>
  <si>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</si>
  <si>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Jared McCain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</si>
  <si>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</si>
  <si>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Javonte Green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</si>
  <si>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</si>
  <si>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Rollins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</si>
  <si>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</si>
  <si>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Kevon Looney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</si>
  <si>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</si>
  <si>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Aaron Holiday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</si>
  <si>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</si>
  <si>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Quinten Post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</si>
  <si>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</si>
  <si>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Bruce Brown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</si>
  <si>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</si>
  <si>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Isaac Okoro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</si>
  <si>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</si>
  <si>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Adem Bona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</si>
  <si>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</si>
  <si>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Ben Sheppard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</si>
  <si>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</si>
  <si>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Svi Mykhailiuk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</si>
  <si>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</si>
  <si>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Mason Plumlee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</si>
  <si>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</si>
  <si>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Tre Jones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</si>
  <si>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</si>
  <si>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Dalen Terry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</si>
  <si>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</si>
  <si>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Tristan Vukcevic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</si>
  <si>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</si>
  <si>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Karlo Matković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</si>
  <si>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</si>
  <si>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 Wade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</si>
  <si>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</si>
  <si>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DaQuan Jeffries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</si>
  <si>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</si>
  <si>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Shake Milton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</si>
  <si>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</si>
  <si>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Dereck Lively II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</si>
  <si>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</si>
  <si>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Nicolas Batum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</si>
  <si>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</si>
  <si>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Walker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</si>
  <si>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</si>
  <si>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Neemias Queta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</si>
  <si>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</si>
  <si>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Marcus Smart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</si>
  <si>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</si>
  <si>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Malcolm Brogdon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</si>
  <si>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</si>
  <si>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Antonio Reeves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</si>
  <si>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</si>
  <si>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Orlando Robinson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</si>
  <si>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</si>
  <si>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Andre Drummond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</si>
  <si>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</si>
  <si>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Kris Murray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</si>
  <si>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</si>
  <si>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Jeff Dowtin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</si>
  <si>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</si>
  <si>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Landry Shamet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</si>
  <si>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</si>
  <si>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Josh Okogie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</si>
  <si>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</si>
  <si>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KJ Simpson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</si>
  <si>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</si>
  <si>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Drew Eubanks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</si>
  <si>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</si>
  <si>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Jaylin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</si>
  <si>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</si>
  <si>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KJ Martin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</si>
  <si>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</si>
  <si>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Brandon Williams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</si>
  <si>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</si>
  <si>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Vasilije Micić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</si>
  <si>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</si>
  <si>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Jett Howard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</si>
  <si>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</si>
  <si>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Tosan Evbuomwan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</si>
  <si>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</si>
  <si>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Lonzo Ball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</si>
  <si>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</si>
  <si>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Eric Gordon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</si>
  <si>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</si>
  <si>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Oso Ighodaro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</si>
  <si>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</si>
  <si>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Lindy Waters III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</si>
  <si>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</si>
  <si>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Ben Simmons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</si>
  <si>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</si>
  <si>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Pelle Larsson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</si>
  <si>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</si>
  <si>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Lonnie Walker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</si>
  <si>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</si>
  <si>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Bol Bol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</si>
  <si>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</si>
  <si>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Caleb Houstan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</si>
  <si>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</si>
  <si>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A,J, Lawson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</si>
  <si>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</si>
  <si>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Malaki Branham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</si>
  <si>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</si>
  <si>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Ajay Mitchell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</si>
  <si>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</si>
  <si>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Monté Morris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</si>
  <si>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</si>
  <si>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Gui Santos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</si>
  <si>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</si>
  <si>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Cody Williams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</si>
  <si>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</si>
  <si>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Reed Sheppard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</si>
  <si>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</si>
  <si>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Richaun Holmes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</si>
  <si>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</si>
  <si>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Andre Jackson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</si>
  <si>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</si>
  <si>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Steven Adams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</si>
  <si>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</si>
  <si>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Rob Dillingham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</si>
  <si>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</si>
  <si>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AJ Johnson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</si>
  <si>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</si>
  <si>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Pat Connaughton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</si>
  <si>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</si>
  <si>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Blake Wesley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</si>
  <si>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</si>
  <si>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GG Jackson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</si>
  <si>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</si>
  <si>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DeAndre Jordan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</si>
  <si>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</si>
  <si>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Herbert Jones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</si>
  <si>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</si>
  <si>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Larry Nance Jr,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</si>
  <si>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</si>
  <si>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Olivier-Maxence Prosper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</si>
  <si>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</si>
  <si>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Jock Landale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</si>
  <si>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</si>
  <si>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Jalen Pickett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</si>
  <si>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</si>
  <si>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Kai Jones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</si>
  <si>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</si>
  <si>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Mouhamed Gueye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</si>
  <si>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</si>
  <si>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Jamal Cain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</si>
  <si>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</si>
  <si>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Collin Gillespie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</si>
  <si>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</si>
  <si>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Duop Reath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</si>
  <si>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</si>
  <si>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Craig Porter Jr,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</si>
  <si>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</si>
  <si>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Jae'Sean Tate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</si>
  <si>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</si>
  <si>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Paul Reed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</si>
  <si>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</si>
  <si>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Tre Mann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</si>
  <si>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</si>
  <si>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Zeke Nnaji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</si>
  <si>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</si>
  <si>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Vince Williams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</si>
  <si>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</si>
  <si>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Cory Joseph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</si>
  <si>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</si>
  <si>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Danté Exum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</si>
  <si>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</si>
  <si>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Jeff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</si>
  <si>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</si>
  <si>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Jaylon Tyson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</si>
  <si>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</si>
  <si>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Kessler Edwards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</si>
  <si>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</si>
  <si>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Keaton Wallace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</si>
  <si>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</si>
  <si>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Grant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</si>
  <si>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</si>
  <si>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Jaylen Clark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</si>
  <si>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</si>
  <si>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Daniel Theis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</si>
  <si>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</si>
  <si>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Micah Potter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</si>
  <si>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</si>
  <si>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Quenton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</si>
  <si>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</si>
  <si>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Jordan Goodwin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</si>
  <si>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</si>
  <si>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Charles Bassey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</si>
  <si>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</si>
  <si>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Rayan Rupert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</si>
  <si>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</si>
  <si>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Colby Jones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</si>
  <si>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</si>
  <si>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Jevon Carter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</si>
  <si>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</si>
  <si>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David Roddy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</si>
  <si>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</si>
  <si>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Jordan Miller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</si>
  <si>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</si>
  <si>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Trevelin Queen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</si>
  <si>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</si>
  <si>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Moore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</si>
  <si>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</si>
  <si>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Bones Hyland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</si>
  <si>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</si>
  <si>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Jarred Vanderbilt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</si>
  <si>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</si>
  <si>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Dominick Barlow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</si>
  <si>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</si>
  <si>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Doug McDermott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</si>
  <si>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</si>
  <si>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Gary Harris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</si>
  <si>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</si>
  <si>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Bismack Biyombo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</si>
  <si>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</si>
  <si>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Keion Brooks Jr,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</si>
  <si>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</si>
  <si>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Ousmane Dieng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</si>
  <si>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</si>
  <si>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Terrence Shannon Jr,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</si>
  <si>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</si>
  <si>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Mo Bamba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</si>
  <si>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</si>
  <si>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Luka Garza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</si>
  <si>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</si>
  <si>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Kyle Lowry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</si>
  <si>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</si>
  <si>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Devin Carter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</si>
  <si>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</si>
  <si>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Marvin Bagley III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</si>
  <si>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</si>
  <si>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Reggie Jackson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</si>
  <si>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</si>
  <si>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Isaac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</si>
  <si>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</si>
  <si>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Dillon Jones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</si>
  <si>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</si>
  <si>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Hunter Tyson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</si>
  <si>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</si>
  <si>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Anthony Gill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</si>
  <si>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</si>
  <si>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Delon Wright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</si>
  <si>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</si>
  <si>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Love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</si>
  <si>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</si>
  <si>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Branden Carlson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</si>
  <si>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</si>
  <si>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Colin Castleton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</si>
  <si>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</si>
  <si>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Isaiah Wong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</si>
  <si>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</si>
  <si>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Minott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</si>
  <si>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</si>
  <si>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Jared Rhoden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</si>
  <si>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</si>
  <si>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Dwight Powell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</si>
  <si>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</si>
  <si>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Robert Williams III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</si>
  <si>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</si>
  <si>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Maxwell Lewis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</si>
  <si>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</si>
  <si>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Dariq Whitehead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</si>
  <si>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</si>
  <si>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Matisse Thybulle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</si>
  <si>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</si>
  <si>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Baylor Scheierman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</si>
  <si>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</si>
  <si>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Baugh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</si>
  <si>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</si>
  <si>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Patty Mills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</si>
  <si>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</si>
  <si>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John Konchar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</si>
  <si>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</si>
  <si>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Drew Timme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</si>
  <si>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</si>
  <si>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Torrey Craig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</si>
  <si>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</si>
  <si>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Jaden Springer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</si>
  <si>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</si>
  <si>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Taj Gibson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</si>
  <si>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</si>
  <si>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Jalen Hood-Schifino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</si>
  <si>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</si>
  <si>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Cam Reddish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</si>
  <si>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</si>
  <si>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Oscar Tshiebwe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</si>
  <si>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</si>
  <si>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Johnny Furphy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</si>
  <si>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</si>
  <si>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Cam Spencer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</si>
  <si>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</si>
  <si>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Maxi Kleber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</si>
  <si>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</si>
  <si>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Pat Spencer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</si>
  <si>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</si>
  <si>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Jordan McLaughlin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</si>
  <si>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</si>
  <si>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Trey Jemison III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</si>
  <si>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</si>
  <si>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Jericho Sims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</si>
  <si>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</si>
  <si>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Reece Beekman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</si>
  <si>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</si>
  <si>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Christian Koloko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</si>
  <si>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</si>
  <si>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Dru 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</si>
  <si>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</si>
  <si>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Mitchell Robinson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</si>
  <si>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</si>
  <si>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Lester Quinones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</si>
  <si>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</si>
  <si>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Elfrid Payton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</si>
  <si>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</si>
  <si>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Jordan Walsh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</si>
  <si>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</si>
  <si>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</si>
  <si>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</si>
  <si>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Kolek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</si>
  <si>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</si>
  <si>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Johnny Davis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</si>
  <si>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</si>
  <si>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MarJon Beauchamp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</si>
  <si>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</si>
  <si>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Jaylen Martin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</si>
  <si>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</si>
  <si>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Alex Reese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</si>
  <si>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</si>
  <si>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Kobe Brown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</si>
  <si>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</si>
  <si>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Moses Brown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</si>
  <si>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</si>
  <si>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Lamar Stevens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</si>
  <si>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</si>
  <si>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Alex Len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</si>
  <si>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</si>
  <si>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JT Thor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</si>
  <si>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</si>
  <si>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Tristan Thompson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</si>
  <si>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</si>
  <si>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Tyler Smith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</si>
  <si>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</si>
  <si>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Jaylen Nowell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</si>
  <si>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</si>
  <si>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Adam Flagler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</si>
  <si>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</si>
  <si>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Marcus Bagley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</si>
  <si>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</si>
  <si>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Nate Williams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</si>
  <si>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</si>
  <si>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De'Anthony Melton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</si>
  <si>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</si>
  <si>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Tony Bradley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</si>
  <si>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</si>
  <si>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Bronny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</si>
  <si>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</si>
  <si>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Markelle Fultz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</si>
  <si>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</si>
  <si>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Cole Swider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</si>
  <si>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</si>
  <si>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Bruno Fernando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</si>
  <si>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</si>
  <si>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Dario Šarić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</si>
  <si>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</si>
  <si>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Markieff Morris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</si>
  <si>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</si>
  <si>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Tyson Etienne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</si>
  <si>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</si>
  <si>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Drew Peterson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</si>
  <si>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</si>
  <si>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Killian Hayes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</si>
  <si>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</si>
  <si>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Kobe Bufkin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</si>
  <si>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</si>
  <si>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Chuma Okeke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</si>
  <si>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</si>
  <si>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Patrick Baldwin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</si>
  <si>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</si>
  <si>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Garrett Temple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</si>
  <si>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</si>
  <si>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Oshae Brissett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</si>
  <si>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</si>
  <si>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Ariel Hukporti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</si>
  <si>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</si>
  <si>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Knox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</si>
  <si>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</si>
  <si>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Enrique Freeman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</si>
  <si>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</si>
  <si>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Daeqwon Plowden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</si>
  <si>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</si>
  <si>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Keshad Johnson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</si>
  <si>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</si>
  <si>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Jaylen Sims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</si>
  <si>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</si>
  <si>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Pete Nance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</si>
  <si>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</si>
  <si>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Emoni Bates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</si>
  <si>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</si>
  <si>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Chris Duarte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</si>
  <si>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</si>
  <si>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Nae'Qwan Tomlin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</si>
  <si>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</si>
  <si>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Ducas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</si>
  <si>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</si>
  <si>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</si>
  <si>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</si>
  <si>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Yuki Kawamura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</si>
  <si>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</si>
  <si>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TyTy Washington Jr,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</si>
  <si>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</si>
  <si>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JD Davison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</si>
  <si>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</si>
  <si>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Kylor Kelley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</si>
  <si>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</si>
  <si>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Xavier Tillman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</si>
  <si>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</si>
  <si>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Sidy Cissoko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</si>
  <si>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</si>
  <si>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PJ Hall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</si>
  <si>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</si>
  <si>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Josh Richardson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</si>
  <si>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</si>
  <si>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Elijah Harkless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</si>
  <si>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</si>
  <si>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Alexander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</si>
  <si>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</si>
  <si>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Pacôme Dadiet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</si>
  <si>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</si>
  <si>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RayJ Dennis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</si>
  <si>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</si>
  <si>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Chris Livingston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</si>
  <si>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</si>
  <si>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Matt Ryan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</si>
  <si>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</si>
  <si>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Marcus Garrett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</si>
  <si>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</si>
  <si>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Christopher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</si>
  <si>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</si>
  <si>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Spencer Jones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</si>
  <si>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</si>
  <si>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Jacob Toppin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</si>
  <si>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</si>
  <si>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Jazian Gortman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</si>
  <si>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</si>
  <si>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N'Faly Dante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</si>
  <si>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</si>
  <si>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Vlatko Čančar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</si>
  <si>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</si>
  <si>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Jae Crowder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</si>
  <si>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</si>
  <si>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Mason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</si>
  <si>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</si>
  <si>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E,J, Liddell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</si>
  <si>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</si>
  <si>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Jackson Rowe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</si>
  <si>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</si>
  <si>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Leonard Miller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</si>
  <si>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</si>
  <si>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Cam Christie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</si>
  <si>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</si>
  <si>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Jamaree Bouyea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</si>
  <si>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</si>
  <si>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Justin Minaya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</si>
  <si>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</si>
  <si>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Malachi Flynn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</si>
  <si>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</si>
  <si>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David Duke Jr,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</si>
  <si>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</si>
  <si>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Bobi Klintman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</si>
  <si>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</si>
  <si>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Stanley Umude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</si>
  <si>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</si>
  <si>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Joe Ingles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</si>
  <si>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</si>
  <si>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Tolu Smith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</si>
  <si>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</si>
  <si>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Jack McVeigh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</si>
  <si>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</si>
  <si>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Armel Traoré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</si>
  <si>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</si>
  <si>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Isaiah Crawford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</si>
  <si>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</si>
  <si>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Taylor Hendricks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</si>
  <si>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</si>
  <si>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Bryce McGowens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</si>
  <si>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</si>
  <si>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Luke Travers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</si>
  <si>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</si>
  <si>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Jahmir Young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</si>
  <si>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</si>
  <si>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Trentyn Flowers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</si>
  <si>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</si>
  <si>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Emanuel Miller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</si>
  <si>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</si>
  <si>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Liam Robbins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</si>
  <si>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</si>
  <si>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P,J, Tucker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</si>
  <si>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</si>
  <si>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Jalen Bridges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</si>
  <si>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</si>
  <si>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Adama Sanogo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</si>
  <si>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</si>
  <si>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James Johnson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</si>
  <si>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</si>
  <si>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Anton Watson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</si>
  <si>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</si>
  <si>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Phillip Wheeler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</si>
  <si>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</si>
  <si>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Miles Norris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</si>
  <si>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</si>
  <si>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Daniss Jenkins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</si>
  <si>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</si>
  <si>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PJ Dozier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</si>
  <si>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</si>
  <si>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James Wiseman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</si>
  <si>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</si>
  <si>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Kevin McCullar Jr,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</si>
  <si>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</si>
  <si>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Isaiah Mobley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</si>
  <si>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</si>
  <si>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Tazé Moore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</si>
  <si>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</si>
  <si>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Alondes Williams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</si>
  <si>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</si>
  <si>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Skal Labissiere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</si>
  <si>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</si>
  <si>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Ulrich Chomche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</si>
  <si>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</si>
  <si>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Ron Harper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</si>
  <si>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</si>
  <si>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Harrison Ingram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</si>
  <si>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</si>
  <si>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Cui Yongxi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</si>
  <si>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</si>
  <si>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Braxton Key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</si>
  <si>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</si>
  <si>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Quincy Olivari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</si>
  <si>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</si>
  <si>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Tristen Newton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</si>
  <si>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</si>
  <si>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D,J, Carton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</si>
  <si>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</si>
  <si>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Yuri Collins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</si>
  <si>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</si>
  <si>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Malevy Leons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</si>
  <si>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</si>
  <si>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Daishen Nix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</si>
  <si>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</si>
  <si>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Jahlil Okafor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</si>
  <si>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</si>
  <si>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Zyon Pullin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</si>
  <si>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</si>
  <si>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Isaiah Stevens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</si>
  <si>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</si>
  <si>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Jesse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</si>
  <si>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</si>
  <si>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Mac McClung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</si>
  <si>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</si>
  <si>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Terence Davis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</si>
  <si>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</si>
  <si>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Terry Taylor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</si>
  <si>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</si>
  <si>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Riley Minix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</si>
  <si>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</si>
  <si>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Jalen McDaniels</t>
    </r>
  </si>
  <si>
    <r>
      <rPr>
        <u/>
        <sz val="10"/>
        <color rgb="FF1155CC"/>
        <rFont val="Arial"/>
        <family val="2"/>
        <scheme val="minor"/>
      </rPr>
      <t>WAS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</si>
  <si>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</si>
  <si>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</si>
  <si>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</si>
  <si>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</si>
  <si>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</si>
  <si>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</si>
  <si>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</si>
  <si>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</si>
  <si>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</si>
  <si>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</si>
  <si>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</si>
  <si>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</si>
  <si>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</si>
  <si>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</si>
  <si>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</si>
  <si>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</si>
  <si>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</si>
  <si>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</si>
  <si>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</si>
  <si>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</si>
  <si>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</si>
  <si>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</si>
  <si>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</si>
  <si>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</si>
  <si>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</si>
  <si>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</si>
  <si>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</si>
  <si>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</si>
  <si>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</si>
  <si>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</si>
  <si>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</si>
  <si>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</si>
  <si>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</si>
  <si>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</si>
  <si>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</si>
  <si>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</si>
  <si>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</si>
  <si>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</si>
  <si>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</si>
  <si>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</si>
  <si>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</si>
  <si>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</si>
  <si>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</si>
  <si>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</si>
  <si>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</si>
  <si>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</si>
  <si>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</si>
  <si>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</si>
  <si>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</si>
  <si>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</si>
  <si>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</si>
  <si>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</si>
  <si>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</si>
  <si>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</si>
  <si>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</si>
  <si>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</si>
  <si>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</si>
  <si>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</si>
  <si>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</si>
  <si>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</si>
  <si>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</si>
  <si>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</si>
  <si>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</si>
  <si>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</si>
  <si>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</si>
  <si>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</si>
  <si>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</si>
  <si>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</si>
  <si>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</si>
  <si>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</si>
  <si>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</si>
  <si>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</si>
  <si>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</si>
  <si>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</si>
  <si>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</si>
  <si>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</si>
  <si>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</si>
  <si>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</si>
  <si>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</si>
  <si>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</si>
  <si>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</si>
  <si>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</si>
  <si>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</si>
  <si>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</si>
  <si>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</si>
  <si>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</si>
  <si>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</si>
  <si>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</si>
  <si>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</si>
  <si>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</si>
  <si>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</si>
  <si>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</si>
  <si>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</si>
  <si>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</si>
  <si>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</si>
  <si>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</si>
  <si>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</si>
  <si>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</si>
  <si>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</si>
  <si>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</si>
  <si>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</si>
  <si>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</si>
  <si>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</si>
  <si>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</si>
  <si>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</si>
  <si>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</si>
  <si>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</si>
  <si>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</si>
  <si>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Étiquettes de lignes</t>
  </si>
  <si>
    <t>A,J,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</si>
  <si>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</si>
  <si>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</si>
  <si>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</si>
  <si>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</si>
  <si>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</si>
  <si>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</si>
  <si>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</si>
  <si>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</si>
  <si>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</si>
  <si>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</si>
  <si>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</si>
  <si>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</si>
  <si>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</si>
  <si>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</si>
  <si>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</si>
  <si>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</si>
  <si>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</si>
  <si>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</si>
  <si>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</si>
  <si>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</si>
  <si>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</si>
  <si>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</si>
  <si>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Jr,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</si>
  <si>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</si>
  <si>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</si>
  <si>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</si>
  <si>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</si>
  <si>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</si>
  <si>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</si>
  <si>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</si>
  <si>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</si>
  <si>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</si>
  <si>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</si>
  <si>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Traoré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</si>
  <si>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</si>
  <si>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</si>
  <si>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</si>
  <si>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</si>
  <si>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</si>
  <si>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</si>
  <si>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</si>
  <si>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</si>
  <si>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</si>
  <si>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</si>
  <si>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</si>
  <si>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</si>
  <si>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</si>
  <si>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Bogdanović</t>
  </si>
  <si>
    <t>Bol Bol</t>
  </si>
  <si>
    <t>Bones Hyland</t>
  </si>
  <si>
    <t>Bradley Beal</t>
  </si>
  <si>
    <t>Branden Carlson</t>
  </si>
  <si>
    <t>Brandin Podziemski</t>
  </si>
  <si>
    <t>Brandon Boston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</si>
  <si>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</si>
  <si>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</si>
  <si>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</si>
  <si>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</si>
  <si>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</si>
  <si>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</si>
  <si>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</si>
  <si>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</si>
  <si>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</si>
  <si>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</si>
  <si>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</si>
  <si>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</si>
  <si>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</si>
  <si>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</si>
  <si>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</si>
  <si>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</si>
  <si>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</si>
  <si>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</si>
  <si>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</si>
  <si>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</si>
  <si>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</si>
  <si>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</si>
  <si>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</si>
  <si>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</si>
  <si>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</si>
  <si>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</si>
  <si>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</si>
  <si>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</si>
  <si>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</si>
  <si>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</si>
  <si>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</si>
  <si>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</si>
  <si>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</si>
  <si>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</si>
  <si>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</si>
  <si>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</si>
  <si>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</si>
  <si>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</si>
  <si>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</si>
  <si>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</si>
  <si>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</si>
  <si>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</si>
  <si>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</si>
  <si>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</si>
  <si>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</si>
  <si>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</si>
  <si>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</si>
  <si>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Jr,</t>
  </si>
  <si>
    <t>Cui Yongxi</t>
  </si>
  <si>
    <t>D,J,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</si>
  <si>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</si>
  <si>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</si>
  <si>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</si>
  <si>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</si>
  <si>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</si>
  <si>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</si>
  <si>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</si>
  <si>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</si>
  <si>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D'Angelo Russell</t>
  </si>
  <si>
    <t>Daniel Gafford</t>
  </si>
  <si>
    <t>Daniel Theis</t>
  </si>
  <si>
    <t>Daniss Jenkins</t>
  </si>
  <si>
    <t>Danté Exum</t>
  </si>
  <si>
    <t>DaQuan Jeffries</t>
  </si>
  <si>
    <t>Dario Šarić</t>
  </si>
  <si>
    <t>Dariq Whitehead</t>
  </si>
  <si>
    <t>Darius Garland</t>
  </si>
  <si>
    <t>David Duke Jr,</t>
  </si>
  <si>
    <t>David Roddy</t>
  </si>
  <si>
    <t>Davion Mitchell</t>
  </si>
  <si>
    <t>Day'Ron Sharpe</t>
  </si>
  <si>
    <t>De'Aaron Fox</t>
  </si>
  <si>
    <t>Dean Wade</t>
  </si>
  <si>
    <t>Deandre Ayton</t>
  </si>
  <si>
    <t>De'Andre Hunter</t>
  </si>
  <si>
    <t>DeAndre Jordan</t>
  </si>
  <si>
    <t>De'Anthony Melton</t>
  </si>
  <si>
    <t>Dejounte Murray</t>
  </si>
  <si>
    <t>Delon Wright</t>
  </si>
  <si>
    <t>DeMar DeRozan</t>
  </si>
  <si>
    <t>Deni Avdija</t>
  </si>
  <si>
    <t>Dennis Schröder</t>
  </si>
  <si>
    <t>Dereck Lively II</t>
  </si>
  <si>
    <t>Derrick Jones Jr,</t>
  </si>
  <si>
    <t>Derrick White</t>
  </si>
  <si>
    <t>Desmond Bane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</si>
  <si>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</si>
  <si>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</si>
  <si>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</si>
  <si>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</si>
  <si>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</si>
  <si>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</si>
  <si>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</si>
  <si>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</si>
  <si>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</si>
  <si>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</si>
  <si>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</si>
  <si>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</si>
  <si>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</si>
  <si>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</si>
  <si>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</si>
  <si>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</si>
  <si>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</si>
  <si>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</si>
  <si>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</si>
  <si>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</si>
  <si>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E,J,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</si>
  <si>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</si>
  <si>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</si>
  <si>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</si>
  <si>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</si>
  <si>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</si>
  <si>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</si>
  <si>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</si>
  <si>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</si>
  <si>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</si>
  <si>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</si>
  <si>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</si>
  <si>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</si>
  <si>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</si>
  <si>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</si>
  <si>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Jr,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</si>
  <si>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</si>
  <si>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</si>
  <si>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</si>
  <si>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</si>
  <si>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</si>
  <si>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</si>
  <si>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</si>
  <si>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</si>
  <si>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</si>
  <si>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</si>
  <si>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</si>
  <si>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</si>
  <si>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</si>
  <si>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</si>
  <si>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</si>
  <si>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</si>
  <si>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</si>
  <si>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</si>
  <si>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</si>
  <si>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</si>
  <si>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</si>
  <si>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</si>
  <si>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</si>
  <si>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</si>
  <si>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</si>
  <si>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</si>
  <si>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</si>
  <si>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</si>
  <si>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Jabari Smith Jr,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</si>
  <si>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</si>
  <si>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</si>
  <si>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</si>
  <si>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</si>
  <si>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</si>
  <si>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</si>
  <si>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</si>
  <si>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</si>
  <si>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</si>
  <si>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</si>
  <si>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</si>
  <si>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</si>
  <si>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Jr,</t>
  </si>
  <si>
    <t>Jake LaRavia</t>
  </si>
  <si>
    <t>Jakob Poeltl</t>
  </si>
  <si>
    <t>Ja'Kobe Walter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</si>
  <si>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</si>
  <si>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</si>
  <si>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</si>
  <si>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</si>
  <si>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</si>
  <si>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</si>
  <si>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</si>
  <si>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</si>
  <si>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</si>
  <si>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</si>
  <si>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</si>
  <si>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</si>
  <si>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</si>
  <si>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</si>
  <si>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</si>
  <si>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</si>
  <si>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</si>
  <si>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</si>
  <si>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</si>
  <si>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</si>
  <si>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</si>
  <si>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</si>
  <si>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</si>
  <si>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</si>
  <si>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Jr,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</si>
  <si>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</si>
  <si>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</si>
  <si>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</si>
  <si>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</si>
  <si>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</si>
  <si>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</si>
  <si>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</si>
  <si>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</si>
  <si>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</si>
  <si>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</si>
  <si>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</si>
  <si>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</si>
  <si>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</si>
  <si>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</si>
  <si>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</si>
  <si>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</si>
  <si>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Jeff Dowtin Jr,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</si>
  <si>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</si>
  <si>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</si>
  <si>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</si>
  <si>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</si>
  <si>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</si>
  <si>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</si>
  <si>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</si>
  <si>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</si>
  <si>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</si>
  <si>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</si>
  <si>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</si>
  <si>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</si>
  <si>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</si>
  <si>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</si>
  <si>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</si>
  <si>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</si>
  <si>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</si>
  <si>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Valančiūnas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</si>
  <si>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</si>
  <si>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</si>
  <si>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</si>
  <si>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</si>
  <si>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</si>
  <si>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</si>
  <si>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</si>
  <si>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</si>
  <si>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</si>
  <si>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</si>
  <si>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</si>
  <si>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</si>
  <si>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</si>
  <si>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</si>
  <si>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</si>
  <si>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</si>
  <si>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</si>
  <si>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</si>
  <si>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</si>
  <si>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</si>
  <si>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</si>
  <si>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</si>
  <si>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</si>
  <si>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</si>
  <si>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</si>
  <si>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</si>
  <si>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</si>
  <si>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Nurkić</t>
  </si>
  <si>
    <t>Kai Jones</t>
  </si>
  <si>
    <t>Karl-Anthony Towns</t>
  </si>
  <si>
    <t>Karlo Matković</t>
  </si>
  <si>
    <t>Kawhi Leonard</t>
  </si>
  <si>
    <t>Keaton Wallace</t>
  </si>
  <si>
    <t>Keegan Murray</t>
  </si>
  <si>
    <t>Keion Brooks Jr,</t>
  </si>
  <si>
    <t>Keldon Johnson</t>
  </si>
  <si>
    <t>Kel'el Ware</t>
  </si>
  <si>
    <t>Kelly Olynyk</t>
  </si>
  <si>
    <t>Kelly Oubre Jr,</t>
  </si>
  <si>
    <t>Kenrich Williams</t>
  </si>
  <si>
    <t>Kentavious Caldwell-Pope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</si>
  <si>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</si>
  <si>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</si>
  <si>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</si>
  <si>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</si>
  <si>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</si>
  <si>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</si>
  <si>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</si>
  <si>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</si>
  <si>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Jr,</t>
  </si>
  <si>
    <t>Kevin Porter Jr,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</si>
  <si>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</si>
  <si>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</si>
  <si>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</si>
  <si>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</si>
  <si>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</si>
  <si>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</si>
  <si>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</si>
  <si>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</si>
  <si>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</si>
  <si>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</si>
  <si>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</si>
  <si>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Porziņģis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</si>
  <si>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</si>
  <si>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</si>
  <si>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</si>
  <si>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</si>
  <si>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</si>
  <si>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</si>
  <si>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</si>
  <si>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</si>
  <si>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</si>
  <si>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</si>
  <si>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Jr,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</si>
  <si>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</si>
  <si>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</si>
  <si>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</si>
  <si>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</si>
  <si>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</si>
  <si>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</si>
  <si>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</si>
  <si>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</si>
  <si>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</si>
  <si>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Dončić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</si>
  <si>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</si>
  <si>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</si>
  <si>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</si>
  <si>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</si>
  <si>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</si>
  <si>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</si>
  <si>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</si>
  <si>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</si>
  <si>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</si>
  <si>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</si>
  <si>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</si>
  <si>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</si>
  <si>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</si>
  <si>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</si>
  <si>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</si>
  <si>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</si>
  <si>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</si>
  <si>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</si>
  <si>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</si>
  <si>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</si>
  <si>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</si>
  <si>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</si>
  <si>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</si>
  <si>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</si>
  <si>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</si>
  <si>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</si>
  <si>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</si>
  <si>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</si>
  <si>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</si>
  <si>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</si>
  <si>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Jr,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</si>
  <si>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</si>
  <si>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</si>
  <si>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</si>
  <si>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</si>
  <si>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</si>
  <si>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</si>
  <si>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</si>
  <si>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Monté Morris</t>
  </si>
  <si>
    <t>Moritz Wagner</t>
  </si>
  <si>
    <t>Moses Brown</t>
  </si>
  <si>
    <t>Moses Moody</t>
  </si>
  <si>
    <t>Mouhamed Gueye</t>
  </si>
  <si>
    <t>Moussa Diabaté</t>
  </si>
  <si>
    <t>Myles Turner</t>
  </si>
  <si>
    <t>Nae'Qwan Tomlin</t>
  </si>
  <si>
    <t>Naji Marshall</t>
  </si>
  <si>
    <t>Nate Williams</t>
  </si>
  <si>
    <t>Naz Reid</t>
  </si>
  <si>
    <t>Neemias Queta</t>
  </si>
  <si>
    <t>N'Faly Dante</t>
  </si>
  <si>
    <t>Nic Claxton</t>
  </si>
  <si>
    <t>Nick Richards</t>
  </si>
  <si>
    <t>Nick Smith Jr,</t>
  </si>
  <si>
    <t>Nickeil Alexander-Walker</t>
  </si>
  <si>
    <t>Nicolas Batum</t>
  </si>
  <si>
    <t>Nikola Jokić</t>
  </si>
  <si>
    <t>Nikola Jović</t>
  </si>
  <si>
    <t>Nikola Vučević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</si>
  <si>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</si>
  <si>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</si>
  <si>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</si>
  <si>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</si>
  <si>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</si>
  <si>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</si>
  <si>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</si>
  <si>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</si>
  <si>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</si>
  <si>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</si>
  <si>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</si>
  <si>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</si>
  <si>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P,J, Tucker</t>
  </si>
  <si>
    <t>P,J, Washington</t>
  </si>
  <si>
    <t>Pacôme Dadiet</t>
  </si>
  <si>
    <t>Paolo Banchero</t>
  </si>
  <si>
    <t>Pascal Siakam</t>
  </si>
  <si>
    <t>Pat Connaughton</t>
  </si>
  <si>
    <t>Pat Spencer</t>
  </si>
  <si>
    <t>Patrick Baldwin Jr,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</si>
  <si>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</si>
  <si>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</si>
  <si>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</si>
  <si>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</si>
  <si>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</si>
  <si>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</si>
  <si>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</si>
  <si>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</si>
  <si>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</si>
  <si>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</si>
  <si>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</si>
  <si>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</si>
  <si>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</si>
  <si>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</si>
  <si>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</si>
  <si>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</si>
  <si>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</si>
  <si>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</si>
  <si>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</si>
  <si>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</si>
  <si>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</si>
  <si>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</si>
  <si>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</si>
  <si>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</si>
  <si>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</si>
  <si>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</si>
  <si>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</si>
  <si>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Jr,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</si>
  <si>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</si>
  <si>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</si>
  <si>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</si>
  <si>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</si>
  <si>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</si>
  <si>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</si>
  <si>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</si>
  <si>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</si>
  <si>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</si>
  <si>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</si>
  <si>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</si>
  <si>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</si>
  <si>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</si>
  <si>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Jr,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</si>
  <si>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</si>
  <si>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</si>
  <si>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</si>
  <si>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</si>
  <si>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</si>
  <si>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</si>
  <si>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</si>
  <si>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</si>
  <si>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</si>
  <si>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</si>
  <si>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</si>
  <si>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</si>
  <si>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</si>
  <si>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</si>
  <si>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T,J, McConnell</t>
  </si>
  <si>
    <t>Taj Gibson</t>
  </si>
  <si>
    <t>Talen Horton-Tucker</t>
  </si>
  <si>
    <t>Tari Eason</t>
  </si>
  <si>
    <t>Taurean Prince</t>
  </si>
  <si>
    <t>Taylor Hendricks</t>
  </si>
  <si>
    <t>Tazé Moore</t>
  </si>
  <si>
    <t>Terance Mann</t>
  </si>
  <si>
    <t>Terence Davis</t>
  </si>
  <si>
    <t>Terrence Shannon Jr,</t>
  </si>
  <si>
    <t>Terry Rozier</t>
  </si>
  <si>
    <t>Terry Taylor</t>
  </si>
  <si>
    <t>Thomas Bryant</t>
  </si>
  <si>
    <t>Tidjane Salaün</t>
  </si>
  <si>
    <t>Tim Hardaway Jr,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</si>
  <si>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</si>
  <si>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</si>
  <si>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</si>
  <si>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</si>
  <si>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</si>
  <si>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</si>
  <si>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</si>
  <si>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</si>
  <si>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</si>
  <si>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</si>
  <si>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</si>
  <si>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</si>
  <si>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</si>
  <si>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</si>
  <si>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</si>
  <si>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</si>
  <si>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</si>
  <si>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</si>
  <si>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</si>
  <si>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</si>
  <si>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</si>
  <si>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</si>
  <si>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</si>
  <si>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</si>
  <si>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</si>
  <si>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</si>
  <si>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</si>
  <si>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</si>
  <si>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</si>
  <si>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Jr,</t>
  </si>
  <si>
    <t>Tyus Jones</t>
  </si>
  <si>
    <t>Ulrich Chomche</t>
  </si>
  <si>
    <t>Vasilije Micić</t>
  </si>
  <si>
    <t>Victor Wembanyama</t>
  </si>
  <si>
    <t>Vince Williams Jr,</t>
  </si>
  <si>
    <t>Vít Krejčí</t>
  </si>
  <si>
    <t>Vlatko Čančar</t>
  </si>
  <si>
    <t>Walker Kessler</t>
  </si>
  <si>
    <t>Wendell Carter Jr,</t>
  </si>
  <si>
    <t>Wendell Moore Jr,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</si>
  <si>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</si>
  <si>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</si>
  <si>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</si>
  <si>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</si>
  <si>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</si>
  <si>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</si>
  <si>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</si>
  <si>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</si>
  <si>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</si>
  <si>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</si>
  <si>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</si>
  <si>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</si>
  <si>
    <t>Total général</t>
  </si>
  <si>
    <t>Nombre de joueurs par équipe</t>
  </si>
  <si>
    <t>Points marqués par l'équipe en moyenne par match</t>
  </si>
  <si>
    <t>Somme de OREB</t>
  </si>
  <si>
    <t>Somme de DREB</t>
  </si>
  <si>
    <t>Somme de PIE</t>
  </si>
  <si>
    <t>Somme de AST</t>
  </si>
  <si>
    <t>Somme de STL</t>
  </si>
  <si>
    <t>Somme de BLK</t>
  </si>
  <si>
    <t>Analyse des rebonds</t>
  </si>
  <si>
    <t>Analyse des passes décisives, interceptions et contres</t>
  </si>
  <si>
    <t>Equipes le plus souvent gagnantes</t>
  </si>
  <si>
    <t>Somme de W</t>
  </si>
  <si>
    <t>% True Shooting</t>
  </si>
  <si>
    <t>Ratio Passe vs Erreur</t>
  </si>
  <si>
    <t>Classement par efficacité individuelle</t>
  </si>
  <si>
    <t>(Tous)</t>
  </si>
  <si>
    <t>Moyenne de % True Shooting</t>
  </si>
  <si>
    <t>Moyenne de Ratio Passe vs Erreur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</si>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</sst>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4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  <family val="2"/>
    </font>
    <font>
      <u/>
      <sz val="10"/>
      <color rgb="FF0000FF"/>
      <name val="&quot;Roboto Condensed&quot;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&quot;Roboto Condensed&quot;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EBE9E7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8" fillId="0" borderId="3" xfId="0" applyFont="1" applyBorder="1"/>
    <xf numFmtId="20" fontId="8" fillId="0" borderId="3" xfId="0" applyNumberFormat="1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6" borderId="6" xfId="0" applyFont="1" applyFill="1" applyBorder="1"/>
    <xf numFmtId="0" fontId="11" fillId="0" borderId="0" xfId="0" applyFont="1"/>
    <xf numFmtId="0" fontId="4" fillId="7" borderId="1" xfId="0" applyFont="1" applyFill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0" fontId="0" fillId="7" borderId="0" xfId="0" applyFill="1"/>
    <xf numFmtId="0" fontId="1" fillId="0" borderId="0" xfId="0" applyFont="1" applyAlignment="1">
      <alignment horizontal="left"/>
    </xf>
    <xf numFmtId="0" fontId="1" fillId="7" borderId="0" xfId="0" applyFont="1" applyFill="1" applyAlignment="1">
      <alignment horizontal="left"/>
    </xf>
    <xf numFmtId="20" fontId="1" fillId="0" borderId="0" xfId="0" applyNumberFormat="1" applyFont="1" applyAlignment="1">
      <alignment horizontal="left"/>
    </xf>
    <xf numFmtId="0" fontId="1" fillId="8" borderId="0" xfId="0" applyFont="1" applyFill="1" applyAlignment="1">
      <alignment horizontal="left"/>
    </xf>
    <xf numFmtId="0" fontId="3" fillId="8" borderId="1" xfId="0" applyFont="1" applyFill="1" applyBorder="1" applyAlignment="1">
      <alignment horizontal="right"/>
    </xf>
    <xf numFmtId="0" fontId="0" fillId="8" borderId="0" xfId="0" applyFill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6" xfId="0" applyFont="1" applyBorder="1" applyAlignment="1">
      <alignment horizontal="left"/>
    </xf>
    <xf numFmtId="0" fontId="12" fillId="0" borderId="6" xfId="0" applyFont="1" applyBorder="1"/>
    <xf numFmtId="0" fontId="11" fillId="0" borderId="0" xfId="0" applyFont="1" applyAlignment="1">
      <alignment horizontal="left" indent="1"/>
    </xf>
    <xf numFmtId="0" fontId="7" fillId="5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13" fillId="9" borderId="0" xfId="0" applyFont="1" applyFill="1" applyAlignment="1">
      <alignment horizontal="left"/>
    </xf>
    <xf numFmtId="9" fontId="4" fillId="10" borderId="1" xfId="1" applyFont="1" applyFill="1" applyBorder="1" applyAlignment="1">
      <alignment horizontal="left"/>
    </xf>
    <xf numFmtId="2" fontId="4" fillId="10" borderId="1" xfId="1" applyNumberFormat="1" applyFont="1" applyFill="1" applyBorder="1" applyAlignment="1">
      <alignment horizontal="left"/>
    </xf>
    <xf numFmtId="0" fontId="8" fillId="10" borderId="0" xfId="0" applyFont="1" applyFill="1"/>
    <xf numFmtId="9" fontId="0" fillId="0" borderId="0" xfId="0" applyNumberFormat="1"/>
    <xf numFmtId="165" fontId="0" fillId="0" borderId="0" xfId="0" applyNumberFormat="1"/>
  </cellXfs>
  <cellStyles count="2">
    <cellStyle name="Normal" xfId="0" builtinId="0"/>
    <cellStyle name="Pourcentage" xfId="1" builtinId="5"/>
  </cellStyles>
  <dxfs count="23">
    <dxf>
      <numFmt numFmtId="13" formatCode="0%"/>
    </dxf>
    <dxf>
      <numFmt numFmtId="165" formatCode="0.0"/>
    </dxf>
    <dxf>
      <numFmt numFmtId="165" formatCode="0.0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&quot;Roboto Condensed&quot;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43232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Visualisation</a:t>
            </a:r>
            <a:r>
              <a:rPr lang="fr-FR" baseline="0"/>
              <a:t> des équipes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Equipe!$C$1</c:f>
              <c:strCache>
                <c:ptCount val="1"/>
                <c:pt idx="0">
                  <c:v>Points marqués par l'équipe en moyenne par 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Equipe!$A$2:$B$31</c:f>
              <c:multiLvlStrCache>
                <c:ptCount val="30"/>
                <c:lvl>
                  <c:pt idx="0">
                    <c:v>Atlanta Hawks</c:v>
                  </c:pt>
                  <c:pt idx="1">
                    <c:v>Brooklyn Nets</c:v>
                  </c:pt>
                  <c:pt idx="2">
                    <c:v>Boston Celtics</c:v>
                  </c:pt>
                  <c:pt idx="3">
                    <c:v>Charlotte Hornets</c:v>
                  </c:pt>
                  <c:pt idx="4">
                    <c:v>Chicago Bulls</c:v>
                  </c:pt>
                  <c:pt idx="5">
                    <c:v>Cleveland Cavaliers</c:v>
                  </c:pt>
                  <c:pt idx="6">
                    <c:v>Dallas Mavericks</c:v>
                  </c:pt>
                  <c:pt idx="7">
                    <c:v>Denver Nuggets</c:v>
                  </c:pt>
                  <c:pt idx="8">
                    <c:v>Detroit Pistons</c:v>
                  </c:pt>
                  <c:pt idx="9">
                    <c:v>Golden State Warriors</c:v>
                  </c:pt>
                  <c:pt idx="10">
                    <c:v>Houston Rockets</c:v>
                  </c:pt>
                  <c:pt idx="11">
                    <c:v>Indiana Pacers</c:v>
                  </c:pt>
                  <c:pt idx="12">
                    <c:v>Los Angeles Clippers</c:v>
                  </c:pt>
                  <c:pt idx="13">
                    <c:v>Los Angeles Lakers</c:v>
                  </c:pt>
                  <c:pt idx="14">
                    <c:v>Memphis Grizzlies</c:v>
                  </c:pt>
                  <c:pt idx="15">
                    <c:v>Miami Heat</c:v>
                  </c:pt>
                  <c:pt idx="16">
                    <c:v>Milwaukee Bucks</c:v>
                  </c:pt>
                  <c:pt idx="17">
                    <c:v>Minnesota Timberwolves</c:v>
                  </c:pt>
                  <c:pt idx="18">
                    <c:v>New Orleans Pelicans</c:v>
                  </c:pt>
                  <c:pt idx="19">
                    <c:v>New York Knicks</c:v>
                  </c:pt>
                  <c:pt idx="20">
                    <c:v>Oklahoma City Thunder</c:v>
                  </c:pt>
                  <c:pt idx="21">
                    <c:v>Orlando Magic</c:v>
                  </c:pt>
                  <c:pt idx="22">
                    <c:v>Philadelphia 76ers</c:v>
                  </c:pt>
                  <c:pt idx="23">
                    <c:v>Phoenix Suns</c:v>
                  </c:pt>
                  <c:pt idx="24">
                    <c:v>Portland Trail Blazers</c:v>
                  </c:pt>
                  <c:pt idx="25">
                    <c:v>Sacramento Kings</c:v>
                  </c:pt>
                  <c:pt idx="26">
                    <c:v>San Antonio Spurs</c:v>
                  </c:pt>
                  <c:pt idx="27">
                    <c:v>Toronto Raptors</c:v>
                  </c:pt>
                  <c:pt idx="28">
                    <c:v>Utah Jazz</c:v>
                  </c:pt>
                  <c:pt idx="29">
                    <c:v>Washington Wizards</c:v>
                  </c:pt>
                </c:lvl>
                <c:lvl>
                  <c:pt idx="0">
                    <c:v>ATL</c:v>
                  </c:pt>
                  <c:pt idx="1">
                    <c:v>BKN</c:v>
                  </c:pt>
                  <c:pt idx="2">
                    <c:v>BOS</c:v>
                  </c:pt>
                  <c:pt idx="3">
                    <c:v>CHA</c:v>
                  </c:pt>
                  <c:pt idx="4">
                    <c:v>CHI</c:v>
                  </c:pt>
                  <c:pt idx="5">
                    <c:v>CLE</c:v>
                  </c:pt>
                  <c:pt idx="6">
                    <c:v>DAL</c:v>
                  </c:pt>
                  <c:pt idx="7">
                    <c:v>DEN</c:v>
                  </c:pt>
                  <c:pt idx="8">
                    <c:v>DET</c:v>
                  </c:pt>
                  <c:pt idx="9">
                    <c:v>GSW</c:v>
                  </c:pt>
                  <c:pt idx="10">
                    <c:v>HOU</c:v>
                  </c:pt>
                  <c:pt idx="11">
                    <c:v>IND</c:v>
                  </c:pt>
                  <c:pt idx="12">
                    <c:v>LAC</c:v>
                  </c:pt>
                  <c:pt idx="13">
                    <c:v>LAL</c:v>
                  </c:pt>
                  <c:pt idx="14">
                    <c:v>MEM</c:v>
                  </c:pt>
                  <c:pt idx="15">
                    <c:v>MIA</c:v>
                  </c:pt>
                  <c:pt idx="16">
                    <c:v>MIL</c:v>
                  </c:pt>
                  <c:pt idx="17">
                    <c:v>MIN</c:v>
                  </c:pt>
                  <c:pt idx="18">
                    <c:v>NOP</c:v>
                  </c:pt>
                  <c:pt idx="19">
                    <c:v>NYK</c:v>
                  </c:pt>
                  <c:pt idx="20">
                    <c:v>OKC</c:v>
                  </c:pt>
                  <c:pt idx="21">
                    <c:v>ORL</c:v>
                  </c:pt>
                  <c:pt idx="22">
                    <c:v>PHI</c:v>
                  </c:pt>
                  <c:pt idx="23">
                    <c:v>PHX</c:v>
                  </c:pt>
                  <c:pt idx="24">
                    <c:v>POR</c:v>
                  </c:pt>
                  <c:pt idx="25">
                    <c:v>SAC</c:v>
                  </c:pt>
                  <c:pt idx="26">
                    <c:v>SAS</c:v>
                  </c:pt>
                  <c:pt idx="27">
                    <c:v>TOR</c:v>
                  </c:pt>
                  <c:pt idx="28">
                    <c:v>UTA</c:v>
                  </c:pt>
                  <c:pt idx="29">
                    <c:v>WAS</c:v>
                  </c:pt>
                </c:lvl>
              </c:multiLvlStrCache>
            </c:multiLvlStrRef>
          </c:cat>
          <c:val>
            <c:numRef>
              <c:f>Equipe!$C$2:$C$31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3-F348-B73F-970A461B9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871663"/>
        <c:axId val="1012430703"/>
      </c:barChart>
      <c:lineChart>
        <c:grouping val="standard"/>
        <c:varyColors val="0"/>
        <c:ser>
          <c:idx val="1"/>
          <c:order val="1"/>
          <c:tx>
            <c:strRef>
              <c:f>Equipe!$D$1</c:f>
              <c:strCache>
                <c:ptCount val="1"/>
                <c:pt idx="0">
                  <c:v>Nombre de joueurs par équipe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Equipe!$A$2:$B$31</c:f>
              <c:multiLvlStrCache>
                <c:ptCount val="30"/>
                <c:lvl>
                  <c:pt idx="0">
                    <c:v>Atlanta Hawks</c:v>
                  </c:pt>
                  <c:pt idx="1">
                    <c:v>Brooklyn Nets</c:v>
                  </c:pt>
                  <c:pt idx="2">
                    <c:v>Boston Celtics</c:v>
                  </c:pt>
                  <c:pt idx="3">
                    <c:v>Charlotte Hornets</c:v>
                  </c:pt>
                  <c:pt idx="4">
                    <c:v>Chicago Bulls</c:v>
                  </c:pt>
                  <c:pt idx="5">
                    <c:v>Cleveland Cavaliers</c:v>
                  </c:pt>
                  <c:pt idx="6">
                    <c:v>Dallas Mavericks</c:v>
                  </c:pt>
                  <c:pt idx="7">
                    <c:v>Denver Nuggets</c:v>
                  </c:pt>
                  <c:pt idx="8">
                    <c:v>Detroit Pistons</c:v>
                  </c:pt>
                  <c:pt idx="9">
                    <c:v>Golden State Warriors</c:v>
                  </c:pt>
                  <c:pt idx="10">
                    <c:v>Houston Rockets</c:v>
                  </c:pt>
                  <c:pt idx="11">
                    <c:v>Indiana Pacers</c:v>
                  </c:pt>
                  <c:pt idx="12">
                    <c:v>Los Angeles Clippers</c:v>
                  </c:pt>
                  <c:pt idx="13">
                    <c:v>Los Angeles Lakers</c:v>
                  </c:pt>
                  <c:pt idx="14">
                    <c:v>Memphis Grizzlies</c:v>
                  </c:pt>
                  <c:pt idx="15">
                    <c:v>Miami Heat</c:v>
                  </c:pt>
                  <c:pt idx="16">
                    <c:v>Milwaukee Bucks</c:v>
                  </c:pt>
                  <c:pt idx="17">
                    <c:v>Minnesota Timberwolves</c:v>
                  </c:pt>
                  <c:pt idx="18">
                    <c:v>New Orleans Pelicans</c:v>
                  </c:pt>
                  <c:pt idx="19">
                    <c:v>New York Knicks</c:v>
                  </c:pt>
                  <c:pt idx="20">
                    <c:v>Oklahoma City Thunder</c:v>
                  </c:pt>
                  <c:pt idx="21">
                    <c:v>Orlando Magic</c:v>
                  </c:pt>
                  <c:pt idx="22">
                    <c:v>Philadelphia 76ers</c:v>
                  </c:pt>
                  <c:pt idx="23">
                    <c:v>Phoenix Suns</c:v>
                  </c:pt>
                  <c:pt idx="24">
                    <c:v>Portland Trail Blazers</c:v>
                  </c:pt>
                  <c:pt idx="25">
                    <c:v>Sacramento Kings</c:v>
                  </c:pt>
                  <c:pt idx="26">
                    <c:v>San Antonio Spurs</c:v>
                  </c:pt>
                  <c:pt idx="27">
                    <c:v>Toronto Raptors</c:v>
                  </c:pt>
                  <c:pt idx="28">
                    <c:v>Utah Jazz</c:v>
                  </c:pt>
                  <c:pt idx="29">
                    <c:v>Washington Wizards</c:v>
                  </c:pt>
                </c:lvl>
                <c:lvl>
                  <c:pt idx="0">
                    <c:v>ATL</c:v>
                  </c:pt>
                  <c:pt idx="1">
                    <c:v>BKN</c:v>
                  </c:pt>
                  <c:pt idx="2">
                    <c:v>BOS</c:v>
                  </c:pt>
                  <c:pt idx="3">
                    <c:v>CHA</c:v>
                  </c:pt>
                  <c:pt idx="4">
                    <c:v>CHI</c:v>
                  </c:pt>
                  <c:pt idx="5">
                    <c:v>CLE</c:v>
                  </c:pt>
                  <c:pt idx="6">
                    <c:v>DAL</c:v>
                  </c:pt>
                  <c:pt idx="7">
                    <c:v>DEN</c:v>
                  </c:pt>
                  <c:pt idx="8">
                    <c:v>DET</c:v>
                  </c:pt>
                  <c:pt idx="9">
                    <c:v>GSW</c:v>
                  </c:pt>
                  <c:pt idx="10">
                    <c:v>HOU</c:v>
                  </c:pt>
                  <c:pt idx="11">
                    <c:v>IND</c:v>
                  </c:pt>
                  <c:pt idx="12">
                    <c:v>LAC</c:v>
                  </c:pt>
                  <c:pt idx="13">
                    <c:v>LAL</c:v>
                  </c:pt>
                  <c:pt idx="14">
                    <c:v>MEM</c:v>
                  </c:pt>
                  <c:pt idx="15">
                    <c:v>MIA</c:v>
                  </c:pt>
                  <c:pt idx="16">
                    <c:v>MIL</c:v>
                  </c:pt>
                  <c:pt idx="17">
                    <c:v>MIN</c:v>
                  </c:pt>
                  <c:pt idx="18">
                    <c:v>NOP</c:v>
                  </c:pt>
                  <c:pt idx="19">
                    <c:v>NYK</c:v>
                  </c:pt>
                  <c:pt idx="20">
                    <c:v>OKC</c:v>
                  </c:pt>
                  <c:pt idx="21">
                    <c:v>ORL</c:v>
                  </c:pt>
                  <c:pt idx="22">
                    <c:v>PHI</c:v>
                  </c:pt>
                  <c:pt idx="23">
                    <c:v>PHX</c:v>
                  </c:pt>
                  <c:pt idx="24">
                    <c:v>POR</c:v>
                  </c:pt>
                  <c:pt idx="25">
                    <c:v>SAC</c:v>
                  </c:pt>
                  <c:pt idx="26">
                    <c:v>SAS</c:v>
                  </c:pt>
                  <c:pt idx="27">
                    <c:v>TOR</c:v>
                  </c:pt>
                  <c:pt idx="28">
                    <c:v>UTA</c:v>
                  </c:pt>
                  <c:pt idx="29">
                    <c:v>WAS</c:v>
                  </c:pt>
                </c:lvl>
              </c:multiLvlStrCache>
            </c:multiLvlStrRef>
          </c:cat>
          <c:val>
            <c:numRef>
              <c:f>Equipe!$D$2:$D$31</c:f>
              <c:numCache>
                <c:formatCode>General</c:formatCode>
                <c:ptCount val="30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17</c:v>
                </c:pt>
                <c:pt idx="8">
                  <c:v>19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17</c:v>
                </c:pt>
                <c:pt idx="13">
                  <c:v>20</c:v>
                </c:pt>
                <c:pt idx="14">
                  <c:v>18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23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3-F348-B73F-970A461B9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721119"/>
        <c:axId val="880890895"/>
      </c:lineChart>
      <c:catAx>
        <c:axId val="76687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2430703"/>
        <c:crosses val="autoZero"/>
        <c:auto val="1"/>
        <c:lblAlgn val="ctr"/>
        <c:lblOffset val="100"/>
        <c:noMultiLvlLbl val="0"/>
      </c:catAx>
      <c:valAx>
        <c:axId val="101243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6871663"/>
        <c:crosses val="autoZero"/>
        <c:crossBetween val="between"/>
      </c:valAx>
      <c:valAx>
        <c:axId val="8808908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1721119"/>
        <c:crosses val="max"/>
        <c:crossBetween val="between"/>
      </c:valAx>
      <c:catAx>
        <c:axId val="881721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0890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OKC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Passes décisives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TCD!$Z$379:$AA$396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TCD!$AB$379:$AB$396</c:f>
              <c:numCache>
                <c:formatCode>General</c:formatCode>
                <c:ptCount val="18"/>
                <c:pt idx="0">
                  <c:v>137</c:v>
                </c:pt>
                <c:pt idx="1">
                  <c:v>11</c:v>
                </c:pt>
                <c:pt idx="2">
                  <c:v>65</c:v>
                </c:pt>
                <c:pt idx="3">
                  <c:v>135</c:v>
                </c:pt>
                <c:pt idx="4">
                  <c:v>4</c:v>
                </c:pt>
                <c:pt idx="5">
                  <c:v>13</c:v>
                </c:pt>
                <c:pt idx="6">
                  <c:v>170</c:v>
                </c:pt>
                <c:pt idx="7">
                  <c:v>64</c:v>
                </c:pt>
                <c:pt idx="8">
                  <c:v>59</c:v>
                </c:pt>
                <c:pt idx="9">
                  <c:v>217</c:v>
                </c:pt>
                <c:pt idx="10">
                  <c:v>118</c:v>
                </c:pt>
                <c:pt idx="11">
                  <c:v>352</c:v>
                </c:pt>
                <c:pt idx="12">
                  <c:v>122</c:v>
                </c:pt>
                <c:pt idx="13">
                  <c:v>97</c:v>
                </c:pt>
                <c:pt idx="14">
                  <c:v>114</c:v>
                </c:pt>
                <c:pt idx="15">
                  <c:v>1</c:v>
                </c:pt>
                <c:pt idx="16">
                  <c:v>30</c:v>
                </c:pt>
                <c:pt idx="17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C-3149-8754-9422A0F128A0}"/>
            </c:ext>
          </c:extLst>
        </c:ser>
        <c:ser>
          <c:idx val="1"/>
          <c:order val="1"/>
          <c:tx>
            <c:v>Interceptions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TCD!$Z$379:$AA$396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TCD!$AC$379:$AC$396</c:f>
              <c:numCache>
                <c:formatCode>General</c:formatCode>
                <c:ptCount val="18"/>
                <c:pt idx="0">
                  <c:v>61</c:v>
                </c:pt>
                <c:pt idx="1">
                  <c:v>7</c:v>
                </c:pt>
                <c:pt idx="2">
                  <c:v>25</c:v>
                </c:pt>
                <c:pt idx="3">
                  <c:v>86</c:v>
                </c:pt>
                <c:pt idx="4">
                  <c:v>4</c:v>
                </c:pt>
                <c:pt idx="5">
                  <c:v>6</c:v>
                </c:pt>
                <c:pt idx="6">
                  <c:v>122</c:v>
                </c:pt>
                <c:pt idx="7">
                  <c:v>22</c:v>
                </c:pt>
                <c:pt idx="8">
                  <c:v>16</c:v>
                </c:pt>
                <c:pt idx="9">
                  <c:v>46</c:v>
                </c:pt>
                <c:pt idx="10">
                  <c:v>44</c:v>
                </c:pt>
                <c:pt idx="11">
                  <c:v>110</c:v>
                </c:pt>
                <c:pt idx="12">
                  <c:v>24</c:v>
                </c:pt>
                <c:pt idx="13">
                  <c:v>41</c:v>
                </c:pt>
                <c:pt idx="14">
                  <c:v>78</c:v>
                </c:pt>
                <c:pt idx="15">
                  <c:v>0</c:v>
                </c:pt>
                <c:pt idx="16">
                  <c:v>19</c:v>
                </c:pt>
                <c:pt idx="17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C-3149-8754-9422A0F1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140255"/>
        <c:axId val="513413471"/>
      </c:barChart>
      <c:lineChart>
        <c:grouping val="standard"/>
        <c:varyColors val="0"/>
        <c:ser>
          <c:idx val="2"/>
          <c:order val="2"/>
          <c:tx>
            <c:v>Contres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TCD!$Z$379:$AA$396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TCD!$AD$379:$AD$396</c:f>
              <c:numCache>
                <c:formatCode>General</c:formatCode>
                <c:ptCount val="18"/>
                <c:pt idx="0">
                  <c:v>15</c:v>
                </c:pt>
                <c:pt idx="1">
                  <c:v>4</c:v>
                </c:pt>
                <c:pt idx="2">
                  <c:v>4</c:v>
                </c:pt>
                <c:pt idx="3">
                  <c:v>32</c:v>
                </c:pt>
                <c:pt idx="4">
                  <c:v>0</c:v>
                </c:pt>
                <c:pt idx="5">
                  <c:v>22</c:v>
                </c:pt>
                <c:pt idx="6">
                  <c:v>34</c:v>
                </c:pt>
                <c:pt idx="7">
                  <c:v>70</c:v>
                </c:pt>
                <c:pt idx="8">
                  <c:v>5</c:v>
                </c:pt>
                <c:pt idx="9">
                  <c:v>63</c:v>
                </c:pt>
                <c:pt idx="10">
                  <c:v>7</c:v>
                </c:pt>
                <c:pt idx="11">
                  <c:v>48</c:v>
                </c:pt>
                <c:pt idx="12">
                  <c:v>28</c:v>
                </c:pt>
                <c:pt idx="13">
                  <c:v>7</c:v>
                </c:pt>
                <c:pt idx="14">
                  <c:v>36</c:v>
                </c:pt>
                <c:pt idx="15">
                  <c:v>0</c:v>
                </c:pt>
                <c:pt idx="16">
                  <c:v>7</c:v>
                </c:pt>
                <c:pt idx="17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C-3149-8754-9422A0F128A0}"/>
            </c:ext>
          </c:extLst>
        </c:ser>
        <c:ser>
          <c:idx val="3"/>
          <c:order val="3"/>
          <c:tx>
            <c:v>Évaluation globale de l'impact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TCD!$Z$379:$AA$396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TCD!$AE$379:$AE$396</c:f>
              <c:numCache>
                <c:formatCode>General</c:formatCode>
                <c:ptCount val="18"/>
                <c:pt idx="0">
                  <c:v>10.5</c:v>
                </c:pt>
                <c:pt idx="1">
                  <c:v>2.5</c:v>
                </c:pt>
                <c:pt idx="2">
                  <c:v>8.1999999999999993</c:v>
                </c:pt>
                <c:pt idx="3">
                  <c:v>10.1</c:v>
                </c:pt>
                <c:pt idx="4">
                  <c:v>6.5</c:v>
                </c:pt>
                <c:pt idx="5">
                  <c:v>10.1</c:v>
                </c:pt>
                <c:pt idx="6">
                  <c:v>7.5</c:v>
                </c:pt>
                <c:pt idx="7">
                  <c:v>12.2</c:v>
                </c:pt>
                <c:pt idx="8">
                  <c:v>6.6</c:v>
                </c:pt>
                <c:pt idx="9">
                  <c:v>13.8</c:v>
                </c:pt>
                <c:pt idx="10">
                  <c:v>8.9</c:v>
                </c:pt>
                <c:pt idx="11">
                  <c:v>13.8</c:v>
                </c:pt>
                <c:pt idx="12">
                  <c:v>12.4</c:v>
                </c:pt>
                <c:pt idx="13">
                  <c:v>9.3000000000000007</c:v>
                </c:pt>
                <c:pt idx="14">
                  <c:v>6.3</c:v>
                </c:pt>
                <c:pt idx="15">
                  <c:v>-6.9</c:v>
                </c:pt>
                <c:pt idx="16">
                  <c:v>8.8000000000000007</c:v>
                </c:pt>
                <c:pt idx="17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C-3149-8754-9422A0F1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51663"/>
        <c:axId val="444964335"/>
      </c:lineChart>
      <c:catAx>
        <c:axId val="8501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413471"/>
        <c:crosses val="autoZero"/>
        <c:auto val="1"/>
        <c:lblAlgn val="ctr"/>
        <c:lblOffset val="100"/>
        <c:noMultiLvlLbl val="0"/>
      </c:catAx>
      <c:valAx>
        <c:axId val="5134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0140255"/>
        <c:crosses val="autoZero"/>
        <c:crossBetween val="between"/>
      </c:valAx>
      <c:valAx>
        <c:axId val="4449643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251663"/>
        <c:crosses val="max"/>
        <c:crossBetween val="between"/>
      </c:valAx>
      <c:catAx>
        <c:axId val="38325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643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OKC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Rebond offensifs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TCD!$K$379:$K$396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TCD!$L$379:$L$396</c:f>
              <c:numCache>
                <c:formatCode>General</c:formatCode>
                <c:ptCount val="18"/>
                <c:pt idx="0">
                  <c:v>84</c:v>
                </c:pt>
                <c:pt idx="1">
                  <c:v>7</c:v>
                </c:pt>
                <c:pt idx="2">
                  <c:v>18</c:v>
                </c:pt>
                <c:pt idx="3">
                  <c:v>38</c:v>
                </c:pt>
                <c:pt idx="4">
                  <c:v>8</c:v>
                </c:pt>
                <c:pt idx="5">
                  <c:v>16</c:v>
                </c:pt>
                <c:pt idx="6">
                  <c:v>68</c:v>
                </c:pt>
                <c:pt idx="7">
                  <c:v>48</c:v>
                </c:pt>
                <c:pt idx="8">
                  <c:v>32</c:v>
                </c:pt>
                <c:pt idx="9">
                  <c:v>165</c:v>
                </c:pt>
                <c:pt idx="10">
                  <c:v>44</c:v>
                </c:pt>
                <c:pt idx="11">
                  <c:v>62</c:v>
                </c:pt>
                <c:pt idx="12">
                  <c:v>47</c:v>
                </c:pt>
                <c:pt idx="13">
                  <c:v>62</c:v>
                </c:pt>
                <c:pt idx="14">
                  <c:v>92</c:v>
                </c:pt>
                <c:pt idx="15">
                  <c:v>1</c:v>
                </c:pt>
                <c:pt idx="16">
                  <c:v>19</c:v>
                </c:pt>
                <c:pt idx="1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D-C44A-8021-8A69847BA809}"/>
            </c:ext>
          </c:extLst>
        </c:ser>
        <c:ser>
          <c:idx val="1"/>
          <c:order val="1"/>
          <c:tx>
            <c:v>Rebonds défensifs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TCD!$K$379:$K$396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TCD!$M$379:$M$396</c:f>
              <c:numCache>
                <c:formatCode>General</c:formatCode>
                <c:ptCount val="18"/>
                <c:pt idx="0">
                  <c:v>213</c:v>
                </c:pt>
                <c:pt idx="1">
                  <c:v>19</c:v>
                </c:pt>
                <c:pt idx="2">
                  <c:v>50</c:v>
                </c:pt>
                <c:pt idx="3">
                  <c:v>119</c:v>
                </c:pt>
                <c:pt idx="4">
                  <c:v>17</c:v>
                </c:pt>
                <c:pt idx="5">
                  <c:v>38</c:v>
                </c:pt>
                <c:pt idx="6">
                  <c:v>156</c:v>
                </c:pt>
                <c:pt idx="7">
                  <c:v>208</c:v>
                </c:pt>
                <c:pt idx="8">
                  <c:v>92</c:v>
                </c:pt>
                <c:pt idx="9">
                  <c:v>450</c:v>
                </c:pt>
                <c:pt idx="10">
                  <c:v>155</c:v>
                </c:pt>
                <c:pt idx="11">
                  <c:v>311</c:v>
                </c:pt>
                <c:pt idx="12">
                  <c:v>216</c:v>
                </c:pt>
                <c:pt idx="13">
                  <c:v>179</c:v>
                </c:pt>
                <c:pt idx="14">
                  <c:v>206</c:v>
                </c:pt>
                <c:pt idx="15">
                  <c:v>2</c:v>
                </c:pt>
                <c:pt idx="16">
                  <c:v>63</c:v>
                </c:pt>
                <c:pt idx="17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D-C44A-8021-8A69847BA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140255"/>
        <c:axId val="513413471"/>
      </c:barChart>
      <c:lineChart>
        <c:grouping val="standard"/>
        <c:varyColors val="0"/>
        <c:ser>
          <c:idx val="2"/>
          <c:order val="2"/>
          <c:tx>
            <c:v>Évaluation globale de l'impact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TCD!$K$379:$K$396</c:f>
              <c:strCache>
                <c:ptCount val="18"/>
                <c:pt idx="0">
                  <c:v>Aaron Wiggins</c:v>
                </c:pt>
                <c:pt idx="1">
                  <c:v>Adam Flagler</c:v>
                </c:pt>
                <c:pt idx="2">
                  <c:v>Ajay Mitchell</c:v>
                </c:pt>
                <c:pt idx="3">
                  <c:v>Alex Caruso</c:v>
                </c:pt>
                <c:pt idx="4">
                  <c:v>Alex Ducas</c:v>
                </c:pt>
                <c:pt idx="5">
                  <c:v>Branden Carlson</c:v>
                </c:pt>
                <c:pt idx="6">
                  <c:v>Cason Wallace</c:v>
                </c:pt>
                <c:pt idx="7">
                  <c:v>Chet Holmgren</c:v>
                </c:pt>
                <c:pt idx="8">
                  <c:v>Dillon Jones</c:v>
                </c:pt>
                <c:pt idx="9">
                  <c:v>Isaiah Hartenstein</c:v>
                </c:pt>
                <c:pt idx="10">
                  <c:v>Isaiah Joe</c:v>
                </c:pt>
                <c:pt idx="11">
                  <c:v>Jalen Williams</c:v>
                </c:pt>
                <c:pt idx="12">
                  <c:v>Jaylin Williams</c:v>
                </c:pt>
                <c:pt idx="13">
                  <c:v>Kenrich Williams</c:v>
                </c:pt>
                <c:pt idx="14">
                  <c:v>Luguentz Dort</c:v>
                </c:pt>
                <c:pt idx="15">
                  <c:v>Malevy Leons</c:v>
                </c:pt>
                <c:pt idx="16">
                  <c:v>Ousmane Dieng</c:v>
                </c:pt>
                <c:pt idx="17">
                  <c:v>Shai Gilgeous-Alexander</c:v>
                </c:pt>
              </c:strCache>
            </c:strRef>
          </c:cat>
          <c:val>
            <c:numRef>
              <c:f>TCD!$N$379:$N$396</c:f>
              <c:numCache>
                <c:formatCode>General</c:formatCode>
                <c:ptCount val="18"/>
                <c:pt idx="0">
                  <c:v>10.5</c:v>
                </c:pt>
                <c:pt idx="1">
                  <c:v>2.5</c:v>
                </c:pt>
                <c:pt idx="2">
                  <c:v>8.1999999999999993</c:v>
                </c:pt>
                <c:pt idx="3">
                  <c:v>10.1</c:v>
                </c:pt>
                <c:pt idx="4">
                  <c:v>6.5</c:v>
                </c:pt>
                <c:pt idx="5">
                  <c:v>10.1</c:v>
                </c:pt>
                <c:pt idx="6">
                  <c:v>7.5</c:v>
                </c:pt>
                <c:pt idx="7">
                  <c:v>12.2</c:v>
                </c:pt>
                <c:pt idx="8">
                  <c:v>6.6</c:v>
                </c:pt>
                <c:pt idx="9">
                  <c:v>13.8</c:v>
                </c:pt>
                <c:pt idx="10">
                  <c:v>8.9</c:v>
                </c:pt>
                <c:pt idx="11">
                  <c:v>13.8</c:v>
                </c:pt>
                <c:pt idx="12">
                  <c:v>12.4</c:v>
                </c:pt>
                <c:pt idx="13">
                  <c:v>9.3000000000000007</c:v>
                </c:pt>
                <c:pt idx="14">
                  <c:v>6.3</c:v>
                </c:pt>
                <c:pt idx="15">
                  <c:v>-6.9</c:v>
                </c:pt>
                <c:pt idx="16">
                  <c:v>8.8000000000000007</c:v>
                </c:pt>
                <c:pt idx="17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D-C44A-8021-8A69847BA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51663"/>
        <c:axId val="444964335"/>
      </c:lineChart>
      <c:catAx>
        <c:axId val="8501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413471"/>
        <c:crosses val="autoZero"/>
        <c:auto val="1"/>
        <c:lblAlgn val="ctr"/>
        <c:lblOffset val="100"/>
        <c:noMultiLvlLbl val="0"/>
      </c:catAx>
      <c:valAx>
        <c:axId val="5134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0140255"/>
        <c:crosses val="autoZero"/>
        <c:crossBetween val="between"/>
      </c:valAx>
      <c:valAx>
        <c:axId val="4449643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251663"/>
        <c:crosses val="max"/>
        <c:crossBetween val="between"/>
      </c:valAx>
      <c:catAx>
        <c:axId val="38325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643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points total et Pourcentage</a:t>
            </a:r>
            <a:r>
              <a:rPr lang="fr-FR" baseline="0"/>
              <a:t> de réussite au tir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15'!$C$1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15'!$A$1:$A$17</c:f>
              <c:strCache>
                <c:ptCount val="17"/>
                <c:pt idx="0">
                  <c:v>Player</c:v>
                </c:pt>
                <c:pt idx="1">
                  <c:v>Shai Gilgeous-Alexander</c:v>
                </c:pt>
                <c:pt idx="2">
                  <c:v>Anthony Edwards</c:v>
                </c:pt>
                <c:pt idx="3">
                  <c:v>Nikola Jokić</c:v>
                </c:pt>
                <c:pt idx="4">
                  <c:v>Giannis Antetokounmpo</c:v>
                </c:pt>
                <c:pt idx="5">
                  <c:v>Jayson Tatum</c:v>
                </c:pt>
                <c:pt idx="6">
                  <c:v>Devin Booker</c:v>
                </c:pt>
                <c:pt idx="7">
                  <c:v>Tyler Herro</c:v>
                </c:pt>
                <c:pt idx="8">
                  <c:v>Trae Young</c:v>
                </c:pt>
                <c:pt idx="9">
                  <c:v>Cade Cunningham</c:v>
                </c:pt>
                <c:pt idx="10">
                  <c:v>James Harden</c:v>
                </c:pt>
                <c:pt idx="11">
                  <c:v>Karl-Anthony Towns</c:v>
                </c:pt>
                <c:pt idx="12">
                  <c:v>Zach LaVine</c:v>
                </c:pt>
                <c:pt idx="13">
                  <c:v>Jalen Green</c:v>
                </c:pt>
                <c:pt idx="14">
                  <c:v>Stephen Curry</c:v>
                </c:pt>
                <c:pt idx="15">
                  <c:v>DeMar DeRozan</c:v>
                </c:pt>
                <c:pt idx="16">
                  <c:v>LeBron James</c:v>
                </c:pt>
              </c:strCache>
            </c:strRef>
          </c:cat>
          <c:val>
            <c:numRef>
              <c:f>'Top 15'!$C$2:$C$17</c:f>
              <c:numCache>
                <c:formatCode>General</c:formatCode>
                <c:ptCount val="16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  <c:pt idx="15">
                  <c:v>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D-6E4E-9C9B-2F44BC016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140255"/>
        <c:axId val="513413471"/>
      </c:barChart>
      <c:lineChart>
        <c:grouping val="standard"/>
        <c:varyColors val="0"/>
        <c:ser>
          <c:idx val="2"/>
          <c:order val="1"/>
          <c:tx>
            <c:strRef>
              <c:f>'Top 15'!$E$1</c:f>
              <c:strCache>
                <c:ptCount val="1"/>
                <c:pt idx="0">
                  <c:v>FGA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'Top 15'!$A$2:$B$17</c:f>
              <c:multiLvlStrCache>
                <c:ptCount val="16"/>
                <c:lvl>
                  <c:pt idx="0">
                    <c:v>OKC</c:v>
                  </c:pt>
                  <c:pt idx="1">
                    <c:v>MIN</c:v>
                  </c:pt>
                  <c:pt idx="2">
                    <c:v>DEN</c:v>
                  </c:pt>
                  <c:pt idx="3">
                    <c:v>MIL</c:v>
                  </c:pt>
                  <c:pt idx="4">
                    <c:v>BOS</c:v>
                  </c:pt>
                  <c:pt idx="5">
                    <c:v>PHX</c:v>
                  </c:pt>
                  <c:pt idx="6">
                    <c:v>MIA</c:v>
                  </c:pt>
                  <c:pt idx="7">
                    <c:v>ATL</c:v>
                  </c:pt>
                  <c:pt idx="8">
                    <c:v>DET</c:v>
                  </c:pt>
                  <c:pt idx="9">
                    <c:v>LAC</c:v>
                  </c:pt>
                  <c:pt idx="10">
                    <c:v>NYK</c:v>
                  </c:pt>
                  <c:pt idx="11">
                    <c:v>SAC</c:v>
                  </c:pt>
                  <c:pt idx="12">
                    <c:v>HOU</c:v>
                  </c:pt>
                  <c:pt idx="13">
                    <c:v>GSW</c:v>
                  </c:pt>
                  <c:pt idx="14">
                    <c:v>SAC</c:v>
                  </c:pt>
                  <c:pt idx="15">
                    <c:v>LAL</c:v>
                  </c:pt>
                </c:lvl>
                <c:lvl>
                  <c:pt idx="0">
                    <c:v>Shai Gilgeous-Alexander</c:v>
                  </c:pt>
                  <c:pt idx="1">
                    <c:v>Anthony Edwards</c:v>
                  </c:pt>
                  <c:pt idx="2">
                    <c:v>Nikola Jokić</c:v>
                  </c:pt>
                  <c:pt idx="3">
                    <c:v>Giannis Antetokounmpo</c:v>
                  </c:pt>
                  <c:pt idx="4">
                    <c:v>Jayson Tatum</c:v>
                  </c:pt>
                  <c:pt idx="5">
                    <c:v>Devin Booker</c:v>
                  </c:pt>
                  <c:pt idx="6">
                    <c:v>Tyler Herro</c:v>
                  </c:pt>
                  <c:pt idx="7">
                    <c:v>Trae Young</c:v>
                  </c:pt>
                  <c:pt idx="8">
                    <c:v>Cade Cunningham</c:v>
                  </c:pt>
                  <c:pt idx="9">
                    <c:v>James Harden</c:v>
                  </c:pt>
                  <c:pt idx="10">
                    <c:v>Karl-Anthony Towns</c:v>
                  </c:pt>
                  <c:pt idx="11">
                    <c:v>Zach LaVine</c:v>
                  </c:pt>
                  <c:pt idx="12">
                    <c:v>Jalen Green</c:v>
                  </c:pt>
                  <c:pt idx="13">
                    <c:v>Stephen Curry</c:v>
                  </c:pt>
                  <c:pt idx="14">
                    <c:v>DeMar DeRozan</c:v>
                  </c:pt>
                  <c:pt idx="15">
                    <c:v>LeBron James</c:v>
                  </c:pt>
                </c:lvl>
              </c:multiLvlStrCache>
            </c:multiLvlStrRef>
          </c:cat>
          <c:val>
            <c:numRef>
              <c:f>'Top 15'!$E$2:$E$17</c:f>
            </c:numRef>
          </c:val>
          <c:smooth val="0"/>
          <c:extLst>
            <c:ext xmlns:c16="http://schemas.microsoft.com/office/drawing/2014/chart" uri="{C3380CC4-5D6E-409C-BE32-E72D297353CC}">
              <c16:uniqueId val="{00000002-4AAD-6E4E-9C9B-2F44BC01609E}"/>
            </c:ext>
          </c:extLst>
        </c:ser>
        <c:ser>
          <c:idx val="3"/>
          <c:order val="2"/>
          <c:tx>
            <c:strRef>
              <c:f>'Top 15'!$F$1</c:f>
              <c:strCache>
                <c:ptCount val="1"/>
                <c:pt idx="0">
                  <c:v>FG%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'Top 15'!$A$2:$B$17</c:f>
              <c:multiLvlStrCache>
                <c:ptCount val="16"/>
                <c:lvl>
                  <c:pt idx="0">
                    <c:v>OKC</c:v>
                  </c:pt>
                  <c:pt idx="1">
                    <c:v>MIN</c:v>
                  </c:pt>
                  <c:pt idx="2">
                    <c:v>DEN</c:v>
                  </c:pt>
                  <c:pt idx="3">
                    <c:v>MIL</c:v>
                  </c:pt>
                  <c:pt idx="4">
                    <c:v>BOS</c:v>
                  </c:pt>
                  <c:pt idx="5">
                    <c:v>PHX</c:v>
                  </c:pt>
                  <c:pt idx="6">
                    <c:v>MIA</c:v>
                  </c:pt>
                  <c:pt idx="7">
                    <c:v>ATL</c:v>
                  </c:pt>
                  <c:pt idx="8">
                    <c:v>DET</c:v>
                  </c:pt>
                  <c:pt idx="9">
                    <c:v>LAC</c:v>
                  </c:pt>
                  <c:pt idx="10">
                    <c:v>NYK</c:v>
                  </c:pt>
                  <c:pt idx="11">
                    <c:v>SAC</c:v>
                  </c:pt>
                  <c:pt idx="12">
                    <c:v>HOU</c:v>
                  </c:pt>
                  <c:pt idx="13">
                    <c:v>GSW</c:v>
                  </c:pt>
                  <c:pt idx="14">
                    <c:v>SAC</c:v>
                  </c:pt>
                  <c:pt idx="15">
                    <c:v>LAL</c:v>
                  </c:pt>
                </c:lvl>
                <c:lvl>
                  <c:pt idx="0">
                    <c:v>Shai Gilgeous-Alexander</c:v>
                  </c:pt>
                  <c:pt idx="1">
                    <c:v>Anthony Edwards</c:v>
                  </c:pt>
                  <c:pt idx="2">
                    <c:v>Nikola Jokić</c:v>
                  </c:pt>
                  <c:pt idx="3">
                    <c:v>Giannis Antetokounmpo</c:v>
                  </c:pt>
                  <c:pt idx="4">
                    <c:v>Jayson Tatum</c:v>
                  </c:pt>
                  <c:pt idx="5">
                    <c:v>Devin Booker</c:v>
                  </c:pt>
                  <c:pt idx="6">
                    <c:v>Tyler Herro</c:v>
                  </c:pt>
                  <c:pt idx="7">
                    <c:v>Trae Young</c:v>
                  </c:pt>
                  <c:pt idx="8">
                    <c:v>Cade Cunningham</c:v>
                  </c:pt>
                  <c:pt idx="9">
                    <c:v>James Harden</c:v>
                  </c:pt>
                  <c:pt idx="10">
                    <c:v>Karl-Anthony Towns</c:v>
                  </c:pt>
                  <c:pt idx="11">
                    <c:v>Zach LaVine</c:v>
                  </c:pt>
                  <c:pt idx="12">
                    <c:v>Jalen Green</c:v>
                  </c:pt>
                  <c:pt idx="13">
                    <c:v>Stephen Curry</c:v>
                  </c:pt>
                  <c:pt idx="14">
                    <c:v>DeMar DeRozan</c:v>
                  </c:pt>
                  <c:pt idx="15">
                    <c:v>LeBron James</c:v>
                  </c:pt>
                </c:lvl>
              </c:multiLvlStrCache>
            </c:multiLvlStrRef>
          </c:cat>
          <c:val>
            <c:numRef>
              <c:f>'Top 15'!$F$2:$F$17</c:f>
              <c:numCache>
                <c:formatCode>General</c:formatCode>
                <c:ptCount val="16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  <c:pt idx="15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D-6E4E-9C9B-2F44BC016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51663"/>
        <c:axId val="444964335"/>
      </c:lineChart>
      <c:catAx>
        <c:axId val="8501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413471"/>
        <c:crosses val="autoZero"/>
        <c:auto val="1"/>
        <c:lblAlgn val="ctr"/>
        <c:lblOffset val="100"/>
        <c:noMultiLvlLbl val="0"/>
      </c:catAx>
      <c:valAx>
        <c:axId val="5134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0140255"/>
        <c:crosses val="autoZero"/>
        <c:crossBetween val="between"/>
      </c:valAx>
      <c:valAx>
        <c:axId val="4449643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251663"/>
        <c:crosses val="max"/>
        <c:crossBetween val="between"/>
      </c:valAx>
      <c:catAx>
        <c:axId val="38325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643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Pourcentage</a:t>
            </a:r>
            <a:r>
              <a:rPr lang="fr-FR" baseline="0"/>
              <a:t> de tirs, de 3 points et de lancers francs réussis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 15'!$A$2:$A$18</c:f>
              <c:strCache>
                <c:ptCount val="17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  <c:pt idx="15">
                  <c:v>LeBron James</c:v>
                </c:pt>
                <c:pt idx="16">
                  <c:v>Donovan Mitchell</c:v>
                </c:pt>
              </c:strCache>
            </c:strRef>
          </c:cat>
          <c:val>
            <c:numRef>
              <c:f>'Top 15'!$G$2:$G$18</c:f>
            </c:numRef>
          </c:val>
          <c:smooth val="0"/>
          <c:extLst>
            <c:ext xmlns:c16="http://schemas.microsoft.com/office/drawing/2014/chart" uri="{C3380CC4-5D6E-409C-BE32-E72D297353CC}">
              <c16:uniqueId val="{00000001-C87E-6546-AABF-D233101D4B6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'Top 15'!$A$2:$A$18</c:f>
              <c:strCache>
                <c:ptCount val="17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  <c:pt idx="15">
                  <c:v>LeBron James</c:v>
                </c:pt>
                <c:pt idx="16">
                  <c:v>Donovan Mitchell</c:v>
                </c:pt>
              </c:strCache>
            </c:strRef>
          </c:cat>
          <c:val>
            <c:numRef>
              <c:f>'Top 15'!$I$2:$I$18</c:f>
            </c:numRef>
          </c:val>
          <c:smooth val="0"/>
          <c:extLst>
            <c:ext xmlns:c16="http://schemas.microsoft.com/office/drawing/2014/chart" uri="{C3380CC4-5D6E-409C-BE32-E72D297353CC}">
              <c16:uniqueId val="{0000000B-C87E-6546-AABF-D233101D4B6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'Top 15'!$A$2:$A$18</c:f>
              <c:strCache>
                <c:ptCount val="17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  <c:pt idx="15">
                  <c:v>LeBron James</c:v>
                </c:pt>
                <c:pt idx="16">
                  <c:v>Donovan Mitchell</c:v>
                </c:pt>
              </c:strCache>
            </c:strRef>
          </c:cat>
          <c:val>
            <c:numRef>
              <c:f>'Top 15'!$J$2:$J$18</c:f>
            </c:numRef>
          </c:val>
          <c:smooth val="0"/>
          <c:extLst>
            <c:ext xmlns:c16="http://schemas.microsoft.com/office/drawing/2014/chart" uri="{C3380CC4-5D6E-409C-BE32-E72D297353CC}">
              <c16:uniqueId val="{0000000C-C87E-6546-AABF-D233101D4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91199"/>
        <c:axId val="1876447088"/>
      </c:lineChart>
      <c:lineChart>
        <c:grouping val="standard"/>
        <c:varyColors val="0"/>
        <c:ser>
          <c:idx val="0"/>
          <c:order val="0"/>
          <c:tx>
            <c:v>Tirs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15'!$A$2:$A$18</c:f>
              <c:strCache>
                <c:ptCount val="17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  <c:pt idx="15">
                  <c:v>LeBron James</c:v>
                </c:pt>
                <c:pt idx="16">
                  <c:v>Donovan Mitchell</c:v>
                </c:pt>
              </c:strCache>
            </c:strRef>
          </c:cat>
          <c:val>
            <c:numRef>
              <c:f>'Top 15'!$F$2:$F$18</c:f>
              <c:numCache>
                <c:formatCode>General</c:formatCode>
                <c:ptCount val="17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  <c:pt idx="15">
                  <c:v>51.3</c:v>
                </c:pt>
                <c:pt idx="16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E-6546-AABF-D233101D4B60}"/>
            </c:ext>
          </c:extLst>
        </c:ser>
        <c:ser>
          <c:idx val="2"/>
          <c:order val="2"/>
          <c:tx>
            <c:v>3 Points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'Top 15'!$A$2:$A$18</c:f>
              <c:strCache>
                <c:ptCount val="17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  <c:pt idx="15">
                  <c:v>LeBron James</c:v>
                </c:pt>
                <c:pt idx="16">
                  <c:v>Donovan Mitchell</c:v>
                </c:pt>
              </c:strCache>
            </c:strRef>
          </c:cat>
          <c:val>
            <c:numRef>
              <c:f>'Top 15'!$H$2:$H$18</c:f>
              <c:numCache>
                <c:formatCode>General</c:formatCode>
                <c:ptCount val="17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  <c:pt idx="15">
                  <c:v>37.6</c:v>
                </c:pt>
                <c:pt idx="16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E-6546-AABF-D233101D4B60}"/>
            </c:ext>
          </c:extLst>
        </c:ser>
        <c:ser>
          <c:idx val="5"/>
          <c:order val="5"/>
          <c:tx>
            <c:v>Lancers francs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'Top 15'!$A$2:$A$18</c:f>
              <c:strCache>
                <c:ptCount val="17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  <c:pt idx="15">
                  <c:v>LeBron James</c:v>
                </c:pt>
                <c:pt idx="16">
                  <c:v>Donovan Mitchell</c:v>
                </c:pt>
              </c:strCache>
            </c:strRef>
          </c:cat>
          <c:val>
            <c:numRef>
              <c:f>'Top 15'!$K$2:$K$18</c:f>
              <c:numCache>
                <c:formatCode>General</c:formatCode>
                <c:ptCount val="17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  <c:pt idx="15">
                  <c:v>78.2</c:v>
                </c:pt>
                <c:pt idx="16">
                  <c:v>82.3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7E-6546-AABF-D233101D4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91199"/>
        <c:axId val="1876447088"/>
      </c:lineChart>
      <c:catAx>
        <c:axId val="107819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447088"/>
        <c:crosses val="autoZero"/>
        <c:auto val="1"/>
        <c:lblAlgn val="ctr"/>
        <c:lblOffset val="100"/>
        <c:noMultiLvlLbl val="0"/>
      </c:catAx>
      <c:valAx>
        <c:axId val="187644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81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Moyennes</a:t>
            </a:r>
            <a:r>
              <a:rPr lang="fr-FR" baseline="0"/>
              <a:t> de réussite de tirs et Moyennes du ratio passe / erreur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Classements!$G$41</c:f>
              <c:strCache>
                <c:ptCount val="1"/>
                <c:pt idx="0">
                  <c:v>Moyenne de % True Shooting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Classements!$F$42:$F$56</c:f>
              <c:strCache>
                <c:ptCount val="15"/>
                <c:pt idx="0">
                  <c:v>Jahmir Young</c:v>
                </c:pt>
                <c:pt idx="1">
                  <c:v>Daeqwon Plowden</c:v>
                </c:pt>
                <c:pt idx="2">
                  <c:v>Kai Jones</c:v>
                </c:pt>
                <c:pt idx="3">
                  <c:v>N'Faly Dante</c:v>
                </c:pt>
                <c:pt idx="4">
                  <c:v>Jarrett Allen</c:v>
                </c:pt>
                <c:pt idx="5">
                  <c:v>Dwight Powell</c:v>
                </c:pt>
                <c:pt idx="6">
                  <c:v>Adem Bona</c:v>
                </c:pt>
                <c:pt idx="7">
                  <c:v>Daniel Gafford</c:v>
                </c:pt>
                <c:pt idx="8">
                  <c:v>Jaxson Hayes</c:v>
                </c:pt>
                <c:pt idx="9">
                  <c:v>Keshad Johnson</c:v>
                </c:pt>
                <c:pt idx="10">
                  <c:v>Jalen Duren</c:v>
                </c:pt>
                <c:pt idx="11">
                  <c:v>Dereck Lively II</c:v>
                </c:pt>
                <c:pt idx="12">
                  <c:v>Moses Brown</c:v>
                </c:pt>
                <c:pt idx="13">
                  <c:v>Patrick Baldwin Jr,</c:v>
                </c:pt>
                <c:pt idx="14">
                  <c:v>Richaun Holmes</c:v>
                </c:pt>
              </c:strCache>
            </c:strRef>
          </c:cat>
          <c:val>
            <c:numRef>
              <c:f>Classements!$G$42:$G$56</c:f>
              <c:numCache>
                <c:formatCode>0%</c:formatCode>
                <c:ptCount val="15"/>
                <c:pt idx="0">
                  <c:v>0.93537414965986398</c:v>
                </c:pt>
                <c:pt idx="1">
                  <c:v>0.83075734157650694</c:v>
                </c:pt>
                <c:pt idx="2">
                  <c:v>0.81913499344692009</c:v>
                </c:pt>
                <c:pt idx="3">
                  <c:v>0.78947368421052633</c:v>
                </c:pt>
                <c:pt idx="4">
                  <c:v>0.72565420315695628</c:v>
                </c:pt>
                <c:pt idx="5">
                  <c:v>0.72175211548033846</c:v>
                </c:pt>
                <c:pt idx="6">
                  <c:v>0.71623465211459758</c:v>
                </c:pt>
                <c:pt idx="7">
                  <c:v>0.71478097724121048</c:v>
                </c:pt>
                <c:pt idx="8">
                  <c:v>0.7096557890031292</c:v>
                </c:pt>
                <c:pt idx="9">
                  <c:v>0.70723684210526316</c:v>
                </c:pt>
                <c:pt idx="10">
                  <c:v>0.7050024521824424</c:v>
                </c:pt>
                <c:pt idx="11">
                  <c:v>0.7028022274115322</c:v>
                </c:pt>
                <c:pt idx="12">
                  <c:v>0.702247191011236</c:v>
                </c:pt>
                <c:pt idx="13">
                  <c:v>0.69371727748691092</c:v>
                </c:pt>
                <c:pt idx="14">
                  <c:v>0.68992528320077129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7-A74E-9640-104D9DF82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140255"/>
        <c:axId val="513413471"/>
      </c:barChart>
      <c:lineChart>
        <c:grouping val="standard"/>
        <c:varyColors val="0"/>
        <c:ser>
          <c:idx val="2"/>
          <c:order val="1"/>
          <c:tx>
            <c:strRef>
              <c:f>Classements!$H$41</c:f>
              <c:strCache>
                <c:ptCount val="1"/>
                <c:pt idx="0">
                  <c:v>Moyenne de Ratio Passe vs Erreur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Classements!$F$42:$F$56</c:f>
              <c:strCache>
                <c:ptCount val="15"/>
                <c:pt idx="0">
                  <c:v>Jahmir Young</c:v>
                </c:pt>
                <c:pt idx="1">
                  <c:v>Daeqwon Plowden</c:v>
                </c:pt>
                <c:pt idx="2">
                  <c:v>Kai Jones</c:v>
                </c:pt>
                <c:pt idx="3">
                  <c:v>N'Faly Dante</c:v>
                </c:pt>
                <c:pt idx="4">
                  <c:v>Jarrett Allen</c:v>
                </c:pt>
                <c:pt idx="5">
                  <c:v>Dwight Powell</c:v>
                </c:pt>
                <c:pt idx="6">
                  <c:v>Adem Bona</c:v>
                </c:pt>
                <c:pt idx="7">
                  <c:v>Daniel Gafford</c:v>
                </c:pt>
                <c:pt idx="8">
                  <c:v>Jaxson Hayes</c:v>
                </c:pt>
                <c:pt idx="9">
                  <c:v>Keshad Johnson</c:v>
                </c:pt>
                <c:pt idx="10">
                  <c:v>Jalen Duren</c:v>
                </c:pt>
                <c:pt idx="11">
                  <c:v>Dereck Lively II</c:v>
                </c:pt>
                <c:pt idx="12">
                  <c:v>Moses Brown</c:v>
                </c:pt>
                <c:pt idx="13">
                  <c:v>Patrick Baldwin Jr,</c:v>
                </c:pt>
                <c:pt idx="14">
                  <c:v>Richaun Holmes</c:v>
                </c:pt>
              </c:strCache>
            </c:strRef>
          </c:cat>
          <c:val>
            <c:numRef>
              <c:f>Classements!$H$42:$H$56</c:f>
              <c:numCache>
                <c:formatCode>0.0</c:formatCode>
                <c:ptCount val="15"/>
                <c:pt idx="0">
                  <c:v>6</c:v>
                </c:pt>
                <c:pt idx="1">
                  <c:v>0.5</c:v>
                </c:pt>
                <c:pt idx="2">
                  <c:v>1.2</c:v>
                </c:pt>
                <c:pt idx="3">
                  <c:v>1</c:v>
                </c:pt>
                <c:pt idx="4">
                  <c:v>1.5918367346938775</c:v>
                </c:pt>
                <c:pt idx="5">
                  <c:v>3.2352941176470589</c:v>
                </c:pt>
                <c:pt idx="6">
                  <c:v>0.453125</c:v>
                </c:pt>
                <c:pt idx="7">
                  <c:v>1.1764705882352942</c:v>
                </c:pt>
                <c:pt idx="8">
                  <c:v>1.2444444444444445</c:v>
                </c:pt>
                <c:pt idx="9">
                  <c:v>1</c:v>
                </c:pt>
                <c:pt idx="10">
                  <c:v>1.5864661654135339</c:v>
                </c:pt>
                <c:pt idx="11">
                  <c:v>2.15</c:v>
                </c:pt>
                <c:pt idx="12">
                  <c:v>0.3</c:v>
                </c:pt>
                <c:pt idx="13">
                  <c:v>0.4</c:v>
                </c:pt>
                <c:pt idx="14">
                  <c:v>1.9545454545454546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7-A74E-9640-104D9DF82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51663"/>
        <c:axId val="444964335"/>
      </c:lineChart>
      <c:catAx>
        <c:axId val="8501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413471"/>
        <c:crosses val="autoZero"/>
        <c:auto val="1"/>
        <c:lblAlgn val="ctr"/>
        <c:lblOffset val="100"/>
        <c:noMultiLvlLbl val="0"/>
      </c:catAx>
      <c:valAx>
        <c:axId val="5134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0140255"/>
        <c:crosses val="autoZero"/>
        <c:crossBetween val="between"/>
      </c:valAx>
      <c:valAx>
        <c:axId val="444964335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251663"/>
        <c:crosses val="max"/>
        <c:crossBetween val="between"/>
      </c:valAx>
      <c:catAx>
        <c:axId val="38325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9643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Équipes</a:t>
            </a:r>
            <a:r>
              <a:rPr lang="en-US" baseline="0"/>
              <a:t> le plus souvent gagnantes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Classements!$E$3</c:f>
              <c:strCache>
                <c:ptCount val="1"/>
                <c:pt idx="0">
                  <c:v>Somme de 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Classements!$D$4:$D$33</c:f>
              <c:strCache>
                <c:ptCount val="30"/>
                <c:pt idx="0">
                  <c:v>OKC</c:v>
                </c:pt>
                <c:pt idx="1">
                  <c:v>CLE</c:v>
                </c:pt>
                <c:pt idx="2">
                  <c:v>BOS</c:v>
                </c:pt>
                <c:pt idx="3">
                  <c:v>HOU</c:v>
                </c:pt>
                <c:pt idx="4">
                  <c:v>IND</c:v>
                </c:pt>
                <c:pt idx="5">
                  <c:v>MIN</c:v>
                </c:pt>
                <c:pt idx="6">
                  <c:v>MIL</c:v>
                </c:pt>
                <c:pt idx="7">
                  <c:v>DEN</c:v>
                </c:pt>
                <c:pt idx="8">
                  <c:v>LAL</c:v>
                </c:pt>
                <c:pt idx="9">
                  <c:v>NYK</c:v>
                </c:pt>
                <c:pt idx="10">
                  <c:v>LAC</c:v>
                </c:pt>
                <c:pt idx="11">
                  <c:v>GSW</c:v>
                </c:pt>
                <c:pt idx="12">
                  <c:v>DET</c:v>
                </c:pt>
                <c:pt idx="13">
                  <c:v>MEM</c:v>
                </c:pt>
                <c:pt idx="14">
                  <c:v>ORL</c:v>
                </c:pt>
                <c:pt idx="15">
                  <c:v>CHI</c:v>
                </c:pt>
                <c:pt idx="16">
                  <c:v>ATL</c:v>
                </c:pt>
                <c:pt idx="17">
                  <c:v>DAL</c:v>
                </c:pt>
                <c:pt idx="18">
                  <c:v>MIA</c:v>
                </c:pt>
                <c:pt idx="19">
                  <c:v>SAC</c:v>
                </c:pt>
                <c:pt idx="20">
                  <c:v>POR</c:v>
                </c:pt>
                <c:pt idx="21">
                  <c:v>PHX</c:v>
                </c:pt>
                <c:pt idx="22">
                  <c:v>SAS</c:v>
                </c:pt>
                <c:pt idx="23">
                  <c:v>TOR</c:v>
                </c:pt>
                <c:pt idx="24">
                  <c:v>BKN</c:v>
                </c:pt>
                <c:pt idx="25">
                  <c:v>PHI</c:v>
                </c:pt>
                <c:pt idx="26">
                  <c:v>NOP</c:v>
                </c:pt>
                <c:pt idx="27">
                  <c:v>WAS</c:v>
                </c:pt>
                <c:pt idx="28">
                  <c:v>CHA</c:v>
                </c:pt>
                <c:pt idx="29">
                  <c:v>UTA</c:v>
                </c:pt>
              </c:strCache>
            </c:strRef>
          </c:cat>
          <c:val>
            <c:numRef>
              <c:f>Classements!$E$4:$E$33</c:f>
              <c:numCache>
                <c:formatCode>General</c:formatCode>
                <c:ptCount val="30"/>
                <c:pt idx="0">
                  <c:v>767</c:v>
                </c:pt>
                <c:pt idx="1">
                  <c:v>671</c:v>
                </c:pt>
                <c:pt idx="2">
                  <c:v>628</c:v>
                </c:pt>
                <c:pt idx="3">
                  <c:v>562</c:v>
                </c:pt>
                <c:pt idx="4">
                  <c:v>556</c:v>
                </c:pt>
                <c:pt idx="5">
                  <c:v>548</c:v>
                </c:pt>
                <c:pt idx="6">
                  <c:v>535</c:v>
                </c:pt>
                <c:pt idx="7">
                  <c:v>521</c:v>
                </c:pt>
                <c:pt idx="8">
                  <c:v>520</c:v>
                </c:pt>
                <c:pt idx="9">
                  <c:v>514</c:v>
                </c:pt>
                <c:pt idx="10">
                  <c:v>505</c:v>
                </c:pt>
                <c:pt idx="11">
                  <c:v>498</c:v>
                </c:pt>
                <c:pt idx="12">
                  <c:v>497</c:v>
                </c:pt>
                <c:pt idx="13">
                  <c:v>491</c:v>
                </c:pt>
                <c:pt idx="14">
                  <c:v>471</c:v>
                </c:pt>
                <c:pt idx="15">
                  <c:v>456</c:v>
                </c:pt>
                <c:pt idx="16">
                  <c:v>453</c:v>
                </c:pt>
                <c:pt idx="17">
                  <c:v>451</c:v>
                </c:pt>
                <c:pt idx="18">
                  <c:v>425</c:v>
                </c:pt>
                <c:pt idx="19">
                  <c:v>399</c:v>
                </c:pt>
                <c:pt idx="20">
                  <c:v>390</c:v>
                </c:pt>
                <c:pt idx="21">
                  <c:v>373</c:v>
                </c:pt>
                <c:pt idx="22">
                  <c:v>364</c:v>
                </c:pt>
                <c:pt idx="23">
                  <c:v>307</c:v>
                </c:pt>
                <c:pt idx="24">
                  <c:v>251</c:v>
                </c:pt>
                <c:pt idx="25">
                  <c:v>239</c:v>
                </c:pt>
                <c:pt idx="26">
                  <c:v>228</c:v>
                </c:pt>
                <c:pt idx="27">
                  <c:v>207</c:v>
                </c:pt>
                <c:pt idx="28">
                  <c:v>204</c:v>
                </c:pt>
                <c:pt idx="29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E-E840-860F-89FA728E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03936"/>
        <c:axId val="1838403808"/>
      </c:barChart>
      <c:catAx>
        <c:axId val="18370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8403808"/>
        <c:crosses val="autoZero"/>
        <c:auto val="1"/>
        <c:lblAlgn val="ctr"/>
        <c:lblOffset val="100"/>
        <c:noMultiLvlLbl val="0"/>
      </c:catAx>
      <c:valAx>
        <c:axId val="18384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700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291954</xdr:colOff>
      <xdr:row>0</xdr:row>
      <xdr:rowOff>554713</xdr:rowOff>
    </xdr:from>
    <xdr:to>
      <xdr:col>14</xdr:col>
      <xdr:colOff>204368</xdr:colOff>
      <xdr:row>26</xdr:row>
      <xdr:rowOff>43795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C810507-04E9-EDA3-E405-817D1DC4A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254000</xdr:colOff>
      <xdr:row>374</xdr:row>
      <xdr:rowOff>2</xdr:rowOff>
    </xdr:from>
    <xdr:to>
      <xdr:col>33</xdr:col>
      <xdr:colOff>474133</xdr:colOff>
      <xdr:row>396</xdr:row>
      <xdr:rowOff>16146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9C7DEB0-31FB-324E-BFB0-F67FB4FDF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321734</xdr:colOff>
      <xdr:row>374</xdr:row>
      <xdr:rowOff>1</xdr:rowOff>
    </xdr:from>
    <xdr:to>
      <xdr:col>21</xdr:col>
      <xdr:colOff>40294</xdr:colOff>
      <xdr:row>396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FA61EC5-68E6-CA43-8D5A-87C5C2783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403720</xdr:colOff>
      <xdr:row>13</xdr:row>
      <xdr:rowOff>125220</xdr:rowOff>
    </xdr:from>
    <xdr:to>
      <xdr:col>3</xdr:col>
      <xdr:colOff>404080</xdr:colOff>
      <xdr:row>13</xdr:row>
      <xdr:rowOff>125580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D8D36966-5404-AF4F-A7AC-1BF3E689D463}"/>
                </a:ext>
              </a:extLst>
            </xdr14:cNvPr>
            <xdr14:cNvContentPartPr/>
          </xdr14:nvContentPartPr>
          <xdr14:nvPr macro=""/>
          <xdr14:xfrm>
            <a:off x="5229720" y="2601720"/>
            <a:ext cx="360" cy="36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D8D36966-5404-AF4F-A7AC-1BF3E689D4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21080" y="2592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0</xdr:colOff>
      <xdr:row>0</xdr:row>
      <xdr:rowOff>0</xdr:rowOff>
    </xdr:from>
    <xdr:to>
      <xdr:col>29</xdr:col>
      <xdr:colOff>139700</xdr:colOff>
      <xdr:row>22</xdr:row>
      <xdr:rowOff>25400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5E99100-D25F-DD45-818F-C1ADB09A2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6130</xdr:colOff>
      <xdr:row>23</xdr:row>
      <xdr:rowOff>20583</xdr:rowOff>
    </xdr:from>
    <xdr:to>
      <xdr:col>29</xdr:col>
      <xdr:colOff>153940</xdr:colOff>
      <xdr:row>47</xdr:row>
      <xdr:rowOff>19244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2750A37-C32E-9CFD-FE5F-5BD6DC611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403720</xdr:colOff>
      <xdr:row>13</xdr:row>
      <xdr:rowOff>125220</xdr:rowOff>
    </xdr:from>
    <xdr:to>
      <xdr:col>5</xdr:col>
      <xdr:colOff>404080</xdr:colOff>
      <xdr:row>13</xdr:row>
      <xdr:rowOff>125580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5BCD7F14-A953-3C41-87D6-E2B1045E9D4B}"/>
                </a:ext>
              </a:extLst>
            </xdr14:cNvPr>
            <xdr14:cNvContentPartPr/>
          </xdr14:nvContentPartPr>
          <xdr14:nvPr macro=""/>
          <xdr14:xfrm>
            <a:off x="5229720" y="2601720"/>
            <a:ext cx="360" cy="36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5BCD7F14-A953-3C41-87D6-E2B1045E9D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21080" y="2592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728134</xdr:colOff>
      <xdr:row>36</xdr:row>
      <xdr:rowOff>33867</xdr:rowOff>
    </xdr:from>
    <xdr:to>
      <xdr:col>12</xdr:col>
      <xdr:colOff>404476</xdr:colOff>
      <xdr:row>61</xdr:row>
      <xdr:rowOff>40025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4987F44-A708-FE42-87ED-3F8AF10A0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2150532</xdr:colOff>
      <xdr:row>1</xdr:row>
      <xdr:rowOff>67734</xdr:rowOff>
    </xdr:from>
    <xdr:to>
      <xdr:col>13</xdr:col>
      <xdr:colOff>152400</xdr:colOff>
      <xdr:row>33</xdr:row>
      <xdr:rowOff>67733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C86A8D7-B6BC-3151-9B24-7A9CF6575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403720</xdr:colOff>
      <xdr:row>13</xdr:row>
      <xdr:rowOff>125220</xdr:rowOff>
    </xdr:from>
    <xdr:to>
      <xdr:col>3</xdr:col>
      <xdr:colOff>404080</xdr:colOff>
      <xdr:row>13</xdr:row>
      <xdr:rowOff>125580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DB176B92-C138-572F-CE9B-D4C9C36D5F87}"/>
                </a:ext>
              </a:extLst>
            </xdr14:cNvPr>
            <xdr14:cNvContentPartPr/>
          </xdr14:nvContentPartPr>
          <xdr14:nvPr macro=""/>
          <xdr14:xfrm>
            <a:off x="5229720" y="2601720"/>
            <a:ext cx="360" cy="360"/>
          </xdr14:xfrm>
        </xdr:contentPart>
      </mc:Choice>
      <mc:Fallback xmlns="">
        <xdr:pic>
          <xdr:nvPicPr>
            <xdr:cNvPr id="9" name="Encre 8">
              <a:extLst>
                <a:ext uri="{FF2B5EF4-FFF2-40B4-BE49-F238E27FC236}">
                  <a16:creationId xmlns:a16="http://schemas.microsoft.com/office/drawing/2014/main" id="{DB176B92-C138-572F-CE9B-D4C9C36D5F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21080" y="2592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10:49:02.168"/>
    </inkml:context>
    <inkml:brush xml:id="br0">
      <inkml:brushProperty name="width" value="0.1" units="cm"/>
      <inkml:brushProperty name="height" value="0.6" units="cm"/>
      <inkml:brushProperty name="color" value="#849398"/>
      <inkml:brushProperty name="inkEffects" value="pencil"/>
    </inkml:brush>
  </inkml:definitions>
  <inkml:trace contextRef="#ctx0" brushRef="#br0">1 0 12123 180000 90000,'0'0'0'0'0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12:32:48.040"/>
    </inkml:context>
    <inkml:brush xml:id="br0">
      <inkml:brushProperty name="width" value="0.1" units="cm"/>
      <inkml:brushProperty name="height" value="0.6" units="cm"/>
      <inkml:brushProperty name="color" value="#849398"/>
      <inkml:brushProperty name="inkEffects" value="pencil"/>
    </inkml:brush>
  </inkml:definitions>
  <inkml:trace contextRef="#ctx0" brushRef="#br0">1 0 12123 180000 90000,'0'0'0'0'0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9:04:04.427"/>
    </inkml:context>
    <inkml:brush xml:id="br0">
      <inkml:brushProperty name="width" value="0.1" units="cm"/>
      <inkml:brushProperty name="height" value="0.6" units="cm"/>
      <inkml:brushProperty name="color" value="#849398"/>
      <inkml:brushProperty name="inkEffects" value="pencil"/>
    </inkml:brush>
  </inkml:definitions>
  <inkml:trace contextRef="#ctx0" brushRef="#br0">1 0 12123 180000 90000,'0'0'0'0'0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ginie Perrier" refreshedDate="45932.448077777779" createdVersion="6" refreshedVersion="6" minRefreshableVersion="3" recordCount="569" xr:uid="{00000000-000A-0000-FFFF-FFFF03000000}">
  <cacheSource type="worksheet">
    <worksheetSource ref="A1:AM570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 count="63">
        <n v="63"/>
        <n v="48"/>
        <n v="46"/>
        <n v="40"/>
        <n v="53"/>
        <n v="35"/>
        <n v="37"/>
        <n v="36"/>
        <n v="38"/>
        <n v="50"/>
        <n v="32"/>
        <n v="52"/>
        <n v="41"/>
        <n v="44"/>
        <n v="55"/>
        <n v="33"/>
        <n v="42"/>
        <n v="47"/>
        <n v="60"/>
        <n v="27"/>
        <n v="51"/>
        <n v="31"/>
        <n v="15"/>
        <n v="20"/>
        <n v="34"/>
        <n v="28"/>
        <n v="45"/>
        <n v="58"/>
        <n v="39"/>
        <n v="16"/>
        <n v="30"/>
        <n v="26"/>
        <n v="23"/>
        <n v="21"/>
        <n v="17"/>
        <n v="43"/>
        <n v="14"/>
        <n v="59"/>
        <n v="13"/>
        <n v="64"/>
        <n v="29"/>
        <n v="49"/>
        <n v="24"/>
        <n v="25"/>
        <n v="62"/>
        <n v="22"/>
        <n v="9"/>
        <n v="18"/>
        <n v="12"/>
        <n v="10"/>
        <n v="57"/>
        <n v="19"/>
        <n v="8"/>
        <n v="6"/>
        <n v="54"/>
        <n v="11"/>
        <n v="5"/>
        <n v="7"/>
        <n v="3"/>
        <n v="2"/>
        <n v="1"/>
        <n v="4"/>
        <n v="0"/>
      </sharedItems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37.899807291666" createdVersion="8" refreshedVersion="8" minRefreshableVersion="3" recordCount="569" xr:uid="{5B5E2695-EC9C-284B-9C16-D25B9E6A3716}">
  <cacheSource type="worksheet">
    <worksheetSource ref="A1:AO570" sheet="Calcul des ratios"/>
  </cacheSource>
  <cacheFields count="41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% True Shooting" numFmtId="9">
      <sharedItems containsMixedTypes="1" containsNumber="1" minValue="0" maxValue="0.93537414965986398"/>
    </cacheField>
    <cacheField name="Ratio Passe vs Erreur" numFmtId="2">
      <sharedItems containsMixedTypes="1" containsNumber="1" minValue="0" maxValue="11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x v="0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x v="1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x v="2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x v="3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x v="4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x v="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x v="6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x v="7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x v="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x v="9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x v="2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x v="10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x v="11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x v="12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x v="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x v="13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x v="14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x v="3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x v="15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x v="16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x v="1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x v="18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x v="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x v="14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x v="2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x v="19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x v="11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x v="15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x v="10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x v="20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x v="12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x v="7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x v="2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x v="1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x v="2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x v="22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x v="23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x v="2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x v="2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x v="25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x v="9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x v="13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x v="7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x v="26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x v="10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x v="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x v="27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x v="28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x v="29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x v="13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x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x v="31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x v="27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x v="25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x v="32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x v="1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x v="15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x v="33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x v="15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x v="29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x v="34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x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x v="35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x v="36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x v="37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x v="1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x v="38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x v="36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x v="13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x v="7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x v="33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x v="39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x v="40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x v="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x v="19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x v="6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x v="33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x v="41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x v="1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x v="42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x v="1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x v="15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x v="2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x v="15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x v="3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x v="41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x v="35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x v="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x v="6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x v="2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x v="35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x v="7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x v="43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x v="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x v="7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x v="35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x v="44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x v="10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x v="1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x v="33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x v="45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x v="46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x v="15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x v="14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x v="38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x v="6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x v="35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x v="12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x v="12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x v="32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x v="2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x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x v="43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x v="1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x v="33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x v="7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x v="1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x v="13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x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x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x v="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x v="2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x v="47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x v="31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x v="14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x v="2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x v="1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x v="22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x v="2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x v="36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x v="6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x v="35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x v="41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x v="32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x v="48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x v="0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x v="43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x v="15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x v="3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x v="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x v="49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x v="28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x v="31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x v="38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x v="26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x v="6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x v="2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x v="23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x v="25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x v="41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x v="50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x v="1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x v="36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x v="25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x v="12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x v="3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x v="38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x v="1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x v="28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x v="7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x v="28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x v="15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x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x v="47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x v="19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x v="40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x v="45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x v="46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x v="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x v="51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x v="51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x v="22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x v="28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x v="2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x v="13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x v="36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x v="41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x v="45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x v="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x v="2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x v="36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x v="33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x v="16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x v="28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x v="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x v="47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x v="11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x v="52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x v="49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x v="2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x v="25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x v="36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x v="22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x v="12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x v="43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x v="15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x v="13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x v="6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x v="51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x v="34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x v="14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x v="22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x v="10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x v="52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x v="2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x v="23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x v="34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x v="48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x v="25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x v="3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x v="7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x v="29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x v="46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x v="13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x v="40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x v="13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x v="53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x v="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x v="29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x v="25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x v="3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x v="34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x v="36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x v="25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x v="29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x v="13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x v="6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x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x v="10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x v="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x v="34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x v="47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x v="2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x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x v="33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x v="19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x v="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x v="31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x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x v="26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x v="28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x v="2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x v="26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x v="3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x v="47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x v="52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x v="29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x v="52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x v="2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x v="51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x v="55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x v="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x v="34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x v="6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x v="47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x v="4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x v="40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x v="27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x v="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x v="13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x v="55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x v="33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x v="34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x v="25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x v="2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x v="15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x v="22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x v="7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x v="56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x v="36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x v="47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x v="47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x v="32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x v="48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x v="13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x v="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x v="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x v="31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x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x v="7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x v="6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x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x v="29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x v="31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x v="34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x v="48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x v="33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x v="5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x v="42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x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x v="26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x v="28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x v="31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x v="22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x v="13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x v="48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x v="3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x v="53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x v="15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x v="33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x v="15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x v="5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x v="48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x v="1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x v="46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x v="40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x v="33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x v="1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x v="32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x v="2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x v="34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x v="53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x v="53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x v="32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x v="48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x v="2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x v="49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x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x v="55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x v="58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x v="43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x v="3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x v="55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x v="22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x v="52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x v="40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x v="52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x v="29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x v="48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x v="43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x v="19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x v="31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x v="42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x v="58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x v="49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x v="40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x v="36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x v="47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x v="2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x v="33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x v="7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x v="46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x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x v="46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x v="28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x v="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x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x v="52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x v="51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x v="32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x v="51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x v="6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x v="56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x v="49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x v="19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x v="31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x v="2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x v="23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x v="22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x v="53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x v="48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x v="51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x v="3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x v="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x v="45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x v="53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x v="7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x v="49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x v="31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x v="5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x v="23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x v="6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x v="34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x v="22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x v="53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x v="25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x v="49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x v="49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x v="36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x v="34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x v="36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x v="32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x v="48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x v="38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x v="46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x v="33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x v="22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x v="55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x v="55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x v="43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x v="38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x v="33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x v="25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x v="49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x v="59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x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x v="33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x v="51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x v="25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x v="36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x v="47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x v="5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x v="55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x v="51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x v="26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x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x v="5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x v="45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x v="38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x v="40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x v="22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x v="59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x v="10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x v="52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x v="43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x v="5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x v="46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x v="53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x v="52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x v="19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x v="60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x v="48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x v="31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x v="58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x v="29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x v="45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x v="49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x v="58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x v="22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x v="58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x v="2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x v="36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x v="47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x v="42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x v="34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x v="34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x v="2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x v="38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x v="32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x v="52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x v="49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x v="58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x v="58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x v="28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x v="53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x v="19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x v="61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x v="51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x v="58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x v="61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x v="43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x v="56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x v="5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x v="33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x v="49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x v="2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x v="48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x v="60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x v="2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x v="60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x v="36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x v="61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x v="55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x v="34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x v="46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x v="56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x v="59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x v="5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x v="5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x v="60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x v="34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x v="60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x v="53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x v="59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x v="58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x v="55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x v="60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x v="34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x v="55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x v="5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x v="58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x v="49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x v="62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x v="52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x v="46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x v="61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x v="61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x v="23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x v="60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x v="34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x v="61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x v="38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x v="58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x v="31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x v="55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x v="48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x v="61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x v="60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x v="36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x v="36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x v="5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x v="22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x v="36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x v="60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x v="46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x v="38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x v="38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x v="52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x v="62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x v="59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x v="58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x v="61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x v="53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x v="61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x v="55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x v="49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x v="61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x v="52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x v="59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x v="62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x v="61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x v="22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x v="48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x v="62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x v="56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x v="56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x v="5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x v="62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x v="52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x v="49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x v="61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x v="61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x v="61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x v="52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x v="60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x v="60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x v="59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x v="56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x v="56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x v="62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x v="59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x v="58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x v="5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x v="60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x v="61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x v="62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x v="62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x v="62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x v="59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x v="58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x v="62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x v="62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x v="59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x v="58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x v="60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x v="59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x v="60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x v="59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x v="53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x v="58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x v="62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x v="60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x v="58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x v="59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x v="60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x v="60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x v="60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x v="62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x v="59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0.63673540505083626"/>
    <n v="2.6703296703296702"/>
    <n v="2485"/>
    <n v="859"/>
    <n v="1657"/>
    <n v="51.9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0.59526410065970559"/>
    <n v="1.4071146245059289"/>
    <n v="2180"/>
    <n v="719"/>
    <n v="1612"/>
    <n v="44.7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0.66320129055386279"/>
    <n v="3.0909090909090908"/>
    <n v="2072"/>
    <n v="784"/>
    <n v="1365"/>
    <n v="57.6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0.62392795883361918"/>
    <n v="2.0961538461538463"/>
    <n v="2037"/>
    <n v="791"/>
    <n v="1320"/>
    <n v="60.1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0.58302520602237851"/>
    <n v="2.0669856459330145"/>
    <n v="1930"/>
    <n v="662"/>
    <n v="1462"/>
    <n v="45.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0.5892462558310827"/>
    <n v="2.4449541284403669"/>
    <n v="1920"/>
    <n v="653"/>
    <n v="1418"/>
    <n v="46.1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0.60521537773333689"/>
    <n v="2.12"/>
    <n v="1840"/>
    <n v="655"/>
    <n v="1378"/>
    <n v="47.2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0.56644571484894779"/>
    <n v="2.4705882352941178"/>
    <n v="1839"/>
    <n v="562"/>
    <n v="1376"/>
    <n v="41.1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0.56415355351893481"/>
    <n v="2.0681818181818183"/>
    <n v="1827"/>
    <n v="686"/>
    <n v="1456"/>
    <n v="46.9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0.58101272356569533"/>
    <n v="2.0205882352941176"/>
    <n v="1801"/>
    <n v="529"/>
    <n v="1296"/>
    <n v="41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0.62866752540432225"/>
    <n v="1.1494845360824741"/>
    <n v="1757"/>
    <n v="641"/>
    <n v="1217"/>
    <n v="52.6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0.63938998338476138"/>
    <n v="1.5024154589371981"/>
    <n v="1724"/>
    <n v="622"/>
    <n v="1221"/>
    <n v="51.1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0.54395895984433051"/>
    <n v="1.3609756097560977"/>
    <n v="1722"/>
    <n v="607"/>
    <n v="1435"/>
    <n v="42.3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0.61582545747033979"/>
    <n v="2.0689655172413794"/>
    <n v="1715"/>
    <n v="567"/>
    <n v="1260"/>
    <n v="44.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0.568847526228897"/>
    <n v="3.1388888888888888"/>
    <n v="1709"/>
    <n v="624"/>
    <n v="1309"/>
    <n v="47.7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0.60491868306227692"/>
    <n v="2.2162162162162162"/>
    <n v="1708"/>
    <n v="651"/>
    <n v="1267"/>
    <n v="51.3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0.57556678466236122"/>
    <n v="2.3825503355704698"/>
    <n v="1704"/>
    <n v="582"/>
    <n v="1321"/>
    <n v="44.3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0.60333009653281544"/>
    <n v="2.9141104294478528"/>
    <n v="1690"/>
    <n v="585"/>
    <n v="1203"/>
    <n v="48.8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0.64393939393939392"/>
    <n v="1.3541666666666667"/>
    <n v="1649"/>
    <n v="589"/>
    <n v="1122"/>
    <n v="52.7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0.59100719424460435"/>
    <n v="0.95483870967741935"/>
    <n v="1643"/>
    <n v="592"/>
    <n v="1214"/>
    <n v="48.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0.59707825665272474"/>
    <n v="2.4311926605504586"/>
    <n v="1576"/>
    <n v="616"/>
    <n v="1186"/>
    <n v="51.9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0.59874438071616798"/>
    <n v="2.6755319148936172"/>
    <n v="1545"/>
    <n v="555"/>
    <n v="1178"/>
    <n v="47.2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0.60384541557361315"/>
    <n v="1.8707865168539326"/>
    <n v="1510"/>
    <n v="511"/>
    <n v="1117"/>
    <n v="45.3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0.57454422062498067"/>
    <n v="2.3157894736842106"/>
    <n v="1490"/>
    <n v="566"/>
    <n v="1166"/>
    <n v="48.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0.61581496325985308"/>
    <n v="2.4171428571428573"/>
    <n v="1475"/>
    <n v="475"/>
    <n v="1037"/>
    <n v="46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0.55822043768773377"/>
    <n v="2.2471264367816093"/>
    <n v="1457"/>
    <n v="539"/>
    <n v="1166"/>
    <n v="46.3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0.54691737479660096"/>
    <n v="1.8787878787878789"/>
    <n v="1452"/>
    <n v="570"/>
    <n v="1140"/>
    <n v="49.6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0.55791220951678344"/>
    <n v="2.0434782608695654"/>
    <n v="1452"/>
    <n v="540"/>
    <n v="1164"/>
    <n v="46.3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0.61955104002196737"/>
    <n v="2.5432098765432101"/>
    <n v="1444"/>
    <n v="447"/>
    <n v="992"/>
    <n v="44.8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0.58582331925949993"/>
    <n v="2.3129770992366412"/>
    <n v="1443"/>
    <n v="590"/>
    <n v="1181"/>
    <n v="50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0.58381917076507184"/>
    <n v="2.8510638297872339"/>
    <n v="1434"/>
    <n v="529"/>
    <n v="1119"/>
    <n v="47.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0.56062001715211385"/>
    <n v="2.0426829268292681"/>
    <n v="1412"/>
    <n v="538"/>
    <n v="1115"/>
    <n v="48.5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0.5880880880880881"/>
    <n v="2.1388888888888888"/>
    <n v="1410"/>
    <n v="460"/>
    <n v="1025"/>
    <n v="4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0.61885999010530779"/>
    <n v="1.5"/>
    <n v="1401"/>
    <n v="531"/>
    <n v="1047"/>
    <n v="50.4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0.55682035279882824"/>
    <n v="1.7317073170731707"/>
    <n v="1399"/>
    <n v="517"/>
    <n v="1115"/>
    <n v="46.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0.59385863267670913"/>
    <n v="1.5"/>
    <n v="1394"/>
    <n v="456"/>
    <n v="1054"/>
    <n v="43.2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0.56063735615225729"/>
    <n v="2.536"/>
    <n v="1368"/>
    <n v="478"/>
    <n v="1092"/>
    <n v="43.7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0.61539298143851517"/>
    <n v="5.7435897435897436"/>
    <n v="1358"/>
    <n v="475"/>
    <n v="1007"/>
    <n v="47.3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0.61339944063056195"/>
    <n v="2.1880341880341883"/>
    <n v="1351"/>
    <n v="548"/>
    <n v="1037"/>
    <n v="53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0.55677359796907455"/>
    <n v="2.4"/>
    <n v="1351"/>
    <n v="476"/>
    <n v="1127"/>
    <n v="42.6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0.6402439024390244"/>
    <n v="1.6875"/>
    <n v="1344"/>
    <n v="592"/>
    <n v="944"/>
    <n v="62.8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0.58890376686986856"/>
    <n v="1.6951219512195121"/>
    <n v="1337"/>
    <n v="459"/>
    <n v="1074"/>
    <n v="43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0.65393043001917284"/>
    <n v="2.0689655172413794"/>
    <n v="1337"/>
    <n v="525"/>
    <n v="896"/>
    <n v="59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0.58950573573148279"/>
    <n v="1.5673076923076923"/>
    <n v="1332"/>
    <n v="488"/>
    <n v="1029"/>
    <n v="47.6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0.55050421557282192"/>
    <n v="1.3377483443708609"/>
    <n v="1332"/>
    <n v="497"/>
    <n v="1102"/>
    <n v="45.2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0.59738503155996392"/>
    <n v="2.2048192771084336"/>
    <n v="1325"/>
    <n v="490"/>
    <n v="1021"/>
    <n v="48.4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0.62979294478527603"/>
    <n v="1.5985915492957747"/>
    <n v="1314"/>
    <n v="504"/>
    <n v="909"/>
    <n v="55.7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0.61456923770861516"/>
    <n v="1.1666666666666667"/>
    <n v="1308"/>
    <n v="456"/>
    <n v="948"/>
    <n v="48.4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0.54096148720682302"/>
    <n v="1.8656716417910448"/>
    <n v="1299"/>
    <n v="467"/>
    <n v="1088"/>
    <n v="43.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0.5935291519434629"/>
    <n v="1.6787564766839378"/>
    <n v="1290"/>
    <n v="455"/>
    <n v="938"/>
    <n v="48.5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0.58907132438194265"/>
    <n v="1.5982142857142858"/>
    <n v="1260"/>
    <n v="469"/>
    <n v="908"/>
    <n v="51.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0.52398209693042519"/>
    <n v="2.0714285714285716"/>
    <n v="1255"/>
    <n v="475"/>
    <n v="1066"/>
    <n v="44.6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0.60579541034616879"/>
    <n v="2.8294573643410854"/>
    <n v="1246"/>
    <n v="426"/>
    <n v="958"/>
    <n v="44.2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0.59397845325125054"/>
    <n v="2.0909090909090908"/>
    <n v="1235"/>
    <n v="445"/>
    <n v="945"/>
    <n v="47.3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0.54754321296925879"/>
    <n v="1.9320987654320987"/>
    <n v="1224"/>
    <n v="458"/>
    <n v="980"/>
    <n v="46.8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0.66450443366968071"/>
    <n v="2.5949367088607596"/>
    <n v="1217"/>
    <n v="474"/>
    <n v="822"/>
    <n v="58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0.60453425528532823"/>
    <n v="1.4484536082474226"/>
    <n v="1217"/>
    <n v="403"/>
    <n v="842"/>
    <n v="47.6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0.55096036416120797"/>
    <n v="1.6014492753623188"/>
    <n v="1191"/>
    <n v="414"/>
    <n v="911"/>
    <n v="45.2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0.52347046413502119"/>
    <n v="1.8651685393258426"/>
    <n v="1191"/>
    <n v="421"/>
    <n v="988"/>
    <n v="42.8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0.53710760297586646"/>
    <n v="2.059171597633136"/>
    <n v="1184"/>
    <n v="404"/>
    <n v="1001"/>
    <n v="40.5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0.54795282599020922"/>
    <n v="2.1698113207547172"/>
    <n v="1182"/>
    <n v="442"/>
    <n v="1002"/>
    <n v="44.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0.56266977105161042"/>
    <n v="1.972972972972973"/>
    <n v="1160"/>
    <n v="405"/>
    <n v="890"/>
    <n v="45.4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0.58203768430356351"/>
    <n v="1"/>
    <n v="1159"/>
    <n v="389"/>
    <n v="850"/>
    <n v="45.8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0.59139894680981342"/>
    <n v="1.6772151898734178"/>
    <n v="1159"/>
    <n v="416"/>
    <n v="869"/>
    <n v="48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0.63364055299539168"/>
    <n v="3.5"/>
    <n v="1144"/>
    <n v="408"/>
    <n v="864"/>
    <n v="47.2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0.57761145460462093"/>
    <n v="1.6428571428571428"/>
    <n v="1136"/>
    <n v="424"/>
    <n v="920"/>
    <n v="46.2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0.53890037522015466"/>
    <n v="2.0718232044198897"/>
    <n v="1126"/>
    <n v="362"/>
    <n v="918"/>
    <n v="39.1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0.59958178636964965"/>
    <n v="1.8415841584158417"/>
    <n v="1124"/>
    <n v="382"/>
    <n v="837"/>
    <n v="45.4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0.61117641936607447"/>
    <n v="0.88524590163934425"/>
    <n v="1123"/>
    <n v="389"/>
    <n v="814"/>
    <n v="48.1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0.5515866750868329"/>
    <n v="2.3333333333333335"/>
    <n v="1118"/>
    <n v="410"/>
    <n v="936"/>
    <n v="43.9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0.59521274330252572"/>
    <n v="1.1564625850340136"/>
    <n v="1118"/>
    <n v="409"/>
    <n v="856"/>
    <n v="47.6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0.72565420315695628"/>
    <n v="1.5918367346938775"/>
    <n v="1107"/>
    <n v="451"/>
    <n v="640"/>
    <n v="70.599999999999994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0.59451418147070323"/>
    <n v="1.5734265734265733"/>
    <n v="1095"/>
    <n v="383"/>
    <n v="825"/>
    <n v="46.7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0.62197018201774446"/>
    <n v="1.0843373493975903"/>
    <n v="1088"/>
    <n v="358"/>
    <n v="762"/>
    <n v="47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0.56632267807701986"/>
    <n v="1.5294117647058822"/>
    <n v="1080"/>
    <n v="378"/>
    <n v="840"/>
    <n v="44.8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0.5467825519239401"/>
    <n v="2.1973684210526314"/>
    <n v="1072"/>
    <n v="456"/>
    <n v="920"/>
    <n v="49.3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0.63455983330965571"/>
    <n v="2"/>
    <n v="1072"/>
    <n v="353"/>
    <n v="747"/>
    <n v="47.5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0.55508564178473252"/>
    <n v="1.7066666666666668"/>
    <n v="1050"/>
    <n v="383"/>
    <n v="893"/>
    <n v="42.9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0.60764694957749099"/>
    <n v="2.8024691358024691"/>
    <n v="1047"/>
    <n v="400"/>
    <n v="770"/>
    <n v="52.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0.55262377076975244"/>
    <n v="2.0666666666666669"/>
    <n v="1043"/>
    <n v="397"/>
    <n v="890"/>
    <n v="44.3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0.62212863705972432"/>
    <n v="1.6363636363636365"/>
    <n v="1040"/>
    <n v="392"/>
    <n v="776"/>
    <n v="50.9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0.56995627732667087"/>
    <n v="2.4827586206896552"/>
    <n v="1022"/>
    <n v="371"/>
    <n v="798"/>
    <n v="46.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0.65717486452688612"/>
    <n v="2.8367346938775508"/>
    <n v="1009"/>
    <n v="344"/>
    <n v="681"/>
    <n v="50.8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0.55404098144402425"/>
    <n v="1.6744186046511629"/>
    <n v="1008"/>
    <n v="360"/>
    <n v="878"/>
    <n v="41.2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0.57017743921908504"/>
    <n v="1.8295454545454546"/>
    <n v="1000"/>
    <n v="387"/>
    <n v="803"/>
    <n v="47.7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0.55950942213866883"/>
    <n v="1.6734693877551021"/>
    <n v="1000"/>
    <n v="402"/>
    <n v="836"/>
    <n v="47.7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0.53339319309047373"/>
    <n v="1.9083333333333334"/>
    <n v="998"/>
    <n v="375"/>
    <n v="833"/>
    <n v="44.9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0.63950489943269728"/>
    <n v="1.9101123595505618"/>
    <n v="992"/>
    <n v="385"/>
    <n v="681"/>
    <n v="56.7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0.5337054250097728"/>
    <n v="2.8321678321678321"/>
    <n v="983"/>
    <n v="338"/>
    <n v="825"/>
    <n v="40.6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0.5719833434707341"/>
    <n v="1.5974025974025974"/>
    <n v="978"/>
    <n v="370"/>
    <n v="770"/>
    <n v="48.2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0.60350816255644324"/>
    <n v="1.8985507246376812"/>
    <n v="973"/>
    <n v="386"/>
    <n v="697"/>
    <n v="55.7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0.62367234858297504"/>
    <n v="4.125"/>
    <n v="963"/>
    <n v="303"/>
    <n v="600"/>
    <n v="50.4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0.51505546751188591"/>
    <n v="1.048951048951049"/>
    <n v="962"/>
    <n v="371"/>
    <n v="845"/>
    <n v="43.6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0.55851063829787229"/>
    <n v="1"/>
    <n v="945"/>
    <n v="360"/>
    <n v="780"/>
    <n v="45.8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0.55351854463404315"/>
    <n v="1.7377049180327868"/>
    <n v="942"/>
    <n v="365"/>
    <n v="821"/>
    <n v="44.4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0.7050024521824424"/>
    <n v="1.5864661654135339"/>
    <n v="920"/>
    <n v="374"/>
    <n v="546"/>
    <n v="69.2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0.59217702976468756"/>
    <n v="2.0147058823529411"/>
    <n v="912"/>
    <n v="357"/>
    <n v="730"/>
    <n v="48.8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0.58325650481458713"/>
    <n v="1.8818181818181818"/>
    <n v="911"/>
    <n v="359"/>
    <n v="711"/>
    <n v="50.8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0.55757070731826874"/>
    <n v="1.4555555555555555"/>
    <n v="910"/>
    <n v="328"/>
    <n v="787"/>
    <n v="41.7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0.54853240337111298"/>
    <n v="1.3846153846153846"/>
    <n v="906"/>
    <n v="348"/>
    <n v="744"/>
    <n v="47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0.59691011235955049"/>
    <n v="1.9405940594059405"/>
    <n v="901"/>
    <n v="345"/>
    <n v="694"/>
    <n v="49.7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0.57205452775073029"/>
    <n v="1.0757575757575757"/>
    <n v="893"/>
    <n v="296"/>
    <n v="700"/>
    <n v="42.3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0.56985769728331181"/>
    <n v="1.5779816513761469"/>
    <n v="881"/>
    <n v="328"/>
    <n v="718"/>
    <n v="45.8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0.64273961332784857"/>
    <n v="2.6153846153846154"/>
    <n v="875"/>
    <n v="322"/>
    <n v="616"/>
    <n v="51.6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0.48125801175794547"/>
    <n v="1.4122807017543859"/>
    <n v="871"/>
    <n v="328"/>
    <n v="831"/>
    <n v="39.4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0.55223690899847488"/>
    <n v="3.378640776699029"/>
    <n v="869"/>
    <n v="284"/>
    <n v="679"/>
    <n v="41.6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0.68402052061561858"/>
    <n v="1.5116279069767442"/>
    <n v="864"/>
    <n v="338"/>
    <n v="511"/>
    <n v="66.900000000000006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0.57057016598404831"/>
    <n v="2.6739130434782608"/>
    <n v="847"/>
    <n v="277"/>
    <n v="678"/>
    <n v="40.6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0.51414819136522749"/>
    <n v="3.7333333333333334"/>
    <n v="846"/>
    <n v="288"/>
    <n v="762"/>
    <n v="37.799999999999997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0.60551144862501438"/>
    <n v="1.3278688524590163"/>
    <n v="842"/>
    <n v="348"/>
    <n v="624"/>
    <n v="55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0.55496688741721856"/>
    <n v="1.0916666666666666"/>
    <n v="838"/>
    <n v="302"/>
    <n v="667"/>
    <n v="45.3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0.53980932749291421"/>
    <n v="1.8932584269662922"/>
    <n v="838"/>
    <n v="284"/>
    <n v="686"/>
    <n v="41.9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0.49557123910572187"/>
    <n v="1.4621848739495797"/>
    <n v="837"/>
    <n v="300"/>
    <n v="782"/>
    <n v="38.9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0.63960298378644964"/>
    <n v="1.7746478873239437"/>
    <n v="830"/>
    <n v="316"/>
    <n v="600"/>
    <n v="52.9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0.64216051683438946"/>
    <n v="1.4814814814814814"/>
    <n v="827"/>
    <n v="365"/>
    <n v="581"/>
    <n v="62.7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0.58574913484994606"/>
    <n v="4.8202247191011232"/>
    <n v="826"/>
    <n v="308"/>
    <n v="680"/>
    <n v="44.8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0.55694075559650924"/>
    <n v="1.8873239436619718"/>
    <n v="822"/>
    <n v="284"/>
    <n v="679"/>
    <n v="42.5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0.58797410335739664"/>
    <n v="2.0227272727272729"/>
    <n v="821"/>
    <n v="281"/>
    <n v="659"/>
    <n v="43.1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0.618879216539717"/>
    <n v="1.6"/>
    <n v="819"/>
    <n v="277"/>
    <n v="575"/>
    <n v="48.3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0.59081407502032279"/>
    <n v="2"/>
    <n v="814"/>
    <n v="289"/>
    <n v="666"/>
    <n v="43.7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0.58909628427337546"/>
    <n v="2.625"/>
    <n v="813"/>
    <n v="312"/>
    <n v="650"/>
    <n v="48.3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0.5770324047754406"/>
    <n v="1.5540540540540539"/>
    <n v="812"/>
    <n v="279"/>
    <n v="664"/>
    <n v="41.5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0.51401391162029453"/>
    <n v="2.5971223021582732"/>
    <n v="804"/>
    <n v="303"/>
    <n v="746"/>
    <n v="40.1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0.58903623016812701"/>
    <n v="1.6428571428571428"/>
    <n v="796"/>
    <n v="311"/>
    <n v="622"/>
    <n v="49.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0.61074664167447668"/>
    <n v="1.4050632911392404"/>
    <n v="782"/>
    <n v="284"/>
    <n v="616"/>
    <n v="46.1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0.58396558934225462"/>
    <n v="2.5970149253731343"/>
    <n v="782"/>
    <n v="284"/>
    <n v="593"/>
    <n v="48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0.61159675492107413"/>
    <n v="0.89855072463768115"/>
    <n v="778"/>
    <n v="308"/>
    <n v="585"/>
    <n v="52.6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0.54247782674178613"/>
    <n v="1.1975308641975309"/>
    <n v="778"/>
    <n v="265"/>
    <n v="648"/>
    <n v="41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0.57781892021022452"/>
    <n v="2.831168831168831"/>
    <n v="774"/>
    <n v="282"/>
    <n v="602"/>
    <n v="46.7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0.61698871245456288"/>
    <n v="1"/>
    <n v="774"/>
    <n v="277"/>
    <n v="596"/>
    <n v="45.9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0.61615227649534499"/>
    <n v="1.7659574468085106"/>
    <n v="773"/>
    <n v="295"/>
    <n v="578"/>
    <n v="50.9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0.53009106868553868"/>
    <n v="1.8888888888888888"/>
    <n v="773"/>
    <n v="293"/>
    <n v="653"/>
    <n v="44.9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0.57917668269230771"/>
    <n v="2.2551020408163267"/>
    <n v="771"/>
    <n v="271"/>
    <n v="615"/>
    <n v="43.8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0.61936936936936937"/>
    <n v="1.75"/>
    <n v="770"/>
    <n v="280"/>
    <n v="560"/>
    <n v="50.1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0.62897245762711873"/>
    <n v="0.76923076923076927"/>
    <n v="760"/>
    <n v="280"/>
    <n v="532"/>
    <n v="52.7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0.61788005761424636"/>
    <n v="3.189189189189189"/>
    <n v="755"/>
    <n v="259"/>
    <n v="585"/>
    <n v="44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0.54496110530593289"/>
    <n v="1.7974683544303798"/>
    <n v="751"/>
    <n v="245"/>
    <n v="616"/>
    <n v="39.700000000000003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0.65358337981037373"/>
    <n v="2.295774647887324"/>
    <n v="750"/>
    <n v="265"/>
    <n v="495"/>
    <n v="53.1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0.56904515893757979"/>
    <n v="1.7209302325581395"/>
    <n v="749"/>
    <n v="250"/>
    <n v="593"/>
    <n v="42.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0.55958998266690574"/>
    <n v="2.831168831168831"/>
    <n v="749"/>
    <n v="282"/>
    <n v="627"/>
    <n v="44.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0.60235063663075417"/>
    <n v="1.7666666666666666"/>
    <n v="738"/>
    <n v="288"/>
    <n v="507"/>
    <n v="56.7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0.52222855514391564"/>
    <n v="1.7285714285714286"/>
    <n v="733"/>
    <n v="265"/>
    <n v="616"/>
    <n v="42.3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0.52080364776289545"/>
    <n v="2.6909090909090909"/>
    <n v="731"/>
    <n v="249"/>
    <n v="638"/>
    <n v="39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0.51451411724685336"/>
    <n v="1.6209677419354838"/>
    <n v="726"/>
    <n v="266"/>
    <n v="625"/>
    <n v="42.1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0.57675173423280091"/>
    <n v="1.8461538461538463"/>
    <n v="725"/>
    <n v="244"/>
    <n v="570"/>
    <n v="43.3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0.58253519316063507"/>
    <n v="2.2525252525252526"/>
    <n v="725"/>
    <n v="248"/>
    <n v="595"/>
    <n v="42.2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0.58075933075933073"/>
    <n v="4.6335877862595423"/>
    <n v="722"/>
    <n v="246"/>
    <n v="582"/>
    <n v="42.7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0.56793118659020736"/>
    <n v="1.8333333333333333"/>
    <n v="721"/>
    <n v="322"/>
    <n v="567"/>
    <n v="56.3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0.53465199286139209"/>
    <n v="1.4507042253521127"/>
    <n v="719"/>
    <n v="259"/>
    <n v="569"/>
    <n v="45.4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0.54572226607565733"/>
    <n v="3.1351351351351351"/>
    <n v="719"/>
    <n v="324"/>
    <n v="624"/>
    <n v="51.9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0.58300266701359527"/>
    <n v="2.2799999999999998"/>
    <n v="717"/>
    <n v="256"/>
    <n v="596"/>
    <n v="43.5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0.59982427683157602"/>
    <n v="1.5897435897435896"/>
    <n v="710"/>
    <n v="257"/>
    <n v="554"/>
    <n v="46.1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0.58570483123759098"/>
    <n v="1.7049180327868851"/>
    <n v="708"/>
    <n v="256"/>
    <n v="567"/>
    <n v="45.1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0.71478097724121048"/>
    <n v="1.1764705882352942"/>
    <n v="701"/>
    <n v="285"/>
    <n v="405"/>
    <n v="70.2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0.61422034494896161"/>
    <n v="1.8372093023255813"/>
    <n v="698"/>
    <n v="238"/>
    <n v="511"/>
    <n v="47.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0.56138933764135701"/>
    <n v="1"/>
    <n v="695"/>
    <n v="251"/>
    <n v="564"/>
    <n v="43.8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0.59429613320489882"/>
    <n v="1.3564356435643565"/>
    <n v="691"/>
    <n v="259"/>
    <n v="518"/>
    <n v="50.2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0.57089750398300587"/>
    <n v="3.2702702702702702"/>
    <n v="688"/>
    <n v="254"/>
    <n v="570"/>
    <n v="44.3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0.57211282597126134"/>
    <n v="1.1111111111111112"/>
    <n v="688"/>
    <n v="256"/>
    <n v="552"/>
    <n v="45.4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0.56592533756949959"/>
    <n v="1.3650793650793651"/>
    <n v="684"/>
    <n v="274"/>
    <n v="559"/>
    <n v="48.7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0.54368591988791948"/>
    <n v="2.3043478260869565"/>
    <n v="683"/>
    <n v="255"/>
    <n v="607"/>
    <n v="42.5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0.58867130938426537"/>
    <n v="2.4264705882352939"/>
    <n v="683"/>
    <n v="240"/>
    <n v="570"/>
    <n v="42.3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0.54431229618262045"/>
    <n v="1.7457627118644068"/>
    <n v="681"/>
    <n v="279"/>
    <n v="593"/>
    <n v="46.6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0.56719604964633652"/>
    <n v="1.7307692307692308"/>
    <n v="680"/>
    <n v="270"/>
    <n v="544"/>
    <n v="50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0.49709660390638744"/>
    <n v="2.1558441558441559"/>
    <n v="678"/>
    <n v="250"/>
    <n v="634"/>
    <n v="39.1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0.63175549757733873"/>
    <n v="1.7402597402597402"/>
    <n v="678"/>
    <n v="218"/>
    <n v="486"/>
    <n v="44.8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0.52431846344485744"/>
    <n v="1.5"/>
    <n v="677"/>
    <n v="216"/>
    <n v="573"/>
    <n v="37.299999999999997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0.64622061760639116"/>
    <n v="1.5714285714285714"/>
    <n v="673"/>
    <n v="268"/>
    <n v="449"/>
    <n v="60.4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0.57023217811670179"/>
    <n v="2.2419354838709675"/>
    <n v="670"/>
    <n v="239"/>
    <n v="547"/>
    <n v="43.9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0.6016912402428447"/>
    <n v="1.8823529411764706"/>
    <n v="666"/>
    <n v="269"/>
    <n v="531"/>
    <n v="49.8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0.57364019628170571"/>
    <n v="1.2749999999999999"/>
    <n v="664"/>
    <n v="270"/>
    <n v="489"/>
    <n v="54.7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0.54149269311064718"/>
    <n v="1.6448598130841121"/>
    <n v="664"/>
    <n v="246"/>
    <n v="570"/>
    <n v="43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0.66040738383195419"/>
    <n v="1.6666666666666667"/>
    <n v="664"/>
    <n v="224"/>
    <n v="464"/>
    <n v="48.9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0.61524609843937572"/>
    <n v="1.9"/>
    <n v="656"/>
    <n v="232"/>
    <n v="512"/>
    <n v="45.7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0.54141400679682816"/>
    <n v="2.9279279279279278"/>
    <n v="650"/>
    <n v="247"/>
    <n v="540"/>
    <n v="45.8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0.66468499711006523"/>
    <n v="1.1379310344827587"/>
    <n v="644"/>
    <n v="278"/>
    <n v="418"/>
    <n v="66.3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0.59984956750658147"/>
    <n v="2.2371134020618557"/>
    <n v="638"/>
    <n v="279"/>
    <n v="479"/>
    <n v="58.1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0.54456814881405158"/>
    <n v="1.1884057971014492"/>
    <n v="630"/>
    <n v="214"/>
    <n v="523"/>
    <n v="41.2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0.53105401577989075"/>
    <n v="1.9207920792079207"/>
    <n v="630"/>
    <n v="228"/>
    <n v="543"/>
    <n v="42.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0.54500950905120804"/>
    <n v="1.8133333333333332"/>
    <n v="619"/>
    <n v="224"/>
    <n v="490"/>
    <n v="46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0.49627393036104334"/>
    <n v="2.1699029126213594"/>
    <n v="618"/>
    <n v="234"/>
    <n v="554"/>
    <n v="42.2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0.58715876162879377"/>
    <n v="1.5116279069767442"/>
    <n v="616"/>
    <n v="248"/>
    <n v="470"/>
    <n v="53.5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0.53125"/>
    <n v="2.152542372881356"/>
    <n v="612"/>
    <n v="218"/>
    <n v="510"/>
    <n v="42.4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0.53131991051454142"/>
    <n v="4.8947368421052628"/>
    <n v="608"/>
    <n v="224"/>
    <n v="544"/>
    <n v="40.6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0.61812627291242361"/>
    <n v="0.76744186046511631"/>
    <n v="607"/>
    <n v="251"/>
    <n v="436"/>
    <n v="58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0.50548091705099918"/>
    <n v="1.1964285714285714"/>
    <n v="605"/>
    <n v="207"/>
    <n v="554"/>
    <n v="37.200000000000003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0.62634810021569598"/>
    <n v="3.0476190476190474"/>
    <n v="604"/>
    <n v="213"/>
    <n v="476"/>
    <n v="45.1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0.57581573896353166"/>
    <n v="1.5079365079365079"/>
    <n v="600"/>
    <n v="200"/>
    <n v="455"/>
    <n v="43.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0.53928983002016706"/>
    <n v="1.611764705882353"/>
    <n v="599"/>
    <n v="200"/>
    <n v="492"/>
    <n v="40.799999999999997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0.57035676006737102"/>
    <n v="1.6385542168674698"/>
    <n v="596"/>
    <n v="248"/>
    <n v="460"/>
    <n v="53.5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0.60081589789159051"/>
    <n v="1"/>
    <n v="595"/>
    <n v="256"/>
    <n v="467"/>
    <n v="55.4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0.502436053593179"/>
    <n v="1.7142857142857142"/>
    <n v="594"/>
    <n v="222"/>
    <n v="570"/>
    <n v="39.1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0.50529190850119499"/>
    <n v="1.7894736842105263"/>
    <n v="592"/>
    <n v="204"/>
    <n v="544"/>
    <n v="37.200000000000003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0.55393530793121737"/>
    <n v="1.4406779661016949"/>
    <n v="585"/>
    <n v="208"/>
    <n v="488"/>
    <n v="43.2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0.57393454202966798"/>
    <n v="2.8809523809523809"/>
    <n v="585"/>
    <n v="222"/>
    <n v="474"/>
    <n v="46.8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0.56100846805234794"/>
    <n v="1.9210526315789473"/>
    <n v="583"/>
    <n v="211"/>
    <n v="491"/>
    <n v="42.7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0.57117060532307451"/>
    <n v="4.1025641025641022"/>
    <n v="582"/>
    <n v="185"/>
    <n v="469"/>
    <n v="40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0.63631967645507304"/>
    <n v="2.9861111111111112"/>
    <n v="579"/>
    <n v="208"/>
    <n v="429"/>
    <n v="47.8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0.52158663581139719"/>
    <n v="3.0714285714285716"/>
    <n v="577"/>
    <n v="202"/>
    <n v="521"/>
    <n v="39.200000000000003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0.58252427184466027"/>
    <n v="0.94117647058823528"/>
    <n v="576"/>
    <n v="264"/>
    <n v="468"/>
    <n v="56.6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0.56539131812420784"/>
    <n v="2.7868852459016393"/>
    <n v="571"/>
    <n v="231"/>
    <n v="490"/>
    <n v="47.4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0.57408750302151312"/>
    <n v="1.8421052631578947"/>
    <n v="570"/>
    <n v="205"/>
    <n v="474"/>
    <n v="42.9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0.54012932674020542"/>
    <n v="1.6666666666666667"/>
    <n v="568"/>
    <n v="211"/>
    <n v="462"/>
    <n v="46.1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0.53967105764105683"/>
    <n v="1.2763157894736843"/>
    <n v="567"/>
    <n v="197"/>
    <n v="491"/>
    <n v="40.299999999999997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0.51258407463658051"/>
    <n v="1.4318181818181819"/>
    <n v="567"/>
    <n v="208"/>
    <n v="517"/>
    <n v="39.700000000000003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0.53697249791650881"/>
    <n v="1.2745098039215685"/>
    <n v="567"/>
    <n v="196"/>
    <n v="480"/>
    <n v="41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0.58312041539602733"/>
    <n v="3"/>
    <n v="566"/>
    <n v="221"/>
    <n v="451"/>
    <n v="49.2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0.56882362433435529"/>
    <n v="3.2372881355932202"/>
    <n v="564"/>
    <n v="185"/>
    <n v="439"/>
    <n v="42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0.49213992352358021"/>
    <n v="1.8505747126436782"/>
    <n v="556"/>
    <n v="201"/>
    <n v="509"/>
    <n v="39.1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0.56473433912758275"/>
    <n v="1.7592592592592593"/>
    <n v="551"/>
    <n v="204"/>
    <n v="428"/>
    <n v="47.7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0.60304604278545648"/>
    <n v="1.5438596491228069"/>
    <n v="548"/>
    <n v="195"/>
    <n v="435"/>
    <n v="44.8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0.61826252377932789"/>
    <n v="1.1071428571428572"/>
    <n v="546"/>
    <n v="211"/>
    <n v="409"/>
    <n v="51.1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0.4958360727591497"/>
    <n v="2.1809523809523808"/>
    <n v="543"/>
    <n v="195"/>
    <n v="493"/>
    <n v="39.299999999999997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0.5650426921145153"/>
    <n v="2.625"/>
    <n v="540"/>
    <n v="198"/>
    <n v="462"/>
    <n v="42.3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0.65274151436031336"/>
    <n v="1.5"/>
    <n v="540"/>
    <n v="194"/>
    <n v="378"/>
    <n v="50.7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0.61960712318707545"/>
    <n v="2.9729729729729728"/>
    <n v="540"/>
    <n v="183"/>
    <n v="423"/>
    <n v="42.9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0.5447941888619855"/>
    <n v="2.8461538461538463"/>
    <n v="540"/>
    <n v="204"/>
    <n v="456"/>
    <n v="44.8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0.52205767121140889"/>
    <n v="1.8813559322033899"/>
    <n v="533"/>
    <n v="200"/>
    <n v="481"/>
    <n v="41.2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0.50538572403853443"/>
    <n v="1.8627450980392157"/>
    <n v="533"/>
    <n v="175"/>
    <n v="460"/>
    <n v="38.200000000000003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0.5000750581700818"/>
    <n v="2.625"/>
    <n v="533"/>
    <n v="203"/>
    <n v="503"/>
    <n v="40.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0.63577586206896552"/>
    <n v="1.6842105263157894"/>
    <n v="531"/>
    <n v="237"/>
    <n v="378"/>
    <n v="62.1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0.63336520076481839"/>
    <n v="0.63749999999999996"/>
    <n v="530"/>
    <n v="205"/>
    <n v="348"/>
    <n v="59.1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0.56715648362980142"/>
    <n v="1.3333333333333333"/>
    <n v="528"/>
    <n v="189"/>
    <n v="414"/>
    <n v="46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0.58385231316725972"/>
    <n v="1.6842105263157894"/>
    <n v="525"/>
    <n v="192"/>
    <n v="410"/>
    <n v="46.6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0.52791262135922334"/>
    <n v="1.6666666666666667"/>
    <n v="522"/>
    <n v="192"/>
    <n v="468"/>
    <n v="40.6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0.55498414331019108"/>
    <n v="1.1095890410958904"/>
    <n v="518"/>
    <n v="194"/>
    <n v="413"/>
    <n v="47.4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0.58045356371490275"/>
    <n v="2.5744680851063828"/>
    <n v="516"/>
    <n v="208"/>
    <n v="415"/>
    <n v="49.6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0.58290746486585143"/>
    <n v="2.9722222222222223"/>
    <n v="511"/>
    <n v="170"/>
    <n v="426"/>
    <n v="40.6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0.5211307824100514"/>
    <n v="1.5945945945945945"/>
    <n v="511"/>
    <n v="207"/>
    <n v="474"/>
    <n v="43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0.63875088715400996"/>
    <n v="2"/>
    <n v="504"/>
    <n v="210"/>
    <n v="336"/>
    <n v="61.1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0.55274725274725278"/>
    <n v="1.6029411764705883"/>
    <n v="503"/>
    <n v="177"/>
    <n v="422"/>
    <n v="42.8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0.61364752086401575"/>
    <n v="1.1666666666666667"/>
    <n v="500"/>
    <n v="180"/>
    <n v="370"/>
    <n v="49.2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0.52701900237529697"/>
    <n v="4.04"/>
    <n v="497"/>
    <n v="180"/>
    <n v="446"/>
    <n v="40.1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0.54644808743169393"/>
    <n v="1"/>
    <n v="496"/>
    <n v="182"/>
    <n v="416"/>
    <n v="43.5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0.59237141205933352"/>
    <n v="2.15"/>
    <n v="492"/>
    <n v="170"/>
    <n v="377"/>
    <n v="45.6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0.56378865979381443"/>
    <n v="1.22"/>
    <n v="490"/>
    <n v="220"/>
    <n v="391"/>
    <n v="55.9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0.5846460521197977"/>
    <n v="2.1346153846153846"/>
    <n v="481"/>
    <n v="178"/>
    <n v="392"/>
    <n v="45.8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0.59856344772545889"/>
    <n v="1.103448275862069"/>
    <n v="480"/>
    <n v="166"/>
    <n v="342"/>
    <n v="49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0.55153831982313928"/>
    <n v="1.1086956521739131"/>
    <n v="479"/>
    <n v="179"/>
    <n v="403"/>
    <n v="44.4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0.53058117668129312"/>
    <n v="2.7972972972972974"/>
    <n v="474"/>
    <n v="192"/>
    <n v="437"/>
    <n v="43.9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0.60194672131147542"/>
    <n v="2.9090909090909092"/>
    <n v="470"/>
    <n v="165"/>
    <n v="375"/>
    <n v="44.2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0.53895435839880279"/>
    <n v="2.3488372093023258"/>
    <n v="461"/>
    <n v="166"/>
    <n v="418"/>
    <n v="40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0.58729995896594167"/>
    <n v="1.5066666666666666"/>
    <n v="458"/>
    <n v="173"/>
    <n v="360"/>
    <n v="47.2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0.58895101998550281"/>
    <n v="1.8372093023255813"/>
    <n v="455"/>
    <n v="158"/>
    <n v="337"/>
    <n v="47.5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0.55593652037617558"/>
    <n v="1.2061855670103092"/>
    <n v="454"/>
    <n v="168"/>
    <n v="352"/>
    <n v="47.7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0.5804396959112389"/>
    <n v="1.3650793650793651"/>
    <n v="452"/>
    <n v="141"/>
    <n v="315"/>
    <n v="44.4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0.5527922781443908"/>
    <n v="1.3571428571428572"/>
    <n v="449"/>
    <n v="163"/>
    <n v="352"/>
    <n v="46.9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0.53585067786900897"/>
    <n v="1.84"/>
    <n v="449"/>
    <n v="168"/>
    <n v="382"/>
    <n v="43.6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0.54820277397929285"/>
    <n v="2.024390243902439"/>
    <n v="449"/>
    <n v="159"/>
    <n v="373"/>
    <n v="42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0.51793659621802002"/>
    <n v="1.5961538461538463"/>
    <n v="447"/>
    <n v="161"/>
    <n v="395"/>
    <n v="40.5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0.55868733642037449"/>
    <n v="1.4583333333333333"/>
    <n v="444"/>
    <n v="172"/>
    <n v="378"/>
    <n v="45.5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0.53824844479004663"/>
    <n v="1.2830188679245282"/>
    <n v="443"/>
    <n v="150"/>
    <n v="375"/>
    <n v="40.200000000000003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0.61724946933303537"/>
    <n v="1.7941176470588236"/>
    <n v="442"/>
    <n v="163"/>
    <n v="340"/>
    <n v="47.8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0.66462167689161555"/>
    <n v="1.1875"/>
    <n v="442"/>
    <n v="160"/>
    <n v="307"/>
    <n v="51.5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0.58760683760683763"/>
    <n v="2.7142857142857144"/>
    <n v="440"/>
    <n v="159"/>
    <n v="337"/>
    <n v="47.5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0.68695106649937265"/>
    <n v="4.0344827586206895"/>
    <n v="438"/>
    <n v="190"/>
    <n v="277"/>
    <n v="66.8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0.57056113902847572"/>
    <n v="1"/>
    <n v="436"/>
    <n v="181"/>
    <n v="335"/>
    <n v="53.9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0.58777429467084641"/>
    <n v="2.3658536585365852"/>
    <n v="435"/>
    <n v="173"/>
    <n v="352"/>
    <n v="48.3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0.60872505918160291"/>
    <n v="1.8769230769230769"/>
    <n v="432"/>
    <n v="173"/>
    <n v="317"/>
    <n v="55.9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0.60930576070901032"/>
    <n v="1.606060606060606"/>
    <n v="429"/>
    <n v="165"/>
    <n v="323"/>
    <n v="50.8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0.51433762152607287"/>
    <n v="0.89130434782608692"/>
    <n v="419"/>
    <n v="133"/>
    <n v="373"/>
    <n v="35.79999999999999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0.58861541919532478"/>
    <n v="1.7666666666666666"/>
    <n v="419"/>
    <n v="148"/>
    <n v="348"/>
    <n v="42.9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0.55716275581270758"/>
    <n v="1.6226415094339623"/>
    <n v="416"/>
    <n v="158"/>
    <n v="350"/>
    <n v="45.5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0.65865569978151906"/>
    <n v="2.9019607843137254"/>
    <n v="410"/>
    <n v="143"/>
    <n v="291"/>
    <n v="49.7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0.61215957955088396"/>
    <n v="1.8793103448275863"/>
    <n v="410"/>
    <n v="154"/>
    <n v="301"/>
    <n v="50.7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0.58838761652664284"/>
    <n v="2.441860465116279"/>
    <n v="409"/>
    <n v="174"/>
    <n v="304"/>
    <n v="57.6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0.61896319843501646"/>
    <n v="0.890625"/>
    <n v="405"/>
    <n v="170"/>
    <n v="277"/>
    <n v="59.6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0.64114802087310685"/>
    <n v="2.189189189189189"/>
    <n v="403"/>
    <n v="174"/>
    <n v="298"/>
    <n v="57.4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0.55922156358349184"/>
    <n v="1.3823529411764706"/>
    <n v="400"/>
    <n v="155"/>
    <n v="333"/>
    <n v="46.5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0.56752873563218387"/>
    <n v="1.3846153846153846"/>
    <n v="395"/>
    <n v="165"/>
    <n v="315"/>
    <n v="52.1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0.49483648881239245"/>
    <n v="2.1014492753623188"/>
    <n v="391"/>
    <n v="158"/>
    <n v="359"/>
    <n v="43.8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0.64967767929089437"/>
    <n v="0.875"/>
    <n v="387"/>
    <n v="141"/>
    <n v="249"/>
    <n v="56.2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0.62370062370062374"/>
    <n v="2.0416666666666665"/>
    <n v="384"/>
    <n v="140"/>
    <n v="281"/>
    <n v="50.2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0.60524652338811635"/>
    <n v="1.7066666666666668"/>
    <n v="383"/>
    <n v="132"/>
    <n v="268"/>
    <n v="50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0.57239359158297465"/>
    <n v="3.5526315789473686"/>
    <n v="383"/>
    <n v="140"/>
    <n v="313"/>
    <n v="44.6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0.51192258340461938"/>
    <n v="1.1944444444444444"/>
    <n v="383"/>
    <n v="135"/>
    <n v="327"/>
    <n v="41.4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0.7096557890031292"/>
    <n v="1.2444444444444445"/>
    <n v="381"/>
    <n v="162"/>
    <n v="224"/>
    <n v="72.2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0.56511572130950949"/>
    <n v="1.975609756097561"/>
    <n v="377"/>
    <n v="133"/>
    <n v="290"/>
    <n v="45.7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0.59037809320437129"/>
    <n v="2.5686274509803924"/>
    <n v="376"/>
    <n v="137"/>
    <n v="296"/>
    <n v="46.3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0.52969683308914683"/>
    <n v="1.2391304347826086"/>
    <n v="376"/>
    <n v="165"/>
    <n v="325"/>
    <n v="50.2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0.56939390136780021"/>
    <n v="1.6666666666666667"/>
    <n v="363"/>
    <n v="126"/>
    <n v="284"/>
    <n v="44.6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0.53814876823726376"/>
    <n v="3.9459459459459461"/>
    <n v="360"/>
    <n v="140"/>
    <n v="305"/>
    <n v="46.9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0.51258685499487411"/>
    <n v="2"/>
    <n v="360"/>
    <n v="138"/>
    <n v="323"/>
    <n v="41.8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0.61393881190835509"/>
    <n v="1.8620689655172413"/>
    <n v="358"/>
    <n v="113"/>
    <n v="270"/>
    <n v="42.4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0.50921158027234237"/>
    <n v="1.7592592592592593"/>
    <n v="356"/>
    <n v="131"/>
    <n v="306"/>
    <n v="42.4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0.45356703567035667"/>
    <n v="1.2"/>
    <n v="354"/>
    <n v="114"/>
    <n v="348"/>
    <n v="33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0.59993201903467031"/>
    <n v="1.8484848484848484"/>
    <n v="353"/>
    <n v="103"/>
    <n v="259"/>
    <n v="39.700000000000003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0.59020791415157614"/>
    <n v="1.6216216216216217"/>
    <n v="352"/>
    <n v="127"/>
    <n v="274"/>
    <n v="46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0.5438871473354232"/>
    <n v="1.588235294117647"/>
    <n v="347"/>
    <n v="122"/>
    <n v="286"/>
    <n v="42.9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0.60076177285318555"/>
    <n v="2.12"/>
    <n v="347"/>
    <n v="134"/>
    <n v="269"/>
    <n v="48.7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0.52686714320926797"/>
    <n v="3.2105263157894739"/>
    <n v="342"/>
    <n v="144"/>
    <n v="281"/>
    <n v="51.4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0.5963206491326245"/>
    <n v="2.189189189189189"/>
    <n v="341"/>
    <n v="118"/>
    <n v="267"/>
    <n v="43.7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0.59859154929577463"/>
    <n v="1.6176470588235294"/>
    <n v="340"/>
    <n v="122"/>
    <n v="273"/>
    <n v="44.9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0.50439117018751478"/>
    <n v="2"/>
    <n v="340"/>
    <n v="131"/>
    <n v="308"/>
    <n v="42.1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0.58059165053912076"/>
    <n v="3"/>
    <n v="336"/>
    <n v="127"/>
    <n v="270"/>
    <n v="46.4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0.71623465211459758"/>
    <n v="0.453125"/>
    <n v="336"/>
    <n v="133"/>
    <n v="191"/>
    <n v="70.3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0.55481727574750828"/>
    <n v="4.3157894736842106"/>
    <n v="334"/>
    <n v="120"/>
    <n v="290"/>
    <n v="41.8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0.53022606045212095"/>
    <n v="1.4339622641509433"/>
    <n v="334"/>
    <n v="118"/>
    <n v="300"/>
    <n v="39.1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0.6518164735358597"/>
    <n v="2.2542372881355934"/>
    <n v="333"/>
    <n v="126"/>
    <n v="200"/>
    <n v="61.9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0.6144193644193644"/>
    <n v="5.2162162162162158"/>
    <n v="331"/>
    <n v="129"/>
    <n v="239"/>
    <n v="53.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0.55009363295880143"/>
    <n v="1.8627450980392157"/>
    <n v="329"/>
    <n v="117"/>
    <n v="270"/>
    <n v="44.8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0.60593782230735227"/>
    <n v="0.9285714285714286"/>
    <n v="329"/>
    <n v="119"/>
    <n v="242"/>
    <n v="49.6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0.63713113460628057"/>
    <n v="1.0952380952380953"/>
    <n v="323"/>
    <n v="134"/>
    <n v="235"/>
    <n v="57.4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0.56122448979591844"/>
    <n v="3.2083333333333335"/>
    <n v="319"/>
    <n v="112"/>
    <n v="271"/>
    <n v="41.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0.51925359356455225"/>
    <n v="1.5757575757575757"/>
    <n v="315"/>
    <n v="118"/>
    <n v="291"/>
    <n v="40.5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0.5565796937039138"/>
    <n v="2.5750000000000002"/>
    <n v="314"/>
    <n v="114"/>
    <n v="257"/>
    <n v="45.3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0.7028022274115322"/>
    <n v="2.15"/>
    <n v="313"/>
    <n v="133"/>
    <n v="191"/>
    <n v="70.2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0.61875297477391722"/>
    <n v="2.774193548387097"/>
    <n v="312"/>
    <n v="101"/>
    <n v="242"/>
    <n v="43.7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0.60073937153419588"/>
    <n v="1"/>
    <n v="312"/>
    <n v="120"/>
    <n v="228"/>
    <n v="51.5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0.66729808851386263"/>
    <n v="1.1621621621621621"/>
    <n v="310"/>
    <n v="130"/>
    <n v="205"/>
    <n v="65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0.52897247960171478"/>
    <n v="2.0185185185185186"/>
    <n v="306"/>
    <n v="102"/>
    <n v="258"/>
    <n v="39.299999999999997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0.54456506213398082"/>
    <n v="2.5789473684210527"/>
    <n v="305"/>
    <n v="103"/>
    <n v="240"/>
    <n v="43.3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0.58148431522570776"/>
    <n v="1.2903225806451613"/>
    <n v="304"/>
    <n v="114"/>
    <n v="246"/>
    <n v="45.6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0.52269601100412655"/>
    <n v="1.6458333333333333"/>
    <n v="304"/>
    <n v="114"/>
    <n v="260"/>
    <n v="44.4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0.52806712962962965"/>
    <n v="0.6428571428571429"/>
    <n v="292"/>
    <n v="116"/>
    <n v="236"/>
    <n v="50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0.48301132578281147"/>
    <n v="1.6829268292682926"/>
    <n v="290"/>
    <n v="117"/>
    <n v="276"/>
    <n v="41.9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0.57445956765412332"/>
    <n v="4.875"/>
    <n v="287"/>
    <n v="111"/>
    <n v="230"/>
    <n v="48.7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0.59673366834170849"/>
    <n v="1.25"/>
    <n v="285"/>
    <n v="105"/>
    <n v="230"/>
    <n v="46.1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0.57037275064267345"/>
    <n v="1"/>
    <n v="284"/>
    <n v="96"/>
    <n v="212"/>
    <n v="44.3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0.43364197530864196"/>
    <n v="1.9310344827586208"/>
    <n v="281"/>
    <n v="104"/>
    <n v="302"/>
    <n v="34.6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0.61861570975695668"/>
    <n v="1.2790697674418605"/>
    <n v="281"/>
    <n v="116"/>
    <n v="195"/>
    <n v="59.3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0.59360534887707872"/>
    <n v="3.6969696969696968"/>
    <n v="277"/>
    <n v="99"/>
    <n v="221"/>
    <n v="43.9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0.617477995329621"/>
    <n v="1.8076923076923077"/>
    <n v="275"/>
    <n v="112"/>
    <n v="202"/>
    <n v="55.2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0.63122005160339112"/>
    <n v="1.9"/>
    <n v="274"/>
    <n v="99"/>
    <n v="188"/>
    <n v="52.1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0.46239421239421236"/>
    <n v="1.6282051282051282"/>
    <n v="271"/>
    <n v="94"/>
    <n v="275"/>
    <n v="34.799999999999997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0.49169580419580416"/>
    <n v="1.1666666666666667"/>
    <n v="270"/>
    <n v="96"/>
    <n v="264"/>
    <n v="37.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0.52544247787610621"/>
    <n v="1.4358974358974359"/>
    <n v="266"/>
    <n v="95"/>
    <n v="221"/>
    <n v="42.7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0.52296319597357666"/>
    <n v="2.7619047619047619"/>
    <n v="266"/>
    <n v="88"/>
    <n v="242"/>
    <n v="36.6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0.59236409155937053"/>
    <n v="2.4444444444444446"/>
    <n v="265"/>
    <n v="86"/>
    <n v="203"/>
    <n v="42.6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0.60790273556231"/>
    <n v="1.972972972972973"/>
    <n v="256"/>
    <n v="116"/>
    <n v="189"/>
    <n v="60.4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0.50117924528301883"/>
    <n v="2.4761904761904763"/>
    <n v="255"/>
    <n v="94"/>
    <n v="250"/>
    <n v="36.9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0.53652583740111093"/>
    <n v="2.8039215686274508"/>
    <n v="255"/>
    <n v="117"/>
    <n v="224"/>
    <n v="52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0.54799861375844738"/>
    <n v="3"/>
    <n v="253"/>
    <n v="88"/>
    <n v="204"/>
    <n v="43.8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0.55062166962699821"/>
    <n v="1.9230769230769231"/>
    <n v="248"/>
    <n v="90"/>
    <n v="212"/>
    <n v="42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0.62820512820512819"/>
    <n v="1"/>
    <n v="245"/>
    <n v="97"/>
    <n v="184"/>
    <n v="52.5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0.5995566303909714"/>
    <n v="2.9166666666666665"/>
    <n v="238"/>
    <n v="81"/>
    <n v="191"/>
    <n v="42.1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0.54537923416789391"/>
    <n v="1.9375"/>
    <n v="237"/>
    <n v="81"/>
    <n v="190"/>
    <n v="42.1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0.58018961090262688"/>
    <n v="1.1515151515151516"/>
    <n v="235"/>
    <n v="89"/>
    <n v="188"/>
    <n v="45.8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0.58546837469975976"/>
    <n v="2.2413793103448274"/>
    <n v="234"/>
    <n v="90"/>
    <n v="184"/>
    <n v="49.5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0.55178268251273344"/>
    <n v="3.1304347826086958"/>
    <n v="234"/>
    <n v="81"/>
    <n v="194"/>
    <n v="42.6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0.57847082494969815"/>
    <n v="1.7333333333333334"/>
    <n v="230"/>
    <n v="84"/>
    <n v="179"/>
    <n v="45.8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0.4218635363169479"/>
    <n v="1.3333333333333333"/>
    <n v="230"/>
    <n v="85"/>
    <n v="255"/>
    <n v="32.299999999999997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0.46537148431149405"/>
    <n v="2.0277777777777777"/>
    <n v="229"/>
    <n v="83"/>
    <n v="239"/>
    <n v="35.1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0.68992528320077129"/>
    <n v="1.9545454545454546"/>
    <n v="229"/>
    <n v="90"/>
    <n v="140"/>
    <n v="64.7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0.55372061394987371"/>
    <n v="1.3333333333333333"/>
    <n v="228"/>
    <n v="94"/>
    <n v="194"/>
    <n v="47.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0.54087689067585676"/>
    <n v="1.2307692307692308"/>
    <n v="226"/>
    <n v="93"/>
    <n v="168"/>
    <n v="54.5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0.5078125"/>
    <n v="1.8148148148148149"/>
    <n v="221"/>
    <n v="93"/>
    <n v="211"/>
    <n v="44.1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0.48093739069604757"/>
    <n v="2.1428571428571428"/>
    <n v="220"/>
    <n v="81"/>
    <n v="212"/>
    <n v="38.5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0.56949401637623343"/>
    <n v="2.8"/>
    <n v="217"/>
    <n v="82"/>
    <n v="176"/>
    <n v="46.9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0.50196115054165114"/>
    <n v="2.2307692307692308"/>
    <n v="215"/>
    <n v="81"/>
    <n v="186"/>
    <n v="43.5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0.47926985874151534"/>
    <n v="0.90625"/>
    <n v="209"/>
    <n v="75"/>
    <n v="200"/>
    <n v="37.200000000000003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0.61872309899569589"/>
    <n v="1.2820512820512822"/>
    <n v="207"/>
    <n v="90"/>
    <n v="140"/>
    <n v="65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0.5432489451476793"/>
    <n v="1.8333333333333333"/>
    <n v="206"/>
    <n v="76"/>
    <n v="172"/>
    <n v="43.6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0.63244047619047616"/>
    <n v="2.2352941176470589"/>
    <n v="204"/>
    <n v="79"/>
    <n v="156"/>
    <n v="51.6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0.49195424583171776"/>
    <n v="2.625"/>
    <n v="203"/>
    <n v="68"/>
    <n v="172"/>
    <n v="40.200000000000003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0.59594052395562902"/>
    <n v="1.8095238095238095"/>
    <n v="202"/>
    <n v="80"/>
    <n v="151"/>
    <n v="53.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0.54207119741100318"/>
    <n v="4.32"/>
    <n v="201"/>
    <n v="78"/>
    <n v="181"/>
    <n v="42.8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0.81913499344692009"/>
    <n v="1.2"/>
    <n v="200"/>
    <n v="88"/>
    <n v="108"/>
    <n v="79.8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0.51854179761156505"/>
    <n v="1.5294117647058822"/>
    <n v="198"/>
    <n v="73"/>
    <n v="172"/>
    <n v="42.1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0.5388168022872224"/>
    <n v="1"/>
    <n v="196"/>
    <n v="67"/>
    <n v="159"/>
    <n v="43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0.57994289793004994"/>
    <n v="4.6470588235294121"/>
    <n v="195"/>
    <n v="69"/>
    <n v="158"/>
    <n v="43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0.54792187145128324"/>
    <n v="2"/>
    <n v="193"/>
    <n v="69"/>
    <n v="166"/>
    <n v="42.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0.62318649432867324"/>
    <n v="1.9722222222222223"/>
    <n v="189"/>
    <n v="71"/>
    <n v="138"/>
    <n v="51.4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0.56095512359011279"/>
    <n v="2.2380952380952381"/>
    <n v="187"/>
    <n v="68"/>
    <n v="146"/>
    <n v="47.3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0.57084670451740316"/>
    <n v="1.6666666666666667"/>
    <n v="185"/>
    <n v="72"/>
    <n v="144"/>
    <n v="50.7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0.53747650375939848"/>
    <n v="1.56"/>
    <n v="183"/>
    <n v="70"/>
    <n v="161"/>
    <n v="43.5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0.55746140651801024"/>
    <n v="2.0909090909090908"/>
    <n v="182"/>
    <n v="68"/>
    <n v="143"/>
    <n v="49.6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0.50123901779680102"/>
    <n v="1.6875"/>
    <n v="178"/>
    <n v="68"/>
    <n v="167"/>
    <n v="40.1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0.53418803418803418"/>
    <n v="3.5"/>
    <n v="175"/>
    <n v="60"/>
    <n v="155"/>
    <n v="40.299999999999997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0.58752025931928686"/>
    <n v="2.5454545454545454"/>
    <n v="174"/>
    <n v="64"/>
    <n v="134"/>
    <n v="47.8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0.64823141486810554"/>
    <n v="1.9"/>
    <n v="173"/>
    <n v="61"/>
    <n v="122"/>
    <n v="50.4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0.52628300946686601"/>
    <n v="1.5"/>
    <n v="169"/>
    <n v="66"/>
    <n v="150"/>
    <n v="43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0.59456398640996599"/>
    <n v="2.75"/>
    <n v="168"/>
    <n v="68"/>
    <n v="136"/>
    <n v="49.6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0.50216502285301901"/>
    <n v="2.3823529411764706"/>
    <n v="167"/>
    <n v="65"/>
    <n v="161"/>
    <n v="40.1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0.59592188397472712"/>
    <n v="1.2758620689655173"/>
    <n v="166"/>
    <n v="54"/>
    <n v="123"/>
    <n v="43.9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0.60365135453474672"/>
    <n v="3.5"/>
    <n v="164"/>
    <n v="56"/>
    <n v="120"/>
    <n v="46.7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0.55929179247872629"/>
    <n v="2.2592592592592591"/>
    <n v="163"/>
    <n v="61"/>
    <n v="129"/>
    <n v="47.3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0.5606769400110071"/>
    <n v="1"/>
    <n v="163"/>
    <n v="57"/>
    <n v="137"/>
    <n v="42.2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0.5779109589041096"/>
    <n v="3.1176470588235294"/>
    <n v="162"/>
    <n v="59"/>
    <n v="123"/>
    <n v="47.5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0.53899387809422417"/>
    <n v="1.5769230769230769"/>
    <n v="162"/>
    <n v="64"/>
    <n v="145"/>
    <n v="43.8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0.59362789299669361"/>
    <n v="0.81818181818181823"/>
    <n v="158"/>
    <n v="68"/>
    <n v="119"/>
    <n v="58.1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0.50768029159073158"/>
    <n v="0.83870967741935487"/>
    <n v="156"/>
    <n v="57"/>
    <n v="140"/>
    <n v="40.799999999999997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0.54016620498614953"/>
    <n v="1.8695652173913044"/>
    <n v="156"/>
    <n v="59"/>
    <n v="129"/>
    <n v="45.7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0.5070662130332374"/>
    <n v="3.6363636363636362"/>
    <n v="155"/>
    <n v="54"/>
    <n v="148"/>
    <n v="37.700000000000003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0.55702140134857814"/>
    <n v="1.5652173913043479"/>
    <n v="152"/>
    <n v="56"/>
    <n v="125"/>
    <n v="45.6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0.51518438177874182"/>
    <n v="1.2692307692307692"/>
    <n v="152"/>
    <n v="59"/>
    <n v="133"/>
    <n v="43.3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0.48818088386433706"/>
    <n v="1.6818181818181819"/>
    <n v="152"/>
    <n v="56"/>
    <n v="146"/>
    <n v="38.1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0.55645636792452824"/>
    <n v="1.4827586206896552"/>
    <n v="151"/>
    <n v="58"/>
    <n v="126"/>
    <n v="46.8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0.57555624227441282"/>
    <n v="1.2916666666666667"/>
    <n v="149"/>
    <n v="48"/>
    <n v="118"/>
    <n v="39.799999999999997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0.53685432385374343"/>
    <n v="1.3793103448275863"/>
    <n v="148"/>
    <n v="58"/>
    <n v="122"/>
    <n v="48.8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0.5829631979695431"/>
    <n v="4.5"/>
    <n v="147"/>
    <n v="60"/>
    <n v="112"/>
    <n v="53.1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0.61372745490981961"/>
    <n v="2"/>
    <n v="147"/>
    <n v="50"/>
    <n v="118"/>
    <n v="42.7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0.51369863013698636"/>
    <n v="1.5263157894736843"/>
    <n v="144"/>
    <n v="53"/>
    <n v="134"/>
    <n v="38.299999999999997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0.56746031746031744"/>
    <n v="1.1071428571428572"/>
    <n v="143"/>
    <n v="67"/>
    <n v="115"/>
    <n v="58.8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0.57900788436268069"/>
    <n v="1"/>
    <n v="141"/>
    <n v="53"/>
    <n v="109"/>
    <n v="48.6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0.53167420814479638"/>
    <n v="1.5789473684210527"/>
    <n v="141"/>
    <n v="56"/>
    <n v="126"/>
    <n v="43.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0.55341674687199227"/>
    <n v="2"/>
    <n v="138"/>
    <n v="54"/>
    <n v="115"/>
    <n v="48.2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0.55897602073882047"/>
    <n v="1"/>
    <n v="138"/>
    <n v="51"/>
    <n v="112"/>
    <n v="46.4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0.56893687707641194"/>
    <n v="1"/>
    <n v="137"/>
    <n v="51"/>
    <n v="105"/>
    <n v="49.5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0.5265990159901599"/>
    <n v="4.5238095238095237"/>
    <n v="137"/>
    <n v="42"/>
    <n v="116"/>
    <n v="35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0.472674579078112"/>
    <n v="2.2222222222222223"/>
    <n v="137"/>
    <n v="47"/>
    <n v="126"/>
    <n v="37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0.56685561853951316"/>
    <n v="1"/>
    <n v="136"/>
    <n v="56"/>
    <n v="105"/>
    <n v="51.9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0.4964953271028037"/>
    <n v="2.9375"/>
    <n v="136"/>
    <n v="53"/>
    <n v="133"/>
    <n v="39.1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0.68108974358974361"/>
    <n v="0.75"/>
    <n v="136"/>
    <n v="56"/>
    <n v="84"/>
    <n v="65.09999999999999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0.4595588235294118"/>
    <n v="2.1851851851851851"/>
    <n v="135"/>
    <n v="49"/>
    <n v="135"/>
    <n v="38.299999999999997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0.49835131894484413"/>
    <n v="1.3333333333333333"/>
    <n v="133"/>
    <n v="46"/>
    <n v="122"/>
    <n v="37.5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0.58479532163742687"/>
    <n v="1.5"/>
    <n v="128"/>
    <n v="41"/>
    <n v="87"/>
    <n v="48.9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0.43490460157126826"/>
    <n v="3.1666666666666665"/>
    <n v="124"/>
    <n v="44"/>
    <n v="132"/>
    <n v="34.4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0.48753196930946291"/>
    <n v="1.6428571428571428"/>
    <n v="122"/>
    <n v="41"/>
    <n v="115"/>
    <n v="35.70000000000000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0.58451513990034498"/>
    <n v="2.1666666666666665"/>
    <n v="122"/>
    <n v="42"/>
    <n v="96"/>
    <n v="44.3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0.52513774104683197"/>
    <n v="1.2608695652173914"/>
    <n v="122"/>
    <n v="47"/>
    <n v="99"/>
    <n v="46.9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0.49603174603174599"/>
    <n v="1.5555555555555556"/>
    <n v="120"/>
    <n v="42"/>
    <n v="106"/>
    <n v="39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0.60048038430744599"/>
    <n v="2"/>
    <n v="120"/>
    <n v="46"/>
    <n v="92"/>
    <n v="48.9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0.60204081632653061"/>
    <n v="1.875"/>
    <n v="118"/>
    <n v="42"/>
    <n v="87"/>
    <n v="48.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0.72175211548033846"/>
    <n v="3.2352941176470589"/>
    <n v="116"/>
    <n v="44"/>
    <n v="61"/>
    <n v="68.900000000000006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0.67504655493482313"/>
    <n v="1.2222222222222223"/>
    <n v="116"/>
    <n v="50"/>
    <n v="78"/>
    <n v="64.099999999999994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0.50509486999297259"/>
    <n v="1.4285714285714286"/>
    <n v="115"/>
    <n v="45"/>
    <n v="109"/>
    <n v="41.7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0.57785888077858882"/>
    <n v="0.75"/>
    <n v="114"/>
    <n v="40"/>
    <n v="96"/>
    <n v="40.6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0.59100418410041844"/>
    <n v="2.0714285714285716"/>
    <n v="113"/>
    <n v="42"/>
    <n v="89"/>
    <n v="47.7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0.49002450122506125"/>
    <n v="2.8333333333333335"/>
    <n v="112"/>
    <n v="40"/>
    <n v="109"/>
    <n v="35.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0.39970930232558144"/>
    <n v="1.75"/>
    <n v="110"/>
    <n v="42"/>
    <n v="131"/>
    <n v="32.299999999999997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0.53606237816764135"/>
    <n v="1.5294117647058822"/>
    <n v="110"/>
    <n v="35"/>
    <n v="96"/>
    <n v="37.5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0.57315548145060446"/>
    <n v="2.9285714285714284"/>
    <n v="110"/>
    <n v="41"/>
    <n v="92"/>
    <n v="45.1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0.4998165810711665"/>
    <n v="1.3333333333333333"/>
    <n v="109"/>
    <n v="45"/>
    <n v="102"/>
    <n v="44.1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0.56348221670802312"/>
    <n v="2.25"/>
    <n v="109"/>
    <n v="39"/>
    <n v="91"/>
    <n v="42.2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0.50391937290033595"/>
    <n v="2"/>
    <n v="108"/>
    <n v="34"/>
    <n v="90"/>
    <n v="38.9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0.51264852433882713"/>
    <n v="0.84615384615384615"/>
    <n v="107"/>
    <n v="48"/>
    <n v="96"/>
    <n v="49.5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0.49888101454681094"/>
    <n v="2.1111111111111112"/>
    <n v="107"/>
    <n v="38"/>
    <n v="98"/>
    <n v="37.799999999999997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0.51237432327919563"/>
    <n v="1.7692307692307692"/>
    <n v="106"/>
    <n v="40"/>
    <n v="92"/>
    <n v="40.4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0.63366810138689622"/>
    <n v="0.8"/>
    <n v="106"/>
    <n v="42"/>
    <n v="70"/>
    <n v="6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0.53137651821862353"/>
    <n v="2"/>
    <n v="105"/>
    <n v="35"/>
    <n v="90"/>
    <n v="38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0.57189542483660127"/>
    <n v="7"/>
    <n v="105"/>
    <n v="35"/>
    <n v="83"/>
    <n v="41.5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0.49132947976878616"/>
    <n v="1.8333333333333333"/>
    <n v="102"/>
    <n v="37"/>
    <n v="95"/>
    <n v="38.5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0.45353572750833021"/>
    <n v="2.35"/>
    <n v="98"/>
    <n v="43"/>
    <n v="101"/>
    <n v="40.6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0.57655729909652875"/>
    <n v="3.6428571428571428"/>
    <n v="97"/>
    <n v="32"/>
    <n v="74"/>
    <n v="43.1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0.54622815087396503"/>
    <n v="0.65217391304347827"/>
    <n v="95"/>
    <n v="42"/>
    <n v="72"/>
    <n v="55.4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0.64328277356446373"/>
    <n v="1"/>
    <n v="95"/>
    <n v="42"/>
    <n v="69"/>
    <n v="63.4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0.39938817131203258"/>
    <n v="2.9545454545454546"/>
    <n v="94"/>
    <n v="36"/>
    <n v="108"/>
    <n v="32.700000000000003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0.60461956521739135"/>
    <n v="1.3636363636363635"/>
    <n v="89"/>
    <n v="41"/>
    <n v="67"/>
    <n v="60.6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0.64235085646780865"/>
    <n v="1.2941176470588236"/>
    <n v="87"/>
    <n v="31"/>
    <n v="62"/>
    <n v="50.8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0.67588564325668121"/>
    <n v="1.4"/>
    <n v="87"/>
    <n v="37"/>
    <n v="56"/>
    <n v="66.099999999999994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0.51361681796464409"/>
    <n v="1.6428571428571428"/>
    <n v="86"/>
    <n v="31"/>
    <n v="78"/>
    <n v="39.70000000000000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0.33578509753757596"/>
    <n v="2.7666666666666666"/>
    <n v="84"/>
    <n v="41"/>
    <n v="122"/>
    <n v="32.799999999999997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0.47482837528604116"/>
    <n v="1.3125"/>
    <n v="83"/>
    <n v="31"/>
    <n v="83"/>
    <n v="36.1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0.49522673031026254"/>
    <n v="1"/>
    <n v="83"/>
    <n v="28"/>
    <n v="75"/>
    <n v="36.5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0.4604672057502246"/>
    <n v="4.375"/>
    <n v="82"/>
    <n v="29"/>
    <n v="82"/>
    <n v="32.9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0.48716730038022815"/>
    <n v="1.4285714285714286"/>
    <n v="82"/>
    <n v="31"/>
    <n v="78"/>
    <n v="41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0.53121720881427081"/>
    <n v="0.7857142857142857"/>
    <n v="81"/>
    <n v="28"/>
    <n v="67"/>
    <n v="41.5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0.4974489795918367"/>
    <n v="1.3846153846153846"/>
    <n v="78"/>
    <n v="30"/>
    <n v="74"/>
    <n v="41.9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0.64946018893387314"/>
    <n v="0.83333333333333337"/>
    <n v="77"/>
    <n v="26"/>
    <n v="54"/>
    <n v="48.1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0.50317796610169496"/>
    <n v="2"/>
    <n v="76"/>
    <n v="32"/>
    <n v="72"/>
    <n v="45.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0.702247191011236"/>
    <n v="0.3"/>
    <n v="75"/>
    <n v="34"/>
    <n v="49"/>
    <n v="69.400000000000006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0.55637982195845692"/>
    <n v="0.9"/>
    <n v="75"/>
    <n v="29"/>
    <n v="63"/>
    <n v="46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0.51446051167964402"/>
    <n v="2.0555555555555554"/>
    <n v="74"/>
    <n v="32"/>
    <n v="64"/>
    <n v="50.8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0.51664753157290466"/>
    <n v="0.6"/>
    <n v="72"/>
    <n v="26"/>
    <n v="60"/>
    <n v="42.4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0.39498141263940523"/>
    <n v="1.5"/>
    <n v="68"/>
    <n v="32"/>
    <n v="72"/>
    <n v="43.7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0.61945266272189348"/>
    <n v="0.7142857142857143"/>
    <n v="67"/>
    <n v="23"/>
    <n v="51"/>
    <n v="48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0.43036998972250767"/>
    <n v="2.25"/>
    <n v="67"/>
    <n v="26"/>
    <n v="73"/>
    <n v="35.6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0.34267594108019639"/>
    <n v="2.75"/>
    <n v="67"/>
    <n v="26"/>
    <n v="96"/>
    <n v="26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0.45640326975476836"/>
    <n v="1.4285714285714286"/>
    <n v="67"/>
    <n v="27"/>
    <n v="69"/>
    <n v="39.1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0.50366300366300365"/>
    <n v="0.7142857142857143"/>
    <n v="66"/>
    <n v="28"/>
    <n v="62"/>
    <n v="43.5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0.53894297635605004"/>
    <n v="1.7"/>
    <n v="62"/>
    <n v="22"/>
    <n v="54"/>
    <n v="40.70000000000000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0.65071368597816959"/>
    <n v="1"/>
    <n v="62"/>
    <n v="29"/>
    <n v="45"/>
    <n v="64.400000000000006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0.41801510248112189"/>
    <n v="1.5714285714285714"/>
    <n v="62"/>
    <n v="22"/>
    <n v="68"/>
    <n v="31.3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0.45522388059701491"/>
    <n v="1.8"/>
    <n v="61"/>
    <n v="27"/>
    <n v="67"/>
    <n v="41.8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0.46500630517023961"/>
    <n v="0.75"/>
    <n v="59"/>
    <n v="22"/>
    <n v="63"/>
    <n v="34.9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0.547583081570997"/>
    <n v="1.3571428571428572"/>
    <n v="58"/>
    <n v="26"/>
    <n v="49"/>
    <n v="53.1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0.44871794871794873"/>
    <n v="1.5714285714285714"/>
    <n v="56"/>
    <n v="21"/>
    <n v="58"/>
    <n v="36.200000000000003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0.38022813688212925"/>
    <n v="4.2"/>
    <n v="56"/>
    <n v="21"/>
    <n v="71"/>
    <n v="30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0.48758865248226951"/>
    <n v="1.5"/>
    <n v="55"/>
    <n v="17"/>
    <n v="52"/>
    <n v="32.70000000000000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0.61936936936936937"/>
    <n v="1.625"/>
    <n v="55"/>
    <n v="18"/>
    <n v="40"/>
    <n v="41.5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0.55923777961888976"/>
    <n v="3.4444444444444446"/>
    <n v="54"/>
    <n v="18"/>
    <n v="43"/>
    <n v="41.9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0.48252002913328479"/>
    <n v="2.125"/>
    <n v="53"/>
    <n v="18"/>
    <n v="47"/>
    <n v="38.299999999999997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0.64133591481122942"/>
    <n v="5"/>
    <n v="53"/>
    <n v="20"/>
    <n v="40"/>
    <n v="50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0.69371727748691092"/>
    <n v="0.4"/>
    <n v="53"/>
    <n v="19"/>
    <n v="36"/>
    <n v="54.3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0.41510025062656641"/>
    <n v="2.8181818181818183"/>
    <n v="53"/>
    <n v="17"/>
    <n v="59"/>
    <n v="30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0.57573073516386186"/>
    <n v="0.5"/>
    <n v="52"/>
    <n v="19"/>
    <n v="39"/>
    <n v="48.7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0.67189249720044797"/>
    <n v="0.5"/>
    <n v="48"/>
    <n v="20"/>
    <n v="30"/>
    <n v="67.7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0.58198380566801611"/>
    <n v="1.5"/>
    <n v="46"/>
    <n v="18"/>
    <n v="36"/>
    <n v="50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0.50218340611353718"/>
    <n v="1.2857142857142858"/>
    <n v="46"/>
    <n v="15"/>
    <n v="37"/>
    <n v="43.2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0.83075734157650694"/>
    <n v="0.5"/>
    <n v="43"/>
    <n v="16"/>
    <n v="25"/>
    <n v="64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0.70723684210526316"/>
    <n v="1"/>
    <n v="43"/>
    <n v="18"/>
    <n v="26"/>
    <n v="69.2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0.60693641618497107"/>
    <n v="1.5"/>
    <n v="42"/>
    <n v="12"/>
    <n v="28"/>
    <n v="42.9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0.55361305361305357"/>
    <n v="2.5"/>
    <n v="38"/>
    <n v="14"/>
    <n v="33"/>
    <n v="43.8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0.48684210526315791"/>
    <n v="4"/>
    <n v="37"/>
    <n v="13"/>
    <n v="38"/>
    <n v="34.200000000000003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0.6008010680907877"/>
    <n v="4.5"/>
    <n v="36"/>
    <n v="12"/>
    <n v="26"/>
    <n v="46.2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0.48859934853420189"/>
    <n v="1"/>
    <n v="36"/>
    <n v="13"/>
    <n v="32"/>
    <n v="40.6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0.60240963855421692"/>
    <n v="1"/>
    <n v="36"/>
    <n v="13"/>
    <n v="29"/>
    <n v="40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0.60013717421124824"/>
    <n v="1"/>
    <n v="35"/>
    <n v="14"/>
    <n v="23"/>
    <n v="60.9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0.50057208237986273"/>
    <n v="5"/>
    <n v="35"/>
    <n v="11"/>
    <n v="31"/>
    <n v="36.700000000000003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0.36733837111670864"/>
    <n v="5.333333333333333"/>
    <n v="35"/>
    <n v="14"/>
    <n v="45"/>
    <n v="31.1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0.46397379912663755"/>
    <n v="1"/>
    <n v="34"/>
    <n v="13"/>
    <n v="34"/>
    <n v="35.299999999999997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0.64393939393939392"/>
    <n v="1.5"/>
    <n v="34"/>
    <n v="14"/>
    <n v="22"/>
    <n v="63.6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0.30375552282768775"/>
    <n v="0.53846153846153844"/>
    <n v="33"/>
    <n v="13"/>
    <n v="53"/>
    <n v="24.5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0.4719679633867277"/>
    <n v="1.3636363636363635"/>
    <n v="33"/>
    <n v="13"/>
    <n v="31"/>
    <n v="43.3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0.59790732436472338"/>
    <n v="2"/>
    <n v="32"/>
    <n v="13"/>
    <n v="25"/>
    <n v="58.3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0.4024144869215292"/>
    <n v="1.5"/>
    <n v="32"/>
    <n v="11"/>
    <n v="38"/>
    <n v="28.9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0.42507970244420828"/>
    <n v="2.6666666666666665"/>
    <n v="32"/>
    <n v="11"/>
    <n v="35"/>
    <n v="31.4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0.35879629629629628"/>
    <n v="2.4"/>
    <n v="31"/>
    <n v="12"/>
    <n v="41"/>
    <n v="31.7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0.46686746987951805"/>
    <n v="1.25"/>
    <n v="31"/>
    <n v="11"/>
    <n v="31"/>
    <n v="32.299999999999997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0.44273907910271543"/>
    <n v="2.3333333333333335"/>
    <n v="30"/>
    <n v="11"/>
    <n v="33"/>
    <n v="33.299999999999997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0.42053364269141524"/>
    <n v="0.66666666666666663"/>
    <n v="29"/>
    <n v="8"/>
    <n v="27"/>
    <n v="33.299999999999997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0.46955958549222798"/>
    <n v="1"/>
    <n v="29"/>
    <n v="10"/>
    <n v="30"/>
    <n v="32.299999999999997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0.48678720445062584"/>
    <n v="2.1666666666666665"/>
    <n v="28"/>
    <n v="11"/>
    <n v="27"/>
    <n v="40.70000000000000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0.41617122473246138"/>
    <n v="1.3333333333333333"/>
    <n v="28"/>
    <n v="11"/>
    <n v="31"/>
    <n v="35.5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0.36353467561521252"/>
    <n v="1"/>
    <n v="26"/>
    <n v="12"/>
    <n v="34"/>
    <n v="32.4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0.54545454545454541"/>
    <n v="2.3333333333333335"/>
    <n v="24"/>
    <n v="9"/>
    <n v="22"/>
    <n v="40.9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0.49586776859504134"/>
    <n v="1.2"/>
    <n v="24"/>
    <n v="10"/>
    <n v="22"/>
    <n v="39.1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0.78947368421052633"/>
    <n v="1"/>
    <n v="24"/>
    <n v="10"/>
    <n v="13"/>
    <n v="76.900000000000006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0.44230769230769229"/>
    <n v="0.9"/>
    <n v="23"/>
    <n v="10"/>
    <n v="26"/>
    <n v="38.5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0.4667207792207792"/>
    <n v="1.5"/>
    <n v="23"/>
    <n v="7"/>
    <n v="22"/>
    <n v="31.8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0.56930693069306937"/>
    <n v="11"/>
    <n v="23"/>
    <n v="9"/>
    <n v="18"/>
    <n v="50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0.65165876777251186"/>
    <n v="2"/>
    <n v="22"/>
    <n v="8"/>
    <n v="16"/>
    <n v="53.3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0.56008146639511203"/>
    <n v="4"/>
    <n v="22"/>
    <n v="8"/>
    <n v="17"/>
    <n v="47.1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0.51229508196721307"/>
    <n v="0"/>
    <n v="20"/>
    <n v="7"/>
    <n v="16"/>
    <n v="4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0.36348949919224555"/>
    <n v="2.3333333333333335"/>
    <n v="18"/>
    <n v="7"/>
    <n v="23"/>
    <n v="29.2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0.58060109289617479"/>
    <n v="1.25"/>
    <n v="17"/>
    <n v="6"/>
    <n v="12"/>
    <n v="50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0.38848263254113347"/>
    <n v="1.3333333333333333"/>
    <n v="17"/>
    <n v="8"/>
    <n v="21"/>
    <n v="38.1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0.51150895140664965"/>
    <n v="1.75"/>
    <n v="16"/>
    <n v="5"/>
    <n v="13"/>
    <n v="38.5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0.5376344086021505"/>
    <n v="2"/>
    <n v="16"/>
    <n v="6"/>
    <n v="14"/>
    <n v="42.9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0.68933823529411764"/>
    <n v="7"/>
    <n v="15"/>
    <n v="6"/>
    <n v="10"/>
    <n v="60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0.27017291066282417"/>
    <n v="2"/>
    <n v="15"/>
    <n v="4"/>
    <n v="26"/>
    <n v="19.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0.32608695652173914"/>
    <n v="2.2999999999999998"/>
    <n v="15"/>
    <n v="6"/>
    <n v="23"/>
    <n v="26.1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0.67829457364341084"/>
    <n v="0"/>
    <n v="14"/>
    <n v="6"/>
    <n v="9"/>
    <n v="66.7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0.41176470588235292"/>
    <n v="0.5"/>
    <n v="14"/>
    <n v="5"/>
    <n v="17"/>
    <n v="29.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0.3170289855072464"/>
    <n v="0.33333333333333331"/>
    <n v="14"/>
    <n v="6"/>
    <n v="19"/>
    <n v="31.6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0.53030303030303028"/>
    <n v="1"/>
    <n v="14"/>
    <n v="5"/>
    <n v="11"/>
    <n v="45.5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0.35425101214574894"/>
    <n v="1"/>
    <n v="14"/>
    <n v="4"/>
    <n v="18"/>
    <n v="22.2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0.38056206088992978"/>
    <n v="0.75"/>
    <n v="13"/>
    <n v="4"/>
    <n v="14"/>
    <n v="28.6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0.2873563218390805"/>
    <n v="1"/>
    <n v="12"/>
    <n v="5"/>
    <n v="20"/>
    <n v="25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0.93537414965986398"/>
    <n v="6"/>
    <n v="11"/>
    <n v="4"/>
    <n v="5"/>
    <n v="80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0.4464285714285714"/>
    <n v="0"/>
    <n v="11"/>
    <n v="4"/>
    <n v="11"/>
    <n v="36.4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0.56306306306306297"/>
    <s v="NA"/>
    <n v="10"/>
    <n v="4"/>
    <n v="8"/>
    <n v="5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0.36290322580645162"/>
    <n v="0.42857142857142855"/>
    <n v="9"/>
    <n v="3"/>
    <n v="8"/>
    <n v="25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0.6428571428571429"/>
    <n v="0"/>
    <n v="9"/>
    <n v="3"/>
    <n v="7"/>
    <n v="42.9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0.51369863013698636"/>
    <n v="0"/>
    <n v="9"/>
    <n v="2"/>
    <n v="7"/>
    <n v="28.6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0.5714285714285714"/>
    <n v="1"/>
    <n v="8"/>
    <n v="4"/>
    <n v="7"/>
    <n v="57.1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0.34965034965034969"/>
    <n v="1"/>
    <n v="8"/>
    <n v="4"/>
    <n v="11"/>
    <n v="36.4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0.44444444444444442"/>
    <n v="1"/>
    <n v="8"/>
    <n v="4"/>
    <n v="9"/>
    <n v="44.4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0.18281535648994515"/>
    <n v="2"/>
    <n v="8"/>
    <n v="3"/>
    <n v="21"/>
    <n v="14.3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0.35425101214574894"/>
    <s v="NA"/>
    <n v="7"/>
    <n v="2"/>
    <n v="9"/>
    <n v="22.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0.3216911764705882"/>
    <n v="3"/>
    <n v="7"/>
    <n v="3"/>
    <n v="10"/>
    <n v="30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0.62056737588652477"/>
    <n v="5"/>
    <n v="7"/>
    <n v="2"/>
    <n v="3"/>
    <n v="66.7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0.61475409836065575"/>
    <s v="NA"/>
    <n v="6"/>
    <n v="2"/>
    <n v="4"/>
    <n v="5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0.38071065989847719"/>
    <s v="NA"/>
    <n v="6"/>
    <n v="2"/>
    <n v="7"/>
    <n v="28.6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0.38071065989847719"/>
    <s v="NA"/>
    <n v="6"/>
    <n v="2"/>
    <n v="7"/>
    <n v="28.6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0.27573529411764702"/>
    <n v="0.5"/>
    <n v="6"/>
    <n v="2"/>
    <n v="10"/>
    <n v="20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s v="NA"/>
    <s v="NA"/>
    <n v="5"/>
    <n v="2"/>
    <n v="2"/>
    <n v="100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0.625"/>
    <s v="NA"/>
    <n v="5"/>
    <n v="2"/>
    <n v="4"/>
    <n v="50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0.42517006802721091"/>
    <n v="1"/>
    <n v="5"/>
    <n v="2"/>
    <n v="5"/>
    <n v="4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0.2252252252252252"/>
    <s v="NA"/>
    <n v="4"/>
    <n v="1"/>
    <n v="8"/>
    <n v="12.5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0.5"/>
    <n v="3"/>
    <n v="4"/>
    <n v="2"/>
    <n v="4"/>
    <n v="5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0.19035532994923859"/>
    <s v="NA"/>
    <n v="3"/>
    <n v="1"/>
    <n v="7"/>
    <n v="14.3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0.2259036144578313"/>
    <n v="0"/>
    <n v="3"/>
    <n v="0"/>
    <n v="4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0.3"/>
    <n v="1"/>
    <n v="3"/>
    <n v="1"/>
    <n v="5"/>
    <n v="20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0.17772511848341233"/>
    <n v="1"/>
    <n v="3"/>
    <n v="1"/>
    <n v="8"/>
    <n v="12.5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0.20161290322580644"/>
    <n v="0.75"/>
    <n v="3"/>
    <n v="1"/>
    <n v="7"/>
    <n v="14.3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0.33333333333333331"/>
    <s v="NA"/>
    <n v="2"/>
    <n v="1"/>
    <n v="3"/>
    <n v="33.299999999999997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0.26595744680851063"/>
    <n v="1"/>
    <n v="2"/>
    <n v="0"/>
    <n v="2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0.26595744680851063"/>
    <n v="0.75"/>
    <n v="1"/>
    <n v="0"/>
    <n v="1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s v="NA"/>
    <s v="NA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0"/>
    <s v="NA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0"/>
    <s v="NA"/>
    <n v="0"/>
    <n v="0"/>
    <n v="2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s v="NA"/>
    <s v="NA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0"/>
    <s v="NA"/>
    <n v="0"/>
    <n v="0"/>
    <n v="2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0"/>
    <s v="NA"/>
    <n v="0"/>
    <n v="0"/>
    <n v="2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0"/>
    <s v="NA"/>
    <n v="0"/>
    <n v="0"/>
    <n v="1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0"/>
    <s v="NA"/>
    <n v="0"/>
    <n v="0"/>
    <n v="1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s v="NA"/>
    <s v="NA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A1:G601" firstHeaderRow="0" firstDataRow="1" firstDataCol="1"/>
  <pivotFields count="45">
    <pivotField axis="axisRow" showAll="0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axis="axisRow" showAll="0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"/>
    <field x="0"/>
  </rowFields>
  <rowItems count="600">
    <i>
      <x/>
    </i>
    <i r="1">
      <x v="78"/>
    </i>
    <i r="1">
      <x v="90"/>
    </i>
    <i r="1">
      <x v="105"/>
    </i>
    <i r="1">
      <x v="147"/>
    </i>
    <i r="1">
      <x v="161"/>
    </i>
    <i r="1">
      <x v="174"/>
    </i>
    <i r="1">
      <x v="178"/>
    </i>
    <i r="1">
      <x v="210"/>
    </i>
    <i r="1">
      <x v="228"/>
    </i>
    <i r="1">
      <x v="315"/>
    </i>
    <i r="1">
      <x v="342"/>
    </i>
    <i r="1">
      <x v="356"/>
    </i>
    <i r="1">
      <x v="409"/>
    </i>
    <i r="1">
      <x v="432"/>
    </i>
    <i r="1">
      <x v="509"/>
    </i>
    <i r="1">
      <x v="523"/>
    </i>
    <i r="1">
      <x v="552"/>
    </i>
    <i r="1">
      <x v="561"/>
    </i>
    <i>
      <x v="1"/>
    </i>
    <i r="1">
      <x v="74"/>
    </i>
    <i r="1">
      <x v="76"/>
    </i>
    <i r="1">
      <x v="103"/>
    </i>
    <i r="1">
      <x v="113"/>
    </i>
    <i r="1">
      <x v="120"/>
    </i>
    <i r="1">
      <x v="125"/>
    </i>
    <i r="1">
      <x v="131"/>
    </i>
    <i r="1">
      <x v="156"/>
    </i>
    <i r="1">
      <x v="234"/>
    </i>
    <i r="1">
      <x v="325"/>
    </i>
    <i r="1">
      <x v="337"/>
    </i>
    <i r="1">
      <x v="395"/>
    </i>
    <i r="1">
      <x v="418"/>
    </i>
    <i r="1">
      <x v="426"/>
    </i>
    <i r="1">
      <x v="464"/>
    </i>
    <i r="1">
      <x v="521"/>
    </i>
    <i r="1">
      <x v="527"/>
    </i>
    <i r="1">
      <x v="543"/>
    </i>
    <i r="1">
      <x v="545"/>
    </i>
    <i r="1">
      <x v="566"/>
    </i>
    <i>
      <x v="2"/>
    </i>
    <i r="1">
      <x v="11"/>
    </i>
    <i r="1">
      <x v="39"/>
    </i>
    <i r="1">
      <x v="139"/>
    </i>
    <i r="1">
      <x v="155"/>
    </i>
    <i r="1">
      <x v="253"/>
    </i>
    <i r="1">
      <x v="261"/>
    </i>
    <i r="1">
      <x v="263"/>
    </i>
    <i r="1">
      <x v="292"/>
    </i>
    <i r="1">
      <x v="301"/>
    </i>
    <i r="1">
      <x v="345"/>
    </i>
    <i r="1">
      <x v="369"/>
    </i>
    <i r="1">
      <x v="402"/>
    </i>
    <i r="1">
      <x v="416"/>
    </i>
    <i r="1">
      <x v="450"/>
    </i>
    <i r="1">
      <x v="481"/>
    </i>
    <i r="1">
      <x v="520"/>
    </i>
    <i r="1">
      <x v="557"/>
    </i>
    <i>
      <x v="3"/>
    </i>
    <i r="1">
      <x v="57"/>
    </i>
    <i r="1">
      <x v="111"/>
    </i>
    <i r="1">
      <x v="118"/>
    </i>
    <i r="1">
      <x v="183"/>
    </i>
    <i r="1">
      <x v="203"/>
    </i>
    <i r="1">
      <x v="257"/>
    </i>
    <i r="1">
      <x v="296"/>
    </i>
    <i r="1">
      <x v="299"/>
    </i>
    <i r="1">
      <x v="310"/>
    </i>
    <i r="1">
      <x v="339"/>
    </i>
    <i r="1">
      <x v="354"/>
    </i>
    <i r="1">
      <x v="372"/>
    </i>
    <i r="1">
      <x v="379"/>
    </i>
    <i r="1">
      <x v="383"/>
    </i>
    <i r="1">
      <x v="400"/>
    </i>
    <i r="1">
      <x v="410"/>
    </i>
    <i r="1">
      <x v="420"/>
    </i>
    <i r="1">
      <x v="488"/>
    </i>
    <i r="1">
      <x v="503"/>
    </i>
    <i r="1">
      <x v="515"/>
    </i>
    <i r="1">
      <x v="526"/>
    </i>
    <i r="1">
      <x v="556"/>
    </i>
    <i>
      <x v="4"/>
    </i>
    <i r="1">
      <x v="6"/>
    </i>
    <i r="1">
      <x v="37"/>
    </i>
    <i r="1">
      <x v="83"/>
    </i>
    <i r="1">
      <x v="91"/>
    </i>
    <i r="1">
      <x v="108"/>
    </i>
    <i r="1">
      <x v="162"/>
    </i>
    <i r="1">
      <x v="165"/>
    </i>
    <i r="1">
      <x v="218"/>
    </i>
    <i r="1">
      <x v="231"/>
    </i>
    <i r="1">
      <x v="272"/>
    </i>
    <i r="1">
      <x v="295"/>
    </i>
    <i r="1">
      <x v="304"/>
    </i>
    <i r="1">
      <x v="329"/>
    </i>
    <i r="1">
      <x v="364"/>
    </i>
    <i r="1">
      <x v="389"/>
    </i>
    <i r="1">
      <x v="425"/>
    </i>
    <i r="1">
      <x v="446"/>
    </i>
    <i r="1">
      <x v="504"/>
    </i>
    <i r="1">
      <x v="525"/>
    </i>
    <i r="1">
      <x v="562"/>
    </i>
    <i>
      <x v="5"/>
    </i>
    <i r="1">
      <x v="88"/>
    </i>
    <i r="1">
      <x v="102"/>
    </i>
    <i r="1">
      <x v="121"/>
    </i>
    <i r="1">
      <x v="127"/>
    </i>
    <i r="1">
      <x v="129"/>
    </i>
    <i r="1">
      <x v="149"/>
    </i>
    <i r="1">
      <x v="166"/>
    </i>
    <i r="1">
      <x v="169"/>
    </i>
    <i r="1">
      <x v="194"/>
    </i>
    <i r="1">
      <x v="249"/>
    </i>
    <i r="1">
      <x v="250"/>
    </i>
    <i r="1">
      <x v="260"/>
    </i>
    <i r="1">
      <x v="370"/>
    </i>
    <i r="1">
      <x v="393"/>
    </i>
    <i r="1">
      <x v="412"/>
    </i>
    <i r="1">
      <x v="482"/>
    </i>
    <i r="1">
      <x v="535"/>
    </i>
    <i r="1">
      <x v="538"/>
    </i>
    <i>
      <x v="6"/>
    </i>
    <i r="1">
      <x v="28"/>
    </i>
    <i r="1">
      <x v="58"/>
    </i>
    <i r="1">
      <x v="70"/>
    </i>
    <i r="1">
      <x v="114"/>
    </i>
    <i r="1">
      <x v="117"/>
    </i>
    <i r="1">
      <x v="137"/>
    </i>
    <i r="1">
      <x v="160"/>
    </i>
    <i r="1">
      <x v="211"/>
    </i>
    <i r="1">
      <x v="262"/>
    </i>
    <i r="1">
      <x v="311"/>
    </i>
    <i r="1">
      <x v="327"/>
    </i>
    <i r="1">
      <x v="340"/>
    </i>
    <i r="1">
      <x v="351"/>
    </i>
    <i r="1">
      <x v="392"/>
    </i>
    <i r="1">
      <x v="407"/>
    </i>
    <i r="1">
      <x v="413"/>
    </i>
    <i r="1">
      <x v="431"/>
    </i>
    <i r="1">
      <x v="439"/>
    </i>
    <i r="1">
      <x v="495"/>
    </i>
    <i>
      <x v="7"/>
    </i>
    <i r="1">
      <x v="1"/>
    </i>
    <i r="1">
      <x v="86"/>
    </i>
    <i r="1">
      <x v="119"/>
    </i>
    <i r="1">
      <x v="130"/>
    </i>
    <i r="1">
      <x v="191"/>
    </i>
    <i r="1">
      <x v="230"/>
    </i>
    <i r="1">
      <x v="236"/>
    </i>
    <i r="1">
      <x v="305"/>
    </i>
    <i r="1">
      <x v="397"/>
    </i>
    <i r="1">
      <x v="423"/>
    </i>
    <i r="1">
      <x v="453"/>
    </i>
    <i r="1">
      <x v="456"/>
    </i>
    <i r="1">
      <x v="478"/>
    </i>
    <i r="1">
      <x v="496"/>
    </i>
    <i r="1">
      <x v="530"/>
    </i>
    <i r="1">
      <x v="553"/>
    </i>
    <i r="1">
      <x v="565"/>
    </i>
    <i>
      <x v="8"/>
    </i>
    <i r="1">
      <x v="18"/>
    </i>
    <i r="1">
      <x v="35"/>
    </i>
    <i r="1">
      <x v="47"/>
    </i>
    <i r="1">
      <x v="68"/>
    </i>
    <i r="1">
      <x v="116"/>
    </i>
    <i r="1">
      <x v="136"/>
    </i>
    <i r="1">
      <x v="202"/>
    </i>
    <i r="1">
      <x v="212"/>
    </i>
    <i r="1">
      <x v="225"/>
    </i>
    <i r="1">
      <x v="362"/>
    </i>
    <i r="1">
      <x v="376"/>
    </i>
    <i r="1">
      <x v="380"/>
    </i>
    <i r="1">
      <x v="449"/>
    </i>
    <i r="1">
      <x v="473"/>
    </i>
    <i r="1">
      <x v="474"/>
    </i>
    <i r="1">
      <x v="493"/>
    </i>
    <i r="1">
      <x v="516"/>
    </i>
    <i r="1">
      <x v="517"/>
    </i>
    <i r="1">
      <x v="518"/>
    </i>
    <i>
      <x v="9"/>
    </i>
    <i r="1">
      <x v="53"/>
    </i>
    <i r="1">
      <x v="59"/>
    </i>
    <i r="1">
      <x v="67"/>
    </i>
    <i r="1">
      <x v="153"/>
    </i>
    <i r="1">
      <x v="176"/>
    </i>
    <i r="1">
      <x v="186"/>
    </i>
    <i r="1">
      <x v="209"/>
    </i>
    <i r="1">
      <x v="273"/>
    </i>
    <i r="1">
      <x v="284"/>
    </i>
    <i r="1">
      <x v="330"/>
    </i>
    <i r="1">
      <x v="334"/>
    </i>
    <i r="1">
      <x v="408"/>
    </i>
    <i r="1">
      <x v="444"/>
    </i>
    <i r="1">
      <x v="461"/>
    </i>
    <i r="1">
      <x v="498"/>
    </i>
    <i r="1">
      <x v="524"/>
    </i>
    <i r="1">
      <x v="559"/>
    </i>
    <i>
      <x v="10"/>
    </i>
    <i r="1">
      <x v="2"/>
    </i>
    <i r="1">
      <x v="19"/>
    </i>
    <i r="1">
      <x v="20"/>
    </i>
    <i r="1">
      <x v="75"/>
    </i>
    <i r="1">
      <x v="123"/>
    </i>
    <i r="1">
      <x v="144"/>
    </i>
    <i r="1">
      <x v="171"/>
    </i>
    <i r="1">
      <x v="206"/>
    </i>
    <i r="1">
      <x v="208"/>
    </i>
    <i r="1">
      <x v="216"/>
    </i>
    <i r="1">
      <x v="226"/>
    </i>
    <i r="1">
      <x v="265"/>
    </i>
    <i r="1">
      <x v="274"/>
    </i>
    <i r="1">
      <x v="414"/>
    </i>
    <i r="1">
      <x v="417"/>
    </i>
    <i r="1">
      <x v="465"/>
    </i>
    <i r="1">
      <x v="500"/>
    </i>
    <i r="1">
      <x v="505"/>
    </i>
    <i>
      <x v="11"/>
    </i>
    <i r="1">
      <x v="3"/>
    </i>
    <i r="1">
      <x v="24"/>
    </i>
    <i r="1">
      <x v="40"/>
    </i>
    <i r="1">
      <x v="42"/>
    </i>
    <i r="1">
      <x v="167"/>
    </i>
    <i r="1">
      <x v="198"/>
    </i>
    <i r="1">
      <x v="217"/>
    </i>
    <i r="1">
      <x v="240"/>
    </i>
    <i r="1">
      <x v="241"/>
    </i>
    <i r="1">
      <x v="243"/>
    </i>
    <i r="1">
      <x v="280"/>
    </i>
    <i r="1">
      <x v="411"/>
    </i>
    <i r="1">
      <x v="428"/>
    </i>
    <i r="1">
      <x v="442"/>
    </i>
    <i r="1">
      <x v="459"/>
    </i>
    <i r="1">
      <x v="463"/>
    </i>
    <i r="1">
      <x v="502"/>
    </i>
    <i r="1">
      <x v="514"/>
    </i>
    <i r="1">
      <x v="519"/>
    </i>
    <i r="1">
      <x v="542"/>
    </i>
    <i>
      <x v="12"/>
    </i>
    <i r="1">
      <x v="21"/>
    </i>
    <i r="1">
      <x v="41"/>
    </i>
    <i r="1">
      <x v="48"/>
    </i>
    <i r="1">
      <x v="71"/>
    </i>
    <i r="1">
      <x v="138"/>
    </i>
    <i r="1">
      <x v="154"/>
    </i>
    <i r="1">
      <x v="204"/>
    </i>
    <i r="1">
      <x v="239"/>
    </i>
    <i r="1">
      <x v="290"/>
    </i>
    <i r="1">
      <x v="314"/>
    </i>
    <i r="1">
      <x v="341"/>
    </i>
    <i r="1">
      <x v="343"/>
    </i>
    <i r="1">
      <x v="422"/>
    </i>
    <i r="1">
      <x v="427"/>
    </i>
    <i r="1">
      <x v="445"/>
    </i>
    <i r="1">
      <x v="447"/>
    </i>
    <i r="1">
      <x v="528"/>
    </i>
    <i>
      <x v="13"/>
    </i>
    <i r="1">
      <x v="15"/>
    </i>
    <i r="1">
      <x v="34"/>
    </i>
    <i r="1">
      <x v="36"/>
    </i>
    <i r="1">
      <x v="61"/>
    </i>
    <i r="1">
      <x v="72"/>
    </i>
    <i r="1">
      <x v="87"/>
    </i>
    <i r="1">
      <x v="109"/>
    </i>
    <i r="1">
      <x v="151"/>
    </i>
    <i r="1">
      <x v="172"/>
    </i>
    <i r="1">
      <x v="248"/>
    </i>
    <i r="1">
      <x v="251"/>
    </i>
    <i r="1">
      <x v="287"/>
    </i>
    <i r="1">
      <x v="358"/>
    </i>
    <i r="1">
      <x v="366"/>
    </i>
    <i r="1">
      <x v="385"/>
    </i>
    <i r="1">
      <x v="394"/>
    </i>
    <i r="1">
      <x v="460"/>
    </i>
    <i r="1">
      <x v="477"/>
    </i>
    <i r="1">
      <x v="491"/>
    </i>
    <i r="1">
      <x v="531"/>
    </i>
    <i>
      <x v="14"/>
    </i>
    <i r="1">
      <x v="55"/>
    </i>
    <i r="1">
      <x v="73"/>
    </i>
    <i r="1">
      <x v="140"/>
    </i>
    <i r="1">
      <x v="179"/>
    </i>
    <i r="1">
      <x v="205"/>
    </i>
    <i r="1">
      <x v="247"/>
    </i>
    <i r="1">
      <x v="252"/>
    </i>
    <i r="1">
      <x v="258"/>
    </i>
    <i r="1">
      <x v="278"/>
    </i>
    <i r="1">
      <x v="353"/>
    </i>
    <i r="1">
      <x v="368"/>
    </i>
    <i r="1">
      <x v="386"/>
    </i>
    <i r="1">
      <x v="484"/>
    </i>
    <i r="1">
      <x v="487"/>
    </i>
    <i r="1">
      <x v="551"/>
    </i>
    <i r="1">
      <x v="558"/>
    </i>
    <i r="1">
      <x v="563"/>
    </i>
    <i r="1">
      <x v="568"/>
    </i>
    <i>
      <x v="15"/>
    </i>
    <i r="1">
      <x v="12"/>
    </i>
    <i r="1">
      <x v="25"/>
    </i>
    <i r="1">
      <x v="38"/>
    </i>
    <i r="1">
      <x v="124"/>
    </i>
    <i r="1">
      <x v="157"/>
    </i>
    <i r="1">
      <x v="158"/>
    </i>
    <i r="1">
      <x v="189"/>
    </i>
    <i r="1">
      <x v="201"/>
    </i>
    <i r="1">
      <x v="219"/>
    </i>
    <i r="1">
      <x v="294"/>
    </i>
    <i r="1">
      <x v="300"/>
    </i>
    <i r="1">
      <x v="319"/>
    </i>
    <i r="1">
      <x v="326"/>
    </i>
    <i r="1">
      <x v="331"/>
    </i>
    <i r="1">
      <x v="346"/>
    </i>
    <i r="1">
      <x v="424"/>
    </i>
    <i r="1">
      <x v="451"/>
    </i>
    <i r="1">
      <x v="512"/>
    </i>
    <i r="1">
      <x v="539"/>
    </i>
    <i>
      <x v="16"/>
    </i>
    <i r="1">
      <x v="8"/>
    </i>
    <i r="1">
      <x v="23"/>
    </i>
    <i r="1">
      <x v="46"/>
    </i>
    <i r="1">
      <x v="62"/>
    </i>
    <i r="1">
      <x v="84"/>
    </i>
    <i r="1">
      <x v="110"/>
    </i>
    <i r="1">
      <x v="177"/>
    </i>
    <i r="1">
      <x v="180"/>
    </i>
    <i r="1">
      <x v="238"/>
    </i>
    <i r="1">
      <x v="269"/>
    </i>
    <i r="1">
      <x v="333"/>
    </i>
    <i r="1">
      <x v="348"/>
    </i>
    <i r="1">
      <x v="361"/>
    </i>
    <i r="1">
      <x v="443"/>
    </i>
    <i r="1">
      <x v="452"/>
    </i>
    <i r="1">
      <x v="480"/>
    </i>
    <i r="1">
      <x v="497"/>
    </i>
    <i r="1">
      <x v="506"/>
    </i>
    <i r="1">
      <x v="541"/>
    </i>
    <i>
      <x v="17"/>
    </i>
    <i r="1">
      <x v="29"/>
    </i>
    <i r="1">
      <x v="50"/>
    </i>
    <i r="1">
      <x v="106"/>
    </i>
    <i r="1">
      <x v="150"/>
    </i>
    <i r="1">
      <x v="213"/>
    </i>
    <i r="1">
      <x v="254"/>
    </i>
    <i r="1">
      <x v="270"/>
    </i>
    <i r="1">
      <x v="275"/>
    </i>
    <i r="1">
      <x v="298"/>
    </i>
    <i r="1">
      <x v="306"/>
    </i>
    <i r="1">
      <x v="359"/>
    </i>
    <i r="1">
      <x v="367"/>
    </i>
    <i r="1">
      <x v="399"/>
    </i>
    <i r="1">
      <x v="415"/>
    </i>
    <i r="1">
      <x v="421"/>
    </i>
    <i r="1">
      <x v="455"/>
    </i>
    <i r="1">
      <x v="471"/>
    </i>
    <i r="1">
      <x v="476"/>
    </i>
    <i r="1">
      <x v="511"/>
    </i>
    <i r="1">
      <x v="537"/>
    </i>
    <i>
      <x v="18"/>
    </i>
    <i r="1">
      <x v="32"/>
    </i>
    <i r="1">
      <x v="54"/>
    </i>
    <i r="1">
      <x v="63"/>
    </i>
    <i r="1">
      <x v="89"/>
    </i>
    <i r="1">
      <x v="115"/>
    </i>
    <i r="1">
      <x v="132"/>
    </i>
    <i r="1">
      <x v="163"/>
    </i>
    <i r="1">
      <x v="190"/>
    </i>
    <i r="1">
      <x v="235"/>
    </i>
    <i r="1">
      <x v="256"/>
    </i>
    <i r="1">
      <x v="267"/>
    </i>
    <i r="1">
      <x v="288"/>
    </i>
    <i r="1">
      <x v="293"/>
    </i>
    <i r="1">
      <x v="313"/>
    </i>
    <i r="1">
      <x v="317"/>
    </i>
    <i r="1">
      <x v="320"/>
    </i>
    <i r="1">
      <x v="350"/>
    </i>
    <i r="1">
      <x v="360"/>
    </i>
    <i r="1">
      <x v="404"/>
    </i>
    <i r="1">
      <x v="533"/>
    </i>
    <i r="1">
      <x v="560"/>
    </i>
    <i r="1">
      <x v="567"/>
    </i>
    <i>
      <x v="19"/>
    </i>
    <i r="1">
      <x v="31"/>
    </i>
    <i r="1">
      <x v="33"/>
    </i>
    <i r="1">
      <x v="77"/>
    </i>
    <i r="1">
      <x v="133"/>
    </i>
    <i r="1">
      <x v="224"/>
    </i>
    <i r="1">
      <x v="297"/>
    </i>
    <i r="1">
      <x v="312"/>
    </i>
    <i r="1">
      <x v="332"/>
    </i>
    <i r="1">
      <x v="355"/>
    </i>
    <i r="1">
      <x v="382"/>
    </i>
    <i r="1">
      <x v="391"/>
    </i>
    <i r="1">
      <x v="398"/>
    </i>
    <i r="1">
      <x v="401"/>
    </i>
    <i r="1">
      <x v="403"/>
    </i>
    <i r="1">
      <x v="430"/>
    </i>
    <i r="1">
      <x v="438"/>
    </i>
    <i r="1">
      <x v="440"/>
    </i>
    <i r="1">
      <x v="457"/>
    </i>
    <i r="1">
      <x v="540"/>
    </i>
    <i>
      <x v="20"/>
    </i>
    <i r="1">
      <x v="4"/>
    </i>
    <i r="1">
      <x v="5"/>
    </i>
    <i r="1">
      <x v="10"/>
    </i>
    <i r="1">
      <x v="13"/>
    </i>
    <i r="1">
      <x v="14"/>
    </i>
    <i r="1">
      <x v="52"/>
    </i>
    <i r="1">
      <x v="79"/>
    </i>
    <i r="1">
      <x v="81"/>
    </i>
    <i r="1">
      <x v="145"/>
    </i>
    <i r="1">
      <x v="197"/>
    </i>
    <i r="1">
      <x v="199"/>
    </i>
    <i r="1">
      <x v="233"/>
    </i>
    <i r="1">
      <x v="259"/>
    </i>
    <i r="1">
      <x v="322"/>
    </i>
    <i r="1">
      <x v="365"/>
    </i>
    <i r="1">
      <x v="375"/>
    </i>
    <i r="1">
      <x v="437"/>
    </i>
    <i r="1">
      <x v="490"/>
    </i>
    <i>
      <x v="21"/>
    </i>
    <i r="1">
      <x v="27"/>
    </i>
    <i r="1">
      <x v="69"/>
    </i>
    <i r="1">
      <x v="95"/>
    </i>
    <i r="1">
      <x v="101"/>
    </i>
    <i r="1">
      <x v="170"/>
    </i>
    <i r="1">
      <x v="175"/>
    </i>
    <i r="1">
      <x v="181"/>
    </i>
    <i r="1">
      <x v="232"/>
    </i>
    <i r="1">
      <x v="271"/>
    </i>
    <i r="1">
      <x v="283"/>
    </i>
    <i r="1">
      <x v="323"/>
    </i>
    <i r="1">
      <x v="371"/>
    </i>
    <i r="1">
      <x v="406"/>
    </i>
    <i r="1">
      <x v="441"/>
    </i>
    <i r="1">
      <x v="529"/>
    </i>
    <i r="1">
      <x v="534"/>
    </i>
    <i r="1">
      <x v="555"/>
    </i>
    <i>
      <x v="22"/>
    </i>
    <i r="1">
      <x v="7"/>
    </i>
    <i r="1">
      <x v="16"/>
    </i>
    <i r="1">
      <x v="22"/>
    </i>
    <i r="1">
      <x v="168"/>
    </i>
    <i r="1">
      <x v="185"/>
    </i>
    <i r="1">
      <x v="200"/>
    </i>
    <i r="1">
      <x v="227"/>
    </i>
    <i r="1">
      <x v="244"/>
    </i>
    <i r="1">
      <x v="245"/>
    </i>
    <i r="1">
      <x v="264"/>
    </i>
    <i r="1">
      <x v="276"/>
    </i>
    <i r="1">
      <x v="308"/>
    </i>
    <i r="1">
      <x v="321"/>
    </i>
    <i r="1">
      <x v="349"/>
    </i>
    <i r="1">
      <x v="363"/>
    </i>
    <i r="1">
      <x v="378"/>
    </i>
    <i r="1">
      <x v="435"/>
    </i>
    <i r="1">
      <x v="448"/>
    </i>
    <i r="1">
      <x v="454"/>
    </i>
    <i r="1">
      <x v="458"/>
    </i>
    <i r="1">
      <x v="466"/>
    </i>
    <i r="1">
      <x v="468"/>
    </i>
    <i r="1">
      <x v="544"/>
    </i>
    <i>
      <x v="23"/>
    </i>
    <i r="1">
      <x v="49"/>
    </i>
    <i r="1">
      <x v="51"/>
    </i>
    <i r="1">
      <x v="92"/>
    </i>
    <i r="1">
      <x v="98"/>
    </i>
    <i r="1">
      <x v="112"/>
    </i>
    <i r="1">
      <x v="141"/>
    </i>
    <i r="1">
      <x v="184"/>
    </i>
    <i r="1">
      <x v="223"/>
    </i>
    <i r="1">
      <x v="328"/>
    </i>
    <i r="1">
      <x v="388"/>
    </i>
    <i r="1">
      <x v="405"/>
    </i>
    <i r="1">
      <x v="419"/>
    </i>
    <i r="1">
      <x v="436"/>
    </i>
    <i r="1">
      <x v="475"/>
    </i>
    <i r="1">
      <x v="479"/>
    </i>
    <i r="1">
      <x v="546"/>
    </i>
    <i r="1">
      <x v="547"/>
    </i>
    <i r="1">
      <x v="549"/>
    </i>
    <i>
      <x v="24"/>
    </i>
    <i r="1">
      <x v="26"/>
    </i>
    <i r="1">
      <x v="65"/>
    </i>
    <i r="1">
      <x v="107"/>
    </i>
    <i r="1">
      <x v="128"/>
    </i>
    <i r="1">
      <x v="135"/>
    </i>
    <i r="1">
      <x v="148"/>
    </i>
    <i r="1">
      <x v="159"/>
    </i>
    <i r="1">
      <x v="207"/>
    </i>
    <i r="1">
      <x v="266"/>
    </i>
    <i r="1">
      <x v="309"/>
    </i>
    <i r="1">
      <x v="344"/>
    </i>
    <i r="1">
      <x v="390"/>
    </i>
    <i r="1">
      <x v="462"/>
    </i>
    <i r="1">
      <x v="472"/>
    </i>
    <i r="1">
      <x v="485"/>
    </i>
    <i r="1">
      <x v="489"/>
    </i>
    <i r="1">
      <x v="492"/>
    </i>
    <i r="1">
      <x v="508"/>
    </i>
    <i r="1">
      <x v="522"/>
    </i>
    <i>
      <x v="25"/>
    </i>
    <i r="1">
      <x v="134"/>
    </i>
    <i r="1">
      <x v="142"/>
    </i>
    <i r="1">
      <x v="146"/>
    </i>
    <i r="1">
      <x v="152"/>
    </i>
    <i r="1">
      <x v="193"/>
    </i>
    <i r="1">
      <x v="196"/>
    </i>
    <i r="1">
      <x v="215"/>
    </i>
    <i r="1">
      <x v="220"/>
    </i>
    <i r="1">
      <x v="282"/>
    </i>
    <i r="1">
      <x v="316"/>
    </i>
    <i r="1">
      <x v="324"/>
    </i>
    <i r="1">
      <x v="377"/>
    </i>
    <i r="1">
      <x v="384"/>
    </i>
    <i r="1">
      <x v="387"/>
    </i>
    <i r="1">
      <x v="494"/>
    </i>
    <i r="1">
      <x v="510"/>
    </i>
    <i r="1">
      <x v="513"/>
    </i>
    <i r="1">
      <x v="532"/>
    </i>
    <i r="1">
      <x v="564"/>
    </i>
    <i>
      <x v="26"/>
    </i>
    <i r="1">
      <x v="44"/>
    </i>
    <i r="1">
      <x v="45"/>
    </i>
    <i r="1">
      <x v="80"/>
    </i>
    <i r="1">
      <x v="85"/>
    </i>
    <i r="1">
      <x v="122"/>
    </i>
    <i r="1">
      <x v="126"/>
    </i>
    <i r="1">
      <x v="143"/>
    </i>
    <i r="1">
      <x v="187"/>
    </i>
    <i r="1">
      <x v="188"/>
    </i>
    <i r="1">
      <x v="268"/>
    </i>
    <i r="1">
      <x v="289"/>
    </i>
    <i r="1">
      <x v="303"/>
    </i>
    <i r="1">
      <x v="318"/>
    </i>
    <i r="1">
      <x v="373"/>
    </i>
    <i r="1">
      <x v="469"/>
    </i>
    <i r="1">
      <x v="483"/>
    </i>
    <i r="1">
      <x v="499"/>
    </i>
    <i r="1">
      <x v="550"/>
    </i>
    <i>
      <x v="27"/>
    </i>
    <i r="1">
      <x/>
    </i>
    <i r="1">
      <x v="56"/>
    </i>
    <i r="1">
      <x v="64"/>
    </i>
    <i r="1">
      <x v="82"/>
    </i>
    <i r="1">
      <x v="96"/>
    </i>
    <i r="1">
      <x v="97"/>
    </i>
    <i r="1">
      <x v="104"/>
    </i>
    <i r="1">
      <x v="173"/>
    </i>
    <i r="1">
      <x v="182"/>
    </i>
    <i r="1">
      <x v="192"/>
    </i>
    <i r="1">
      <x v="221"/>
    </i>
    <i r="1">
      <x v="222"/>
    </i>
    <i r="1">
      <x v="237"/>
    </i>
    <i r="1">
      <x v="242"/>
    </i>
    <i r="1">
      <x v="246"/>
    </i>
    <i r="1">
      <x v="285"/>
    </i>
    <i r="1">
      <x v="429"/>
    </i>
    <i r="1">
      <x v="433"/>
    </i>
    <i r="1">
      <x v="470"/>
    </i>
    <i r="1">
      <x v="486"/>
    </i>
    <i r="1">
      <x v="548"/>
    </i>
    <i>
      <x v="28"/>
    </i>
    <i r="1">
      <x v="60"/>
    </i>
    <i r="1">
      <x v="93"/>
    </i>
    <i r="1">
      <x v="99"/>
    </i>
    <i r="1">
      <x v="164"/>
    </i>
    <i r="1">
      <x v="195"/>
    </i>
    <i r="1">
      <x v="214"/>
    </i>
    <i r="1">
      <x v="277"/>
    </i>
    <i r="1">
      <x v="281"/>
    </i>
    <i r="1">
      <x v="286"/>
    </i>
    <i r="1">
      <x v="335"/>
    </i>
    <i r="1">
      <x v="338"/>
    </i>
    <i r="1">
      <x v="347"/>
    </i>
    <i r="1">
      <x v="357"/>
    </i>
    <i r="1">
      <x v="396"/>
    </i>
    <i r="1">
      <x v="434"/>
    </i>
    <i r="1">
      <x v="501"/>
    </i>
    <i r="1">
      <x v="507"/>
    </i>
    <i r="1">
      <x v="554"/>
    </i>
    <i>
      <x v="29"/>
    </i>
    <i r="1">
      <x v="9"/>
    </i>
    <i r="1">
      <x v="17"/>
    </i>
    <i r="1">
      <x v="30"/>
    </i>
    <i r="1">
      <x v="43"/>
    </i>
    <i r="1">
      <x v="66"/>
    </i>
    <i r="1">
      <x v="94"/>
    </i>
    <i r="1">
      <x v="100"/>
    </i>
    <i r="1">
      <x v="229"/>
    </i>
    <i r="1">
      <x v="255"/>
    </i>
    <i r="1">
      <x v="279"/>
    </i>
    <i r="1">
      <x v="291"/>
    </i>
    <i r="1">
      <x v="302"/>
    </i>
    <i r="1">
      <x v="307"/>
    </i>
    <i r="1">
      <x v="336"/>
    </i>
    <i r="1">
      <x v="352"/>
    </i>
    <i r="1">
      <x v="374"/>
    </i>
    <i r="1">
      <x v="381"/>
    </i>
    <i r="1">
      <x v="467"/>
    </i>
    <i r="1">
      <x v="53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e de OREB" fld="17" baseField="0" baseItem="0"/>
    <dataField name="Somme de DREB" fld="18" baseField="0" baseItem="0"/>
    <dataField name="Somme de PIE" fld="43" baseField="0" baseItem="0"/>
    <dataField name="Somme de AST" fld="20" baseField="0" baseItem="0"/>
    <dataField name="Somme de STL" fld="22" baseField="0" baseItem="0"/>
    <dataField name="Somme de BLK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0422C-F076-064B-86A2-48D1317F0B5A}" name="Tableau croisé dynamique3" cacheId="24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A41:C610" firstHeaderRow="0" firstDataRow="1" firstDataCol="1" rowPageCount="1" colPageCount="1"/>
  <pivotFields count="41">
    <pivotField axis="axisRow" showAll="0" sortType="descending">
      <items count="570">
        <item x="561"/>
        <item x="140"/>
        <item x="177"/>
        <item x="366"/>
        <item x="11"/>
        <item x="184"/>
        <item x="264"/>
        <item x="93"/>
        <item x="170"/>
        <item x="557"/>
        <item x="489"/>
        <item x="493"/>
        <item x="387"/>
        <item x="179"/>
        <item x="175"/>
        <item x="509"/>
        <item x="263"/>
        <item x="367"/>
        <item x="70"/>
        <item x="324"/>
        <item x="549"/>
        <item x="115"/>
        <item x="490"/>
        <item x="469"/>
        <item x="36"/>
        <item x="224"/>
        <item x="37"/>
        <item x="456"/>
        <item x="445"/>
        <item x="6"/>
        <item x="103"/>
        <item x="555"/>
        <item x="301"/>
        <item x="455"/>
        <item x="217"/>
        <item x="67"/>
        <item x="248"/>
        <item x="435"/>
        <item x="498"/>
        <item x="386"/>
        <item x="531"/>
        <item x="246"/>
        <item x="365"/>
        <item x="299"/>
        <item x="265"/>
        <item x="7"/>
        <item x="102"/>
        <item x="326"/>
        <item x="424"/>
        <item x="462"/>
        <item x="523"/>
        <item x="84"/>
        <item x="107"/>
        <item x="285"/>
        <item x="259"/>
        <item x="566"/>
        <item x="164"/>
        <item x="396"/>
        <item x="565"/>
        <item x="226"/>
        <item x="546"/>
        <item x="527"/>
        <item x="173"/>
        <item x="159"/>
        <item x="277"/>
        <item x="426"/>
        <item x="149"/>
        <item x="297"/>
        <item x="345"/>
        <item x="58"/>
        <item x="13"/>
        <item x="521"/>
        <item x="505"/>
        <item x="105"/>
        <item x="548"/>
        <item x="251"/>
        <item x="494"/>
        <item x="305"/>
        <item x="0"/>
        <item x="44"/>
        <item x="252"/>
        <item x="125"/>
        <item x="51"/>
        <item x="111"/>
        <item x="120"/>
        <item x="272"/>
        <item x="227"/>
        <item x="186"/>
        <item x="289"/>
        <item x="228"/>
        <item x="86"/>
        <item x="130"/>
        <item x="106"/>
        <item x="161"/>
        <item x="225"/>
        <item x="550"/>
        <item x="415"/>
        <item x="346"/>
        <item x="54"/>
        <item x="567"/>
        <item x="218"/>
        <item x="343"/>
        <item x="402"/>
        <item x="342"/>
        <item x="437"/>
        <item x="500"/>
        <item x="381"/>
        <item x="292"/>
        <item x="554"/>
        <item x="378"/>
        <item x="72"/>
        <item x="279"/>
        <item x="495"/>
        <item x="542"/>
        <item x="539"/>
        <item x="209"/>
        <item x="483"/>
        <item x="332"/>
        <item x="64"/>
        <item x="364"/>
        <item x="171"/>
        <item x="421"/>
        <item x="204"/>
        <item x="474"/>
        <item x="433"/>
        <item x="348"/>
        <item x="20"/>
        <item x="57"/>
        <item x="499"/>
        <item x="110"/>
        <item x="534"/>
        <item x="395"/>
        <item x="329"/>
        <item x="476"/>
        <item x="429"/>
        <item x="313"/>
        <item x="87"/>
        <item x="354"/>
        <item x="43"/>
        <item x="169"/>
        <item x="113"/>
        <item x="47"/>
        <item x="260"/>
        <item x="38"/>
        <item x="234"/>
        <item x="2"/>
        <item x="307"/>
        <item x="132"/>
        <item x="191"/>
        <item x="221"/>
        <item x="147"/>
        <item x="309"/>
        <item x="65"/>
        <item x="460"/>
        <item x="97"/>
        <item x="486"/>
        <item x="508"/>
        <item x="68"/>
        <item x="266"/>
        <item x="358"/>
        <item x="144"/>
        <item x="451"/>
        <item x="271"/>
        <item x="339"/>
        <item x="397"/>
        <item x="440"/>
        <item x="540"/>
        <item x="183"/>
        <item x="48"/>
        <item x="196"/>
        <item x="29"/>
        <item x="33"/>
        <item x="377"/>
        <item x="416"/>
        <item x="432"/>
        <item x="240"/>
        <item x="138"/>
        <item x="502"/>
        <item x="418"/>
        <item x="158"/>
        <item x="298"/>
        <item x="511"/>
        <item x="401"/>
        <item x="468"/>
        <item x="464"/>
        <item x="167"/>
        <item x="447"/>
        <item x="310"/>
        <item x="278"/>
        <item x="503"/>
        <item x="459"/>
        <item x="69"/>
        <item x="41"/>
        <item x="558"/>
        <item x="311"/>
        <item x="337"/>
        <item x="518"/>
        <item x="564"/>
        <item x="529"/>
        <item x="255"/>
        <item x="197"/>
        <item x="398"/>
        <item x="32"/>
        <item x="150"/>
        <item x="327"/>
        <item x="333"/>
        <item x="330"/>
        <item x="533"/>
        <item x="441"/>
        <item x="514"/>
        <item x="15"/>
        <item x="101"/>
        <item x="353"/>
        <item x="317"/>
        <item x="59"/>
        <item x="452"/>
        <item x="192"/>
        <item x="53"/>
        <item x="492"/>
        <item x="399"/>
        <item x="92"/>
        <item x="156"/>
        <item x="281"/>
        <item x="118"/>
        <item x="315"/>
        <item x="239"/>
        <item x="472"/>
        <item x="450"/>
        <item x="83"/>
        <item x="319"/>
        <item x="322"/>
        <item x="471"/>
        <item x="254"/>
        <item x="66"/>
        <item x="290"/>
        <item x="131"/>
        <item x="544"/>
        <item x="408"/>
        <item x="478"/>
        <item x="160"/>
        <item x="18"/>
        <item x="372"/>
        <item x="481"/>
        <item x="112"/>
        <item x="172"/>
        <item x="168"/>
        <item x="257"/>
        <item x="99"/>
        <item x="273"/>
        <item x="89"/>
        <item x="190"/>
        <item x="394"/>
        <item x="94"/>
        <item x="373"/>
        <item x="123"/>
        <item x="302"/>
        <item x="10"/>
        <item x="357"/>
        <item x="244"/>
        <item x="517"/>
        <item x="250"/>
        <item x="211"/>
        <item x="49"/>
        <item x="193"/>
        <item x="280"/>
        <item x="121"/>
        <item x="454"/>
        <item x="157"/>
        <item x="496"/>
        <item x="318"/>
        <item x="412"/>
        <item x="78"/>
        <item x="230"/>
        <item x="81"/>
        <item x="504"/>
        <item x="198"/>
        <item x="443"/>
        <item x="35"/>
        <item x="385"/>
        <item x="434"/>
        <item x="185"/>
        <item x="379"/>
        <item x="188"/>
        <item x="270"/>
        <item x="148"/>
        <item x="275"/>
        <item x="109"/>
        <item x="201"/>
        <item x="430"/>
        <item x="446"/>
        <item x="422"/>
        <item x="134"/>
        <item x="245"/>
        <item x="522"/>
        <item x="355"/>
        <item x="91"/>
        <item x="383"/>
        <item x="325"/>
        <item x="563"/>
        <item x="436"/>
        <item x="181"/>
        <item x="262"/>
        <item x="166"/>
        <item x="370"/>
        <item x="316"/>
        <item x="491"/>
        <item x="507"/>
        <item x="4"/>
        <item x="371"/>
        <item x="321"/>
        <item x="116"/>
        <item x="482"/>
        <item x="457"/>
        <item x="448"/>
        <item x="375"/>
        <item x="34"/>
        <item x="253"/>
        <item x="276"/>
        <item x="288"/>
        <item x="71"/>
        <item x="389"/>
        <item x="19"/>
        <item x="413"/>
        <item x="287"/>
        <item x="216"/>
        <item x="242"/>
        <item x="261"/>
        <item x="543"/>
        <item x="537"/>
        <item x="9"/>
        <item x="516"/>
        <item x="219"/>
        <item x="30"/>
        <item x="359"/>
        <item x="136"/>
        <item x="23"/>
        <item x="205"/>
        <item x="223"/>
        <item x="356"/>
        <item x="568"/>
        <item x="163"/>
        <item x="427"/>
        <item x="12"/>
        <item x="95"/>
        <item x="17"/>
        <item x="535"/>
        <item x="114"/>
        <item x="243"/>
        <item x="202"/>
        <item x="530"/>
        <item x="560"/>
        <item x="363"/>
        <item x="510"/>
        <item x="425"/>
        <item x="85"/>
        <item x="222"/>
        <item x="233"/>
        <item x="506"/>
        <item x="513"/>
        <item x="524"/>
        <item x="308"/>
        <item x="155"/>
        <item x="249"/>
        <item x="61"/>
        <item x="40"/>
        <item x="411"/>
        <item x="258"/>
        <item x="562"/>
        <item x="545"/>
        <item x="135"/>
        <item x="488"/>
        <item x="176"/>
        <item x="526"/>
        <item x="180"/>
        <item x="294"/>
        <item x="403"/>
        <item x="207"/>
        <item x="405"/>
        <item x="352"/>
        <item x="236"/>
        <item x="551"/>
        <item x="82"/>
        <item x="340"/>
        <item x="133"/>
        <item x="165"/>
        <item x="374"/>
        <item x="127"/>
        <item x="229"/>
        <item x="3"/>
        <item x="350"/>
        <item x="124"/>
        <item x="117"/>
        <item x="267"/>
        <item x="392"/>
        <item x="286"/>
        <item x="475"/>
        <item x="241"/>
        <item x="108"/>
        <item x="27"/>
        <item x="46"/>
        <item x="328"/>
        <item x="479"/>
        <item x="484"/>
        <item x="532"/>
        <item x="497"/>
        <item x="442"/>
        <item x="512"/>
        <item x="75"/>
        <item x="414"/>
        <item x="361"/>
        <item x="119"/>
        <item x="439"/>
        <item x="423"/>
        <item x="470"/>
        <item x="320"/>
        <item x="182"/>
        <item x="391"/>
        <item x="210"/>
        <item x="145"/>
        <item x="16"/>
        <item x="256"/>
        <item x="390"/>
        <item x="42"/>
        <item x="404"/>
        <item x="77"/>
        <item x="79"/>
        <item x="400"/>
        <item x="5"/>
        <item x="45"/>
        <item x="52"/>
        <item x="126"/>
        <item x="306"/>
        <item x="88"/>
        <item x="56"/>
        <item x="14"/>
        <item x="407"/>
        <item x="212"/>
        <item x="351"/>
        <item x="199"/>
        <item x="303"/>
        <item x="461"/>
        <item x="73"/>
        <item x="25"/>
        <item x="269"/>
        <item x="194"/>
        <item x="384"/>
        <item x="519"/>
        <item x="21"/>
        <item x="417"/>
        <item x="467"/>
        <item x="304"/>
        <item x="369"/>
        <item x="541"/>
        <item x="376"/>
        <item x="153"/>
        <item x="444"/>
        <item x="420"/>
        <item x="28"/>
        <item x="151"/>
        <item x="300"/>
        <item x="208"/>
        <item x="559"/>
        <item x="480"/>
        <item x="142"/>
        <item x="556"/>
        <item x="552"/>
        <item x="362"/>
        <item x="368"/>
        <item x="152"/>
        <item x="63"/>
        <item x="360"/>
        <item x="410"/>
        <item x="465"/>
        <item x="178"/>
        <item x="382"/>
        <item x="341"/>
        <item x="282"/>
        <item x="22"/>
        <item x="235"/>
        <item x="60"/>
        <item x="473"/>
        <item x="438"/>
        <item x="55"/>
        <item x="146"/>
        <item x="501"/>
        <item x="485"/>
        <item x="231"/>
        <item x="237"/>
        <item x="380"/>
        <item x="200"/>
        <item x="128"/>
        <item x="232"/>
        <item x="76"/>
        <item x="238"/>
        <item x="187"/>
        <item x="431"/>
        <item x="428"/>
        <item x="515"/>
        <item x="284"/>
        <item x="335"/>
        <item x="8"/>
        <item x="98"/>
        <item x="122"/>
        <item x="528"/>
        <item x="466"/>
        <item x="293"/>
        <item x="80"/>
        <item x="463"/>
        <item x="129"/>
        <item x="553"/>
        <item x="323"/>
        <item x="203"/>
        <item x="268"/>
        <item x="220"/>
        <item x="247"/>
        <item x="139"/>
        <item x="409"/>
        <item x="100"/>
        <item x="388"/>
        <item x="334"/>
        <item x="195"/>
        <item x="520"/>
        <item x="162"/>
        <item x="349"/>
        <item x="393"/>
        <item x="143"/>
        <item x="62"/>
        <item x="331"/>
        <item x="296"/>
        <item x="419"/>
        <item x="31"/>
        <item x="206"/>
        <item x="24"/>
        <item x="189"/>
        <item x="525"/>
        <item x="477"/>
        <item x="312"/>
        <item x="538"/>
        <item x="406"/>
        <item x="1"/>
        <item x="50"/>
        <item x="141"/>
        <item x="39"/>
        <item x="74"/>
        <item x="174"/>
        <item x="344"/>
        <item x="314"/>
        <item x="154"/>
        <item x="90"/>
        <item x="26"/>
        <item x="547"/>
        <item x="104"/>
        <item x="449"/>
        <item x="453"/>
        <item x="487"/>
        <item x="274"/>
        <item x="283"/>
        <item x="213"/>
        <item x="338"/>
        <item x="347"/>
        <item x="215"/>
        <item x="295"/>
        <item x="536"/>
        <item x="458"/>
        <item x="96"/>
        <item x="214"/>
        <item x="291"/>
        <item x="137"/>
        <item x="3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9">
    <i>
      <x v="349"/>
    </i>
    <i>
      <x v="462"/>
    </i>
    <i>
      <x v="257"/>
    </i>
    <i>
      <x v="156"/>
    </i>
    <i>
      <x v="319"/>
    </i>
    <i>
      <x v="408"/>
    </i>
    <i>
      <x v="561"/>
    </i>
    <i>
      <x v="454"/>
    </i>
    <i>
      <x v="317"/>
    </i>
    <i>
      <x v="242"/>
    </i>
    <i>
      <x v="343"/>
    </i>
    <i>
      <x v="431"/>
    </i>
    <i>
      <x v="161"/>
    </i>
    <i>
      <x v="123"/>
    </i>
    <i>
      <x v="101"/>
    </i>
    <i>
      <x v="521"/>
    </i>
    <i>
      <x v="199"/>
    </i>
    <i>
      <x v="92"/>
    </i>
    <i>
      <x v="375"/>
    </i>
    <i>
      <x v="50"/>
    </i>
    <i>
      <x v="165"/>
    </i>
    <i>
      <x v="96"/>
    </i>
    <i>
      <x v="535"/>
    </i>
    <i>
      <x v="151"/>
    </i>
    <i>
      <x v="14"/>
    </i>
    <i>
      <x v="316"/>
    </i>
    <i>
      <x v="482"/>
    </i>
    <i>
      <x v="145"/>
    </i>
    <i>
      <x v="244"/>
    </i>
    <i>
      <x v="16"/>
    </i>
    <i>
      <x v="381"/>
    </i>
    <i>
      <x v="422"/>
    </i>
    <i>
      <x v="567"/>
    </i>
    <i>
      <x v="565"/>
    </i>
    <i>
      <x v="180"/>
    </i>
    <i>
      <x v="406"/>
    </i>
    <i>
      <x v="49"/>
    </i>
    <i>
      <x v="162"/>
    </i>
    <i>
      <x v="552"/>
    </i>
    <i>
      <x v="303"/>
    </i>
    <i>
      <x v="185"/>
    </i>
    <i>
      <x v="240"/>
    </i>
    <i>
      <x v="218"/>
    </i>
    <i>
      <x v="299"/>
    </i>
    <i>
      <x v="130"/>
    </i>
    <i>
      <x v="30"/>
    </i>
    <i>
      <x v="411"/>
    </i>
    <i>
      <x v="346"/>
    </i>
    <i>
      <x v="480"/>
    </i>
    <i>
      <x v="392"/>
    </i>
    <i>
      <x v="364"/>
    </i>
    <i>
      <x v="140"/>
    </i>
    <i>
      <x v="136"/>
    </i>
    <i>
      <x v="4"/>
    </i>
    <i>
      <x v="387"/>
    </i>
    <i>
      <x v="255"/>
    </i>
    <i>
      <x v="78"/>
    </i>
    <i>
      <x v="200"/>
    </i>
    <i>
      <x v="513"/>
    </i>
    <i>
      <x v="492"/>
    </i>
    <i>
      <x v="134"/>
    </i>
    <i>
      <x v="118"/>
    </i>
    <i>
      <x v="149"/>
    </i>
    <i>
      <x v="212"/>
    </i>
    <i>
      <x v="384"/>
    </i>
    <i>
      <x v="510"/>
    </i>
    <i>
      <x v="399"/>
    </i>
    <i>
      <x v="291"/>
    </i>
    <i>
      <x v="256"/>
    </i>
    <i>
      <x v="519"/>
    </i>
    <i>
      <x v="87"/>
    </i>
    <i>
      <x v="74"/>
    </i>
    <i>
      <x v="388"/>
    </i>
    <i>
      <x v="85"/>
    </i>
    <i>
      <x v="295"/>
    </i>
    <i>
      <x v="466"/>
    </i>
    <i>
      <x v="506"/>
    </i>
    <i>
      <x v="441"/>
    </i>
    <i>
      <x v="113"/>
    </i>
    <i>
      <x v="560"/>
    </i>
    <i>
      <x v="457"/>
    </i>
    <i>
      <x v="27"/>
    </i>
    <i>
      <x v="383"/>
    </i>
    <i>
      <x v="413"/>
    </i>
    <i>
      <x v="158"/>
    </i>
    <i>
      <x v="223"/>
    </i>
    <i>
      <x v="171"/>
    </i>
    <i>
      <x v="146"/>
    </i>
    <i>
      <x v="437"/>
    </i>
    <i>
      <x v="414"/>
    </i>
    <i>
      <x v="261"/>
    </i>
    <i>
      <x v="5"/>
    </i>
    <i>
      <x v="369"/>
    </i>
    <i>
      <x v="230"/>
    </i>
    <i>
      <x v="80"/>
    </i>
    <i>
      <x v="508"/>
    </i>
    <i>
      <x v="91"/>
    </i>
    <i>
      <x v="70"/>
    </i>
    <i>
      <x v="532"/>
    </i>
    <i>
      <x v="26"/>
    </i>
    <i>
      <x v="62"/>
    </i>
    <i>
      <x v="327"/>
    </i>
    <i>
      <x v="141"/>
    </i>
    <i>
      <x v="43"/>
    </i>
    <i>
      <x v="547"/>
    </i>
    <i>
      <x v="556"/>
    </i>
    <i>
      <x v="416"/>
    </i>
    <i>
      <x v="486"/>
    </i>
    <i>
      <x v="143"/>
    </i>
    <i>
      <x v="6"/>
    </i>
    <i>
      <x v="430"/>
    </i>
    <i>
      <x v="157"/>
    </i>
    <i>
      <x v="390"/>
    </i>
    <i>
      <x v="54"/>
    </i>
    <i>
      <x v="366"/>
    </i>
    <i>
      <x v="132"/>
    </i>
    <i>
      <x v="271"/>
    </i>
    <i>
      <x v="311"/>
    </i>
    <i>
      <x v="32"/>
    </i>
    <i>
      <x v="429"/>
    </i>
    <i>
      <x v="286"/>
    </i>
    <i>
      <x v="248"/>
    </i>
    <i>
      <x v="29"/>
    </i>
    <i>
      <x v="210"/>
    </i>
    <i>
      <x v="481"/>
    </i>
    <i>
      <x v="433"/>
    </i>
    <i>
      <x v="477"/>
    </i>
    <i>
      <x v="314"/>
    </i>
    <i>
      <x v="548"/>
    </i>
    <i>
      <x v="344"/>
    </i>
    <i>
      <x v="417"/>
    </i>
    <i>
      <x v="554"/>
    </i>
    <i>
      <x v="1"/>
    </i>
    <i>
      <x v="322"/>
    </i>
    <i>
      <x v="175"/>
    </i>
    <i>
      <x v="139"/>
    </i>
    <i>
      <x v="250"/>
    </i>
    <i>
      <x v="485"/>
    </i>
    <i>
      <x v="88"/>
    </i>
    <i>
      <x v="360"/>
    </i>
    <i>
      <x v="270"/>
    </i>
    <i>
      <x v="370"/>
    </i>
    <i>
      <x v="394"/>
    </i>
    <i>
      <x v="371"/>
    </i>
    <i>
      <x v="458"/>
    </i>
    <i>
      <x v="35"/>
    </i>
    <i>
      <x v="499"/>
    </i>
    <i>
      <x v="447"/>
    </i>
    <i>
      <x v="107"/>
    </i>
    <i>
      <x v="487"/>
    </i>
    <i>
      <x v="112"/>
    </i>
    <i>
      <x v="428"/>
    </i>
    <i>
      <x v="126"/>
    </i>
    <i>
      <x v="517"/>
    </i>
    <i>
      <x v="213"/>
    </i>
    <i>
      <x v="566"/>
    </i>
    <i>
      <x v="294"/>
    </i>
    <i>
      <x v="385"/>
    </i>
    <i>
      <x v="539"/>
    </i>
    <i>
      <x v="18"/>
    </i>
    <i>
      <x v="241"/>
    </i>
    <i>
      <x v="110"/>
    </i>
    <i>
      <x v="221"/>
    </i>
    <i>
      <x v="217"/>
    </i>
    <i>
      <x v="277"/>
    </i>
    <i>
      <x v="488"/>
    </i>
    <i>
      <x v="309"/>
    </i>
    <i>
      <x v="262"/>
    </i>
    <i>
      <x v="144"/>
    </i>
    <i>
      <x v="400"/>
    </i>
    <i>
      <x v="564"/>
    </i>
    <i>
      <x v="469"/>
    </i>
    <i>
      <x v="321"/>
    </i>
    <i>
      <x v="178"/>
    </i>
    <i>
      <x v="410"/>
    </i>
    <i>
      <x v="188"/>
    </i>
    <i>
      <x v="323"/>
    </i>
    <i>
      <x v="138"/>
    </i>
    <i>
      <x v="427"/>
    </i>
    <i>
      <x v="84"/>
    </i>
    <i>
      <x v="540"/>
    </i>
    <i>
      <x v="254"/>
    </i>
    <i>
      <x v="347"/>
    </i>
    <i>
      <x v="192"/>
    </i>
    <i>
      <x v="93"/>
    </i>
    <i>
      <x v="326"/>
    </i>
    <i>
      <x v="44"/>
    </i>
    <i>
      <x v="202"/>
    </i>
    <i>
      <x v="391"/>
    </i>
    <i>
      <x v="246"/>
    </i>
    <i>
      <x v="232"/>
    </i>
    <i>
      <x v="451"/>
    </i>
    <i>
      <x v="325"/>
    </i>
    <i>
      <x v="300"/>
    </i>
    <i>
      <x v="170"/>
    </i>
    <i>
      <x v="21"/>
    </i>
    <i>
      <x v="468"/>
    </i>
    <i>
      <x v="558"/>
    </i>
    <i>
      <x v="538"/>
    </i>
    <i>
      <x v="379"/>
    </i>
    <i>
      <x v="516"/>
    </i>
    <i>
      <x v="81"/>
    </i>
    <i>
      <x v="337"/>
    </i>
    <i>
      <x v="332"/>
    </i>
    <i>
      <x v="154"/>
    </i>
    <i>
      <x v="531"/>
    </i>
    <i>
      <x v="307"/>
    </i>
    <i>
      <x v="203"/>
    </i>
    <i>
      <x v="421"/>
    </i>
    <i>
      <x v="86"/>
    </i>
    <i>
      <x v="418"/>
    </i>
    <i>
      <x v="438"/>
    </i>
    <i>
      <x v="526"/>
    </i>
    <i>
      <x v="238"/>
    </i>
    <i>
      <x v="536"/>
    </i>
    <i>
      <x v="329"/>
    </i>
    <i>
      <x v="483"/>
    </i>
    <i>
      <x v="330"/>
    </i>
    <i>
      <x v="374"/>
    </i>
    <i>
      <x v="59"/>
    </i>
    <i>
      <x v="292"/>
    </i>
    <i>
      <x v="195"/>
    </i>
    <i>
      <x v="470"/>
    </i>
    <i>
      <x v="147"/>
    </i>
    <i>
      <x v="251"/>
    </i>
    <i>
      <x v="382"/>
    </i>
    <i>
      <x v="109"/>
    </i>
    <i>
      <x v="448"/>
    </i>
    <i>
      <x v="490"/>
    </i>
    <i>
      <x v="152"/>
    </i>
    <i>
      <x v="265"/>
    </i>
    <i>
      <x v="160"/>
    </i>
    <i>
      <x v="279"/>
    </i>
    <i>
      <x v="494"/>
    </i>
    <i>
      <x v="133"/>
    </i>
    <i>
      <x v="419"/>
    </i>
    <i>
      <x v="518"/>
    </i>
    <i>
      <x v="335"/>
    </i>
    <i>
      <x v="304"/>
    </i>
    <i>
      <x v="287"/>
    </i>
    <i>
      <x v="444"/>
    </i>
    <i>
      <x v="8"/>
    </i>
    <i>
      <x v="290"/>
    </i>
    <i>
      <x v="555"/>
    </i>
    <i>
      <x v="179"/>
    </i>
    <i>
      <x v="211"/>
    </i>
    <i>
      <x v="249"/>
    </i>
    <i>
      <x v="495"/>
    </i>
    <i>
      <x v="562"/>
    </i>
    <i>
      <x v="169"/>
    </i>
    <i>
      <x v="267"/>
    </i>
    <i>
      <x v="119"/>
    </i>
    <i>
      <x v="52"/>
    </i>
    <i>
      <x v="420"/>
    </i>
    <i>
      <x v="269"/>
    </i>
    <i>
      <x v="533"/>
    </i>
    <i>
      <x v="245"/>
    </i>
    <i>
      <x v="51"/>
    </i>
    <i>
      <x v="273"/>
    </i>
    <i>
      <x v="46"/>
    </i>
    <i>
      <x v="125"/>
    </i>
    <i>
      <x v="264"/>
    </i>
    <i>
      <x v="181"/>
    </i>
    <i>
      <x v="176"/>
    </i>
    <i>
      <x v="201"/>
    </i>
    <i>
      <x v="434"/>
    </i>
    <i>
      <x v="376"/>
    </i>
    <i>
      <x v="150"/>
    </i>
    <i>
      <x v="443"/>
    </i>
    <i>
      <x v="524"/>
    </i>
    <i>
      <x v="340"/>
    </i>
    <i>
      <x v="355"/>
    </i>
    <i>
      <x v="182"/>
    </i>
    <i>
      <x v="45"/>
    </i>
    <i>
      <x v="543"/>
    </i>
    <i>
      <x v="63"/>
    </i>
    <i>
      <x v="489"/>
    </i>
    <i>
      <x v="64"/>
    </i>
    <i>
      <x v="557"/>
    </i>
    <i>
      <x v="115"/>
    </i>
    <i>
      <x v="500"/>
    </i>
    <i>
      <x v="478"/>
    </i>
    <i>
      <x v="48"/>
    </i>
    <i>
      <x v="403"/>
    </i>
    <i>
      <x v="363"/>
    </i>
    <i>
      <x v="361"/>
    </i>
    <i>
      <x v="439"/>
    </i>
    <i>
      <x v="520"/>
    </i>
    <i>
      <x v="351"/>
    </i>
    <i>
      <x v="172"/>
    </i>
    <i>
      <x v="24"/>
    </i>
    <i>
      <x v="530"/>
    </i>
    <i>
      <x v="358"/>
    </i>
    <i>
      <x v="515"/>
    </i>
    <i>
      <x v="354"/>
    </i>
    <i>
      <x v="453"/>
    </i>
    <i>
      <x v="231"/>
    </i>
    <i>
      <x v="512"/>
    </i>
    <i>
      <x v="164"/>
    </i>
    <i>
      <x v="260"/>
    </i>
    <i>
      <x v="7"/>
    </i>
    <i>
      <x v="442"/>
    </i>
    <i>
      <x v="398"/>
    </i>
    <i>
      <x v="501"/>
    </i>
    <i>
      <x v="3"/>
    </i>
    <i>
      <x v="301"/>
    </i>
    <i>
      <x v="445"/>
    </i>
    <i>
      <x v="310"/>
    </i>
    <i>
      <x v="315"/>
    </i>
    <i>
      <x v="542"/>
    </i>
    <i>
      <x v="77"/>
    </i>
    <i>
      <x v="12"/>
    </i>
    <i>
      <x v="215"/>
    </i>
    <i>
      <x v="258"/>
    </i>
    <i>
      <x v="424"/>
    </i>
    <i>
      <x v="94"/>
    </i>
    <i>
      <x v="129"/>
    </i>
    <i>
      <x v="528"/>
    </i>
    <i>
      <x v="228"/>
    </i>
    <i>
      <x v="263"/>
    </i>
    <i>
      <x v="545"/>
    </i>
    <i>
      <x v="116"/>
    </i>
    <i>
      <x v="252"/>
    </i>
    <i>
      <x v="57"/>
    </i>
    <i>
      <x v="41"/>
    </i>
    <i>
      <x v="272"/>
    </i>
    <i>
      <x v="425"/>
    </i>
    <i>
      <x v="73"/>
    </i>
    <i>
      <x v="163"/>
    </i>
    <i>
      <x v="191"/>
    </i>
    <i>
      <x v="493"/>
    </i>
    <i>
      <x v="127"/>
    </i>
    <i>
      <x v="205"/>
    </i>
    <i>
      <x v="79"/>
    </i>
    <i>
      <x v="459"/>
    </i>
    <i>
      <x v="247"/>
    </i>
    <i>
      <x v="36"/>
    </i>
    <i>
      <x v="117"/>
    </i>
    <i>
      <x v="479"/>
    </i>
    <i>
      <x v="409"/>
    </i>
    <i>
      <x v="504"/>
    </i>
    <i>
      <x v="98"/>
    </i>
    <i>
      <x v="549"/>
    </i>
    <i>
      <x v="407"/>
    </i>
    <i>
      <x v="356"/>
    </i>
    <i>
      <x v="37"/>
    </i>
    <i>
      <x v="66"/>
    </i>
    <i>
      <x v="357"/>
    </i>
    <i>
      <x v="568"/>
    </i>
    <i>
      <x v="13"/>
    </i>
    <i>
      <x v="334"/>
    </i>
    <i>
      <x v="324"/>
    </i>
    <i>
      <x v="2"/>
    </i>
    <i>
      <x v="194"/>
    </i>
    <i>
      <x v="522"/>
    </i>
    <i>
      <x v="342"/>
    </i>
    <i>
      <x v="318"/>
    </i>
    <i>
      <x v="239"/>
    </i>
    <i>
      <x v="378"/>
    </i>
    <i>
      <x v="386"/>
    </i>
    <i>
      <x v="338"/>
    </i>
    <i>
      <x v="120"/>
    </i>
    <i>
      <x v="544"/>
    </i>
    <i>
      <x v="168"/>
    </i>
    <i>
      <x v="68"/>
    </i>
    <i>
      <x v="474"/>
    </i>
    <i>
      <x v="348"/>
    </i>
    <i>
      <x v="83"/>
    </i>
    <i>
      <x v="511"/>
    </i>
    <i>
      <x v="282"/>
    </i>
    <i>
      <x v="281"/>
    </i>
    <i>
      <x v="396"/>
    </i>
    <i>
      <x v="440"/>
    </i>
    <i>
      <x v="233"/>
    </i>
    <i>
      <x v="333"/>
    </i>
    <i>
      <x v="75"/>
    </i>
    <i>
      <x v="222"/>
    </i>
    <i>
      <x v="446"/>
    </i>
    <i>
      <x v="42"/>
    </i>
    <i>
      <x v="214"/>
    </i>
    <i>
      <x v="336"/>
    </i>
    <i>
      <x v="320"/>
    </i>
    <i>
      <x v="527"/>
    </i>
    <i>
      <x v="121"/>
    </i>
    <i>
      <x v="514"/>
    </i>
    <i>
      <x v="284"/>
    </i>
    <i>
      <x v="467"/>
    </i>
    <i>
      <x v="432"/>
    </i>
    <i>
      <x v="90"/>
    </i>
    <i>
      <x v="131"/>
    </i>
    <i>
      <x v="288"/>
    </i>
    <i>
      <x v="167"/>
    </i>
    <i>
      <x v="415"/>
    </i>
    <i>
      <x v="186"/>
    </i>
    <i>
      <x v="473"/>
    </i>
    <i>
      <x v="225"/>
    </i>
    <i>
      <x v="372"/>
    </i>
    <i>
      <x v="67"/>
    </i>
    <i>
      <x v="235"/>
    </i>
    <i>
      <x v="111"/>
    </i>
    <i>
      <x v="187"/>
    </i>
    <i>
      <x v="546"/>
    </i>
    <i>
      <x v="25"/>
    </i>
    <i>
      <x v="491"/>
    </i>
    <i>
      <x v="234"/>
    </i>
    <i>
      <x v="219"/>
    </i>
    <i>
      <x v="308"/>
    </i>
    <i>
      <x v="47"/>
    </i>
    <i>
      <x v="471"/>
    </i>
    <i>
      <x v="302"/>
    </i>
    <i>
      <x v="82"/>
    </i>
    <i>
      <x v="69"/>
    </i>
    <i>
      <x v="204"/>
    </i>
    <i>
      <x v="135"/>
    </i>
    <i>
      <x v="541"/>
    </i>
    <i>
      <x v="34"/>
    </i>
    <i>
      <x v="275"/>
    </i>
    <i>
      <x v="89"/>
    </i>
    <i>
      <x v="463"/>
    </i>
    <i>
      <x v="450"/>
    </i>
    <i>
      <x v="159"/>
    </i>
    <i>
      <x v="362"/>
    </i>
    <i>
      <x v="266"/>
    </i>
    <i>
      <x v="278"/>
    </i>
    <i>
      <x v="220"/>
    </i>
    <i>
      <x v="525"/>
    </i>
    <i>
      <x v="553"/>
    </i>
    <i>
      <x v="142"/>
    </i>
    <i>
      <x v="397"/>
    </i>
    <i>
      <x v="502"/>
    </i>
    <i>
      <x v="345"/>
    </i>
    <i>
      <x v="393"/>
    </i>
    <i>
      <x v="208"/>
    </i>
    <i>
      <x v="65"/>
    </i>
    <i>
      <x v="476"/>
    </i>
    <i>
      <x v="122"/>
    </i>
    <i>
      <x v="496"/>
    </i>
    <i>
      <x v="209"/>
    </i>
    <i>
      <x v="285"/>
    </i>
    <i>
      <x v="196"/>
    </i>
    <i>
      <x v="498"/>
    </i>
    <i>
      <x v="97"/>
    </i>
    <i>
      <x v="106"/>
    </i>
    <i>
      <x v="296"/>
    </i>
    <i>
      <x v="280"/>
    </i>
    <i>
      <x v="100"/>
    </i>
    <i>
      <x v="216"/>
    </i>
    <i>
      <x v="173"/>
    </i>
    <i>
      <x v="505"/>
    </i>
    <i>
      <x v="353"/>
    </i>
    <i>
      <x v="153"/>
    </i>
    <i>
      <x v="227"/>
    </i>
    <i>
      <x v="148"/>
    </i>
    <i>
      <x v="401"/>
    </i>
    <i>
      <x v="253"/>
    </i>
    <i>
      <x v="523"/>
    </i>
    <i>
      <x v="17"/>
    </i>
    <i>
      <x v="206"/>
    </i>
    <i>
      <x v="10"/>
    </i>
    <i>
      <x v="331"/>
    </i>
    <i>
      <x v="380"/>
    </i>
    <i>
      <x v="412"/>
    </i>
    <i>
      <x v="341"/>
    </i>
    <i>
      <x v="377"/>
    </i>
    <i>
      <x v="313"/>
    </i>
    <i>
      <x v="56"/>
    </i>
    <i>
      <x v="102"/>
    </i>
    <i>
      <x v="373"/>
    </i>
    <i>
      <x v="365"/>
    </i>
    <i>
      <x v="306"/>
    </i>
    <i>
      <x v="436"/>
    </i>
    <i>
      <x v="243"/>
    </i>
    <i>
      <x v="455"/>
    </i>
    <i>
      <x v="283"/>
    </i>
    <i>
      <x v="460"/>
    </i>
    <i>
      <x v="137"/>
    </i>
    <i>
      <x v="297"/>
    </i>
    <i>
      <x v="174"/>
    </i>
    <i>
      <x v="529"/>
    </i>
    <i>
      <x v="155"/>
    </i>
    <i>
      <x v="39"/>
    </i>
    <i>
      <x v="23"/>
    </i>
    <i>
      <x v="237"/>
    </i>
    <i>
      <x v="289"/>
    </i>
    <i>
      <x v="402"/>
    </i>
    <i>
      <x v="189"/>
    </i>
    <i>
      <x v="224"/>
    </i>
    <i>
      <x v="226"/>
    </i>
    <i>
      <x v="551"/>
    </i>
    <i>
      <x v="559"/>
    </i>
    <i>
      <x v="389"/>
    </i>
    <i>
      <x v="276"/>
    </i>
    <i>
      <x v="426"/>
    </i>
    <i>
      <x v="76"/>
    </i>
    <i>
      <x v="177"/>
    </i>
    <i>
      <x v="128"/>
    </i>
    <i>
      <x v="352"/>
    </i>
    <i>
      <x v="103"/>
    </i>
    <i>
      <x v="472"/>
    </i>
    <i>
      <x v="305"/>
    </i>
    <i>
      <x v="19"/>
    </i>
    <i>
      <x v="28"/>
    </i>
    <i>
      <x v="423"/>
    </i>
    <i>
      <x v="190"/>
    </i>
    <i>
      <x v="184"/>
    </i>
    <i>
      <x v="53"/>
    </i>
    <i>
      <x v="124"/>
    </i>
    <i>
      <x v="449"/>
    </i>
    <i>
      <x v="40"/>
    </i>
    <i>
      <x v="537"/>
    </i>
    <i>
      <x v="105"/>
    </i>
    <i>
      <x v="15"/>
    </i>
    <i>
      <x v="435"/>
    </i>
    <i>
      <x v="229"/>
    </i>
    <i>
      <x v="312"/>
    </i>
    <i>
      <x v="20"/>
    </i>
    <i>
      <x v="404"/>
    </i>
    <i>
      <x v="475"/>
    </i>
    <i>
      <x v="484"/>
    </i>
    <i>
      <x v="507"/>
    </i>
    <i>
      <x v="274"/>
    </i>
    <i>
      <x v="395"/>
    </i>
    <i>
      <x v="359"/>
    </i>
    <i>
      <x v="268"/>
    </i>
    <i>
      <x v="456"/>
    </i>
    <i>
      <x v="104"/>
    </i>
    <i>
      <x v="33"/>
    </i>
    <i>
      <x v="259"/>
    </i>
    <i>
      <x v="368"/>
    </i>
    <i>
      <x v="236"/>
    </i>
    <i>
      <x v="503"/>
    </i>
    <i>
      <x v="183"/>
    </i>
    <i>
      <x v="22"/>
    </i>
    <i>
      <x v="72"/>
    </i>
    <i>
      <x v="497"/>
    </i>
    <i>
      <x v="207"/>
    </i>
    <i>
      <x v="38"/>
    </i>
    <i>
      <x v="61"/>
    </i>
    <i>
      <x v="166"/>
    </i>
    <i>
      <x v="328"/>
    </i>
    <i>
      <x v="563"/>
    </i>
    <i>
      <x v="405"/>
    </i>
    <i>
      <x v="9"/>
    </i>
    <i>
      <x v="293"/>
    </i>
    <i>
      <x v="452"/>
    </i>
    <i>
      <x v="534"/>
    </i>
    <i>
      <x v="11"/>
    </i>
    <i>
      <x v="108"/>
    </i>
    <i>
      <x v="198"/>
    </i>
    <i>
      <x v="60"/>
    </i>
    <i>
      <x v="71"/>
    </i>
    <i>
      <x v="461"/>
    </i>
    <i>
      <x v="193"/>
    </i>
    <i>
      <x v="509"/>
    </i>
    <i>
      <x v="95"/>
    </i>
    <i>
      <x v="464"/>
    </i>
    <i>
      <x v="465"/>
    </i>
    <i>
      <x v="114"/>
    </i>
    <i>
      <x v="31"/>
    </i>
    <i>
      <x v="367"/>
    </i>
    <i>
      <x v="58"/>
    </i>
    <i>
      <x v="55"/>
    </i>
    <i>
      <x v="99"/>
    </i>
    <i>
      <x/>
    </i>
    <i>
      <x v="197"/>
    </i>
    <i>
      <x v="550"/>
    </i>
    <i>
      <x v="350"/>
    </i>
    <i>
      <x v="339"/>
    </i>
    <i>
      <x v="298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Moyenne de % True Shooting" fld="2" subtotal="average" baseField="0" baseItem="0" numFmtId="9"/>
    <dataField name="Moyenne de Ratio Passe vs Erreur" fld="3" subtotal="average" baseField="0" baseItem="0" numFmtId="165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B8DD1-8665-B143-8772-1A1FD4428E3C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B34" firstHeaderRow="1" firstDataRow="1" firstDataCol="1"/>
  <pivotFields count="45">
    <pivotField showAll="0"/>
    <pivotField axis="axisRow" showAll="0" sortType="descending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64">
        <item x="62"/>
        <item x="60"/>
        <item x="59"/>
        <item x="58"/>
        <item x="61"/>
        <item x="56"/>
        <item x="53"/>
        <item x="57"/>
        <item x="52"/>
        <item x="46"/>
        <item x="49"/>
        <item x="55"/>
        <item x="48"/>
        <item x="38"/>
        <item x="36"/>
        <item x="22"/>
        <item x="29"/>
        <item x="34"/>
        <item x="47"/>
        <item x="51"/>
        <item x="23"/>
        <item x="33"/>
        <item x="45"/>
        <item x="32"/>
        <item x="42"/>
        <item x="43"/>
        <item x="31"/>
        <item x="19"/>
        <item x="25"/>
        <item x="40"/>
        <item x="30"/>
        <item x="21"/>
        <item x="10"/>
        <item x="15"/>
        <item x="24"/>
        <item x="5"/>
        <item x="7"/>
        <item x="6"/>
        <item x="8"/>
        <item x="28"/>
        <item x="3"/>
        <item x="12"/>
        <item x="16"/>
        <item x="35"/>
        <item x="13"/>
        <item x="26"/>
        <item x="2"/>
        <item x="17"/>
        <item x="1"/>
        <item x="41"/>
        <item x="9"/>
        <item x="20"/>
        <item x="11"/>
        <item x="4"/>
        <item x="54"/>
        <item x="14"/>
        <item x="50"/>
        <item x="27"/>
        <item x="37"/>
        <item x="18"/>
        <item x="44"/>
        <item x="0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 v="20"/>
    </i>
    <i>
      <x v="5"/>
    </i>
    <i>
      <x v="2"/>
    </i>
    <i>
      <x v="10"/>
    </i>
    <i>
      <x v="11"/>
    </i>
    <i>
      <x v="17"/>
    </i>
    <i>
      <x v="16"/>
    </i>
    <i>
      <x v="7"/>
    </i>
    <i>
      <x v="13"/>
    </i>
    <i>
      <x v="19"/>
    </i>
    <i>
      <x v="12"/>
    </i>
    <i>
      <x v="9"/>
    </i>
    <i>
      <x v="8"/>
    </i>
    <i>
      <x v="14"/>
    </i>
    <i>
      <x v="21"/>
    </i>
    <i>
      <x v="4"/>
    </i>
    <i>
      <x/>
    </i>
    <i>
      <x v="6"/>
    </i>
    <i>
      <x v="15"/>
    </i>
    <i>
      <x v="25"/>
    </i>
    <i>
      <x v="24"/>
    </i>
    <i>
      <x v="23"/>
    </i>
    <i>
      <x v="26"/>
    </i>
    <i>
      <x v="27"/>
    </i>
    <i>
      <x v="1"/>
    </i>
    <i>
      <x v="22"/>
    </i>
    <i>
      <x v="18"/>
    </i>
    <i>
      <x v="29"/>
    </i>
    <i>
      <x v="3"/>
    </i>
    <i>
      <x v="28"/>
    </i>
    <i t="grand">
      <x/>
    </i>
  </rowItems>
  <colItems count="1">
    <i/>
  </colItems>
  <dataFields count="1">
    <dataField name="Somme de W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07FDB-4B01-A64D-B1D7-42CABF4CC6D0}" name="Tableau2" displayName="Tableau2" ref="A1:D31" totalsRowShown="0" headerRowDxfId="7">
  <autoFilter ref="A1:D31" xr:uid="{69A07FDB-4B01-A64D-B1D7-42CABF4CC6D0}"/>
  <tableColumns count="4">
    <tableColumn id="1" xr3:uid="{54D2F5FF-4DFF-1D48-A72C-E072AA0D1DA1}" name="Code" dataDxfId="6"/>
    <tableColumn id="2" xr3:uid="{18E5F051-3D27-874A-9B02-23CBC461B3E2}" name="Nom complet de l'équipe" dataDxfId="5"/>
    <tableColumn id="6" xr3:uid="{BB02E8AB-5BD8-0041-A07D-A5FE3CC654FD}" name="Points marqués par l'équipe en moyenne par match" dataDxfId="4">
      <calculatedColumnFormula>SUMIF('Données NBA'!$B$2:$B$570,Equipe!A2,'Données NBA'!$C$2:$C$570)</calculatedColumnFormula>
    </tableColumn>
    <tableColumn id="3" xr3:uid="{81097704-299C-644A-A9FC-CCDD76FA55E9}" name="Nombre de joueurs par équipe">
      <calculatedColumnFormula>COUNTIF('Données NBA'!$B$2:$B$570,Equipe!A2)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BB77C-A287-A44A-92B2-195F320E570C}" name="Tableau3" displayName="Tableau3" ref="A1:M570" totalsRowShown="0" headerRowDxfId="22" dataDxfId="21">
  <autoFilter ref="A1:M570" xr:uid="{C94BB77C-A287-A44A-92B2-195F320E570C}"/>
  <tableColumns count="13">
    <tableColumn id="1" xr3:uid="{461E393C-78A8-2943-939B-20AA5DC3523A}" name="Player" dataDxfId="20"/>
    <tableColumn id="2" xr3:uid="{0897B03D-6C14-FD47-98DC-E143747CA964}" name="Team" dataDxfId="19"/>
    <tableColumn id="8" xr3:uid="{4827EA56-728D-FD4F-AFEF-31B474254971}" name="PTS" dataDxfId="18"/>
    <tableColumn id="9" xr3:uid="{A1A76E06-B07C-6745-9111-1A08D266C59A}" name="FGM" dataDxfId="17"/>
    <tableColumn id="10" xr3:uid="{009D9912-2BB9-ED4B-894D-8E05E690807D}" name="FGA" dataDxfId="16"/>
    <tableColumn id="11" xr3:uid="{EED13150-4435-0D41-A9E9-89C05424B0F1}" name="FG%" dataDxfId="15"/>
    <tableColumn id="13" xr3:uid="{65799183-B12C-0D4F-9832-F24CA010BE5B}" name="3PA" dataDxfId="14"/>
    <tableColumn id="14" xr3:uid="{DF420C0C-3677-0C4F-8640-301785ADCE2E}" name="3P%" dataDxfId="13"/>
    <tableColumn id="15" xr3:uid="{1C8D8FF7-F0DC-A949-94ED-F688019AAE74}" name="FTM" dataDxfId="12"/>
    <tableColumn id="16" xr3:uid="{94C2D691-B138-414A-A777-599AE31A716D}" name="FTA" dataDxfId="11"/>
    <tableColumn id="17" xr3:uid="{FDCAE5BE-4235-F847-ACCD-C7680A444552}" name="FT%" dataDxfId="10"/>
    <tableColumn id="18" xr3:uid="{433E528E-B22E-4F49-87AD-A77AA4FFF6C6}" name="OREB" dataDxfId="9"/>
    <tableColumn id="44" xr3:uid="{198E24B0-0FD9-C044-B05C-57A8F12717B9}" name="PI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1139" Type="http://schemas.openxmlformats.org/officeDocument/2006/relationships/drawing" Target="../drawings/drawing3.xm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1140" Type="http://schemas.openxmlformats.org/officeDocument/2006/relationships/table" Target="../tables/table2.xm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1139" Type="http://schemas.openxmlformats.org/officeDocument/2006/relationships/drawing" Target="../drawings/drawing4.xm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1139" Type="http://schemas.openxmlformats.org/officeDocument/2006/relationships/drawing" Target="../drawings/drawing6.xm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1"/>
  <sheetViews>
    <sheetView tabSelected="1" zoomScale="87" zoomScaleNormal="87" workbookViewId="0">
      <selection activeCell="H36" sqref="H36"/>
    </sheetView>
  </sheetViews>
  <sheetFormatPr baseColWidth="10" defaultColWidth="12.6640625" defaultRowHeight="15.75" customHeight="1"/>
  <cols>
    <col min="1" max="1" width="7.6640625" customWidth="1"/>
    <col min="2" max="3" width="22" customWidth="1"/>
    <col min="4" max="4" width="14.1640625" customWidth="1"/>
  </cols>
  <sheetData>
    <row r="1" spans="1:4" s="34" customFormat="1" ht="52" customHeight="1">
      <c r="A1" s="33" t="s">
        <v>1181</v>
      </c>
      <c r="B1" s="33" t="s">
        <v>1182</v>
      </c>
      <c r="C1" s="33" t="s">
        <v>1860</v>
      </c>
      <c r="D1" s="33" t="s">
        <v>1859</v>
      </c>
    </row>
    <row r="2" spans="1:4" ht="15.75" customHeight="1">
      <c r="A2" t="s">
        <v>1183</v>
      </c>
      <c r="B2" t="s">
        <v>1184</v>
      </c>
      <c r="C2">
        <f>SUMIF('Données NBA'!$B$2:$B$570,Equipe!A2,'Données NBA'!$C$2:$C$570)</f>
        <v>9689</v>
      </c>
      <c r="D2">
        <f>COUNTIF('Données NBA'!$B$2:$B$570,Equipe!A2)</f>
        <v>18</v>
      </c>
    </row>
    <row r="3" spans="1:4" ht="15.75" customHeight="1">
      <c r="A3" t="s">
        <v>1185</v>
      </c>
      <c r="B3" t="s">
        <v>1186</v>
      </c>
      <c r="C3">
        <f>SUMIF('Données NBA'!$B$2:$B$570,Equipe!A3,'Données NBA'!$C$2:$C$570)</f>
        <v>7999</v>
      </c>
      <c r="D3">
        <f>COUNTIF('Données NBA'!$B$2:$B$570,Equipe!A3)</f>
        <v>20</v>
      </c>
    </row>
    <row r="4" spans="1:4" ht="15.75" customHeight="1">
      <c r="A4" t="s">
        <v>1187</v>
      </c>
      <c r="B4" t="s">
        <v>1188</v>
      </c>
      <c r="C4">
        <f>SUMIF('Données NBA'!$B$2:$B$570,Equipe!A4,'Données NBA'!$C$2:$C$570)</f>
        <v>9551</v>
      </c>
      <c r="D4">
        <f>COUNTIF('Données NBA'!$B$2:$B$570,Equipe!A4)</f>
        <v>17</v>
      </c>
    </row>
    <row r="5" spans="1:4" ht="15.75" customHeight="1">
      <c r="A5" t="s">
        <v>1189</v>
      </c>
      <c r="B5" t="s">
        <v>1190</v>
      </c>
      <c r="C5">
        <f>SUMIF('Données NBA'!$B$2:$B$570,Equipe!A5,'Données NBA'!$C$2:$C$570)</f>
        <v>8278</v>
      </c>
      <c r="D5">
        <f>COUNTIF('Données NBA'!$B$2:$B$570,Equipe!A5)</f>
        <v>22</v>
      </c>
    </row>
    <row r="6" spans="1:4" ht="15.75" customHeight="1">
      <c r="A6" t="s">
        <v>1191</v>
      </c>
      <c r="B6" t="s">
        <v>1192</v>
      </c>
      <c r="C6">
        <f>SUMIF('Données NBA'!$B$2:$B$570,Equipe!A6,'Données NBA'!$C$2:$C$570)</f>
        <v>9230</v>
      </c>
      <c r="D6">
        <f>COUNTIF('Données NBA'!$B$2:$B$570,Equipe!A6)</f>
        <v>20</v>
      </c>
    </row>
    <row r="7" spans="1:4" ht="15.75" customHeight="1">
      <c r="A7" t="s">
        <v>1193</v>
      </c>
      <c r="B7" t="s">
        <v>1194</v>
      </c>
      <c r="C7">
        <f>SUMIF('Données NBA'!$B$2:$B$570,Equipe!A7,'Données NBA'!$C$2:$C$570)</f>
        <v>10180</v>
      </c>
      <c r="D7">
        <f>COUNTIF('Données NBA'!$B$2:$B$570,Equipe!A7)</f>
        <v>18</v>
      </c>
    </row>
    <row r="8" spans="1:4" ht="15.75" customHeight="1">
      <c r="A8" t="s">
        <v>1195</v>
      </c>
      <c r="B8" t="s">
        <v>1196</v>
      </c>
      <c r="C8">
        <f>SUMIF('Données NBA'!$B$2:$B$570,Equipe!A8,'Données NBA'!$C$2:$C$570)</f>
        <v>9970</v>
      </c>
      <c r="D8">
        <f>COUNTIF('Données NBA'!$B$2:$B$570,Equipe!A8)</f>
        <v>19</v>
      </c>
    </row>
    <row r="9" spans="1:4" ht="15.75" customHeight="1">
      <c r="A9" t="s">
        <v>1197</v>
      </c>
      <c r="B9" t="s">
        <v>1198</v>
      </c>
      <c r="C9">
        <f>SUMIF('Données NBA'!$B$2:$B$570,Equipe!A9,'Données NBA'!$C$2:$C$570)</f>
        <v>9899</v>
      </c>
      <c r="D9">
        <f>COUNTIF('Données NBA'!$B$2:$B$570,Equipe!A9)</f>
        <v>17</v>
      </c>
    </row>
    <row r="10" spans="1:4" ht="15.75" customHeight="1">
      <c r="A10" t="s">
        <v>1199</v>
      </c>
      <c r="B10" t="s">
        <v>1200</v>
      </c>
      <c r="C10">
        <f>SUMIF('Données NBA'!$B$2:$B$570,Equipe!A10,'Données NBA'!$C$2:$C$570)</f>
        <v>10292</v>
      </c>
      <c r="D10">
        <f>COUNTIF('Données NBA'!$B$2:$B$570,Equipe!A10)</f>
        <v>19</v>
      </c>
    </row>
    <row r="11" spans="1:4" ht="15.75" customHeight="1">
      <c r="A11" t="s">
        <v>1201</v>
      </c>
      <c r="B11" t="s">
        <v>1202</v>
      </c>
      <c r="C11">
        <f>SUMIF('Données NBA'!$B$2:$B$570,Equipe!A11,'Données NBA'!$C$2:$C$570)</f>
        <v>8288</v>
      </c>
      <c r="D11">
        <f>COUNTIF('Données NBA'!$B$2:$B$570,Equipe!A11)</f>
        <v>17</v>
      </c>
    </row>
    <row r="12" spans="1:4" ht="15.75" customHeight="1">
      <c r="A12" t="s">
        <v>1203</v>
      </c>
      <c r="B12" t="s">
        <v>1204</v>
      </c>
      <c r="C12">
        <f>SUMIF('Données NBA'!$B$2:$B$570,Equipe!A12,'Données NBA'!$C$2:$C$570)</f>
        <v>9515</v>
      </c>
      <c r="D12">
        <f>COUNTIF('Données NBA'!$B$2:$B$570,Equipe!A12)</f>
        <v>18</v>
      </c>
    </row>
    <row r="13" spans="1:4" ht="15.75" customHeight="1">
      <c r="A13" t="s">
        <v>1205</v>
      </c>
      <c r="B13" t="s">
        <v>1206</v>
      </c>
      <c r="C13">
        <f>SUMIF('Données NBA'!$B$2:$B$570,Equipe!A13,'Données NBA'!$C$2:$C$570)</f>
        <v>9630</v>
      </c>
      <c r="D13">
        <f>COUNTIF('Données NBA'!$B$2:$B$570,Equipe!A13)</f>
        <v>20</v>
      </c>
    </row>
    <row r="14" spans="1:4" ht="15.75" customHeight="1">
      <c r="A14" t="s">
        <v>1207</v>
      </c>
      <c r="B14" t="s">
        <v>1208</v>
      </c>
      <c r="C14">
        <f>SUMIF('Données NBA'!$B$2:$B$570,Equipe!A14,'Données NBA'!$C$2:$C$570)</f>
        <v>9050</v>
      </c>
      <c r="D14">
        <f>COUNTIF('Données NBA'!$B$2:$B$570,Equipe!A14)</f>
        <v>17</v>
      </c>
    </row>
    <row r="15" spans="1:4" ht="15.75" customHeight="1">
      <c r="A15" t="s">
        <v>1209</v>
      </c>
      <c r="B15" t="s">
        <v>1210</v>
      </c>
      <c r="C15">
        <f>SUMIF('Données NBA'!$B$2:$B$570,Equipe!A15,'Données NBA'!$C$2:$C$570)</f>
        <v>8691</v>
      </c>
      <c r="D15">
        <f>COUNTIF('Données NBA'!$B$2:$B$570,Equipe!A15)</f>
        <v>20</v>
      </c>
    </row>
    <row r="16" spans="1:4" ht="15.75" customHeight="1">
      <c r="A16" t="s">
        <v>1211</v>
      </c>
      <c r="B16" t="s">
        <v>1212</v>
      </c>
      <c r="C16">
        <f>SUMIF('Données NBA'!$B$2:$B$570,Equipe!A16,'Données NBA'!$C$2:$C$570)</f>
        <v>9552</v>
      </c>
      <c r="D16">
        <f>COUNTIF('Données NBA'!$B$2:$B$570,Equipe!A16)</f>
        <v>18</v>
      </c>
    </row>
    <row r="17" spans="1:4" ht="15.75" customHeight="1">
      <c r="A17" t="s">
        <v>1213</v>
      </c>
      <c r="B17" t="s">
        <v>1214</v>
      </c>
      <c r="C17">
        <f>SUMIF('Données NBA'!$B$2:$B$570,Equipe!A17,'Données NBA'!$C$2:$C$570)</f>
        <v>9828</v>
      </c>
      <c r="D17">
        <f>COUNTIF('Données NBA'!$B$2:$B$570,Equipe!A17)</f>
        <v>19</v>
      </c>
    </row>
    <row r="18" spans="1:4" ht="15.75" customHeight="1">
      <c r="A18" t="s">
        <v>1215</v>
      </c>
      <c r="B18" t="s">
        <v>1216</v>
      </c>
      <c r="C18">
        <f>SUMIF('Données NBA'!$B$2:$B$570,Equipe!A18,'Données NBA'!$C$2:$C$570)</f>
        <v>10016</v>
      </c>
      <c r="D18">
        <f>COUNTIF('Données NBA'!$B$2:$B$570,Equipe!A18)</f>
        <v>19</v>
      </c>
    </row>
    <row r="19" spans="1:4" ht="15.75" customHeight="1">
      <c r="A19" t="s">
        <v>1217</v>
      </c>
      <c r="B19" t="s">
        <v>1218</v>
      </c>
      <c r="C19">
        <f>SUMIF('Données NBA'!$B$2:$B$570,Equipe!A19,'Données NBA'!$C$2:$C$570)</f>
        <v>9523</v>
      </c>
      <c r="D19">
        <f>COUNTIF('Données NBA'!$B$2:$B$570,Equipe!A19)</f>
        <v>20</v>
      </c>
    </row>
    <row r="20" spans="1:4" ht="15.75" customHeight="1">
      <c r="A20" t="s">
        <v>1219</v>
      </c>
      <c r="B20" t="s">
        <v>1220</v>
      </c>
      <c r="C20">
        <f>SUMIF('Données NBA'!$B$2:$B$570,Equipe!A20,'Données NBA'!$C$2:$C$570)</f>
        <v>8763</v>
      </c>
      <c r="D20">
        <f>COUNTIF('Données NBA'!$B$2:$B$570,Equipe!A20)</f>
        <v>22</v>
      </c>
    </row>
    <row r="21" spans="1:4" ht="15.75" customHeight="1">
      <c r="A21" t="s">
        <v>1221</v>
      </c>
      <c r="B21" t="s">
        <v>1222</v>
      </c>
      <c r="C21">
        <f>SUMIF('Données NBA'!$B$2:$B$570,Equipe!A21,'Données NBA'!$C$2:$C$570)</f>
        <v>9540</v>
      </c>
      <c r="D21">
        <f>COUNTIF('Données NBA'!$B$2:$B$570,Equipe!A21)</f>
        <v>19</v>
      </c>
    </row>
    <row r="22" spans="1:4" ht="13">
      <c r="A22" t="s">
        <v>1223</v>
      </c>
      <c r="B22" t="s">
        <v>1224</v>
      </c>
      <c r="C22">
        <f>SUMIF('Données NBA'!$B$2:$B$570,Equipe!A22,'Données NBA'!$C$2:$C$570)</f>
        <v>9880</v>
      </c>
      <c r="D22">
        <f>COUNTIF('Données NBA'!$B$2:$B$570,Equipe!A22)</f>
        <v>18</v>
      </c>
    </row>
    <row r="23" spans="1:4" ht="13">
      <c r="A23" t="s">
        <v>1225</v>
      </c>
      <c r="B23" t="s">
        <v>1226</v>
      </c>
      <c r="C23">
        <f>SUMIF('Données NBA'!$B$2:$B$570,Equipe!A23,'Données NBA'!$C$2:$C$570)</f>
        <v>8648</v>
      </c>
      <c r="D23">
        <f>COUNTIF('Données NBA'!$B$2:$B$570,Equipe!A23)</f>
        <v>17</v>
      </c>
    </row>
    <row r="24" spans="1:4" ht="13">
      <c r="A24" t="s">
        <v>1227</v>
      </c>
      <c r="B24" t="s">
        <v>1228</v>
      </c>
      <c r="C24">
        <f>SUMIF('Données NBA'!$B$2:$B$570,Equipe!A24,'Données NBA'!$C$2:$C$570)</f>
        <v>9142</v>
      </c>
      <c r="D24">
        <f>COUNTIF('Données NBA'!$B$2:$B$570,Equipe!A24)</f>
        <v>23</v>
      </c>
    </row>
    <row r="25" spans="1:4" ht="13">
      <c r="A25" t="s">
        <v>1229</v>
      </c>
      <c r="B25" t="s">
        <v>1230</v>
      </c>
      <c r="C25">
        <f>SUMIF('Données NBA'!$B$2:$B$570,Equipe!A25,'Données NBA'!$C$2:$C$570)</f>
        <v>9719</v>
      </c>
      <c r="D25">
        <f>COUNTIF('Données NBA'!$B$2:$B$570,Equipe!A25)</f>
        <v>18</v>
      </c>
    </row>
    <row r="26" spans="1:4" ht="13">
      <c r="A26" t="s">
        <v>1231</v>
      </c>
      <c r="B26" t="s">
        <v>1232</v>
      </c>
      <c r="C26">
        <f>SUMIF('Données NBA'!$B$2:$B$570,Equipe!A26,'Données NBA'!$C$2:$C$570)</f>
        <v>9113</v>
      </c>
      <c r="D26">
        <f>COUNTIF('Données NBA'!$B$2:$B$570,Equipe!A26)</f>
        <v>19</v>
      </c>
    </row>
    <row r="27" spans="1:4" ht="13">
      <c r="A27" t="s">
        <v>1233</v>
      </c>
      <c r="B27" t="s">
        <v>1234</v>
      </c>
      <c r="C27">
        <f>SUMIF('Données NBA'!$B$2:$B$570,Equipe!A27,'Données NBA'!$C$2:$C$570)</f>
        <v>9786</v>
      </c>
      <c r="D27">
        <f>COUNTIF('Données NBA'!$B$2:$B$570,Equipe!A27)</f>
        <v>19</v>
      </c>
    </row>
    <row r="28" spans="1:4" ht="13">
      <c r="A28" t="s">
        <v>1235</v>
      </c>
      <c r="B28" t="s">
        <v>1236</v>
      </c>
      <c r="C28">
        <f>SUMIF('Données NBA'!$B$2:$B$570,Equipe!A28,'Données NBA'!$C$2:$C$570)</f>
        <v>10198</v>
      </c>
      <c r="D28">
        <f>COUNTIF('Données NBA'!$B$2:$B$570,Equipe!A28)</f>
        <v>18</v>
      </c>
    </row>
    <row r="29" spans="1:4" ht="13">
      <c r="A29" t="s">
        <v>1237</v>
      </c>
      <c r="B29" t="s">
        <v>1238</v>
      </c>
      <c r="C29">
        <f>SUMIF('Données NBA'!$B$2:$B$570,Equipe!A29,'Données NBA'!$C$2:$C$570)</f>
        <v>8963</v>
      </c>
      <c r="D29">
        <f>COUNTIF('Données NBA'!$B$2:$B$570,Equipe!A29)</f>
        <v>21</v>
      </c>
    </row>
    <row r="30" spans="1:4" ht="13">
      <c r="A30" t="s">
        <v>1239</v>
      </c>
      <c r="B30" t="s">
        <v>1240</v>
      </c>
      <c r="C30">
        <f>SUMIF('Données NBA'!$B$2:$B$570,Equipe!A30,'Données NBA'!$C$2:$C$570)</f>
        <v>9096</v>
      </c>
      <c r="D30">
        <f>COUNTIF('Données NBA'!$B$2:$B$570,Equipe!A30)</f>
        <v>18</v>
      </c>
    </row>
    <row r="31" spans="1:4" ht="13">
      <c r="A31" t="s">
        <v>1241</v>
      </c>
      <c r="B31" t="s">
        <v>1242</v>
      </c>
      <c r="C31">
        <f>SUMIF('Données NBA'!$B$2:$B$570,Equipe!A31,'Données NBA'!$C$2:$C$570)</f>
        <v>7986</v>
      </c>
      <c r="D31">
        <f>COUNTIF('Données NBA'!$B$2:$B$570,Equipe!A31)</f>
        <v>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1"/>
  <sheetViews>
    <sheetView topLeftCell="K1" zoomScale="86" zoomScaleNormal="394" workbookViewId="0">
      <pane ySplit="1" topLeftCell="A358" activePane="bottomLeft" state="frozen"/>
      <selection pane="bottomLeft" activeCell="AD404" sqref="AD404"/>
    </sheetView>
  </sheetViews>
  <sheetFormatPr baseColWidth="10" defaultRowHeight="13"/>
  <cols>
    <col min="1" max="1" width="25.5" bestFit="1" customWidth="1"/>
    <col min="2" max="2" width="15.1640625" bestFit="1" customWidth="1"/>
    <col min="3" max="3" width="15" bestFit="1" customWidth="1"/>
    <col min="4" max="4" width="13.1640625" bestFit="1" customWidth="1"/>
    <col min="5" max="5" width="13.6640625" bestFit="1" customWidth="1"/>
    <col min="6" max="6" width="13.83203125" bestFit="1" customWidth="1"/>
    <col min="7" max="7" width="14" bestFit="1" customWidth="1"/>
    <col min="8" max="8" width="4.5" bestFit="1" customWidth="1"/>
    <col min="9" max="9" width="4.6640625" bestFit="1" customWidth="1"/>
    <col min="10" max="10" width="4.5" customWidth="1"/>
    <col min="11" max="11" width="13.6640625" customWidth="1"/>
    <col min="12" max="12" width="4.83203125" customWidth="1"/>
    <col min="13" max="13" width="5.33203125" bestFit="1" customWidth="1"/>
    <col min="14" max="14" width="4.83203125" bestFit="1" customWidth="1"/>
    <col min="15" max="15" width="4.33203125" bestFit="1" customWidth="1"/>
    <col min="16" max="16" width="5" bestFit="1" customWidth="1"/>
    <col min="17" max="17" width="11.1640625" customWidth="1"/>
    <col min="18" max="18" width="4" bestFit="1" customWidth="1"/>
    <col min="19" max="19" width="4.1640625" customWidth="1"/>
    <col min="20" max="20" width="4.83203125" bestFit="1" customWidth="1"/>
    <col min="21" max="21" width="4.6640625" bestFit="1" customWidth="1"/>
    <col min="22" max="22" width="4.83203125" customWidth="1"/>
    <col min="23" max="23" width="4.6640625" customWidth="1"/>
    <col min="24" max="24" width="4" bestFit="1" customWidth="1"/>
    <col min="25" max="25" width="4.6640625" bestFit="1" customWidth="1"/>
    <col min="26" max="26" width="10.5" customWidth="1"/>
    <col min="27" max="28" width="5.1640625" bestFit="1" customWidth="1"/>
    <col min="29" max="29" width="4.6640625" customWidth="1"/>
    <col min="30" max="30" width="4.5" customWidth="1"/>
    <col min="31" max="31" width="5.1640625" bestFit="1" customWidth="1"/>
    <col min="32" max="32" width="11.5" bestFit="1" customWidth="1"/>
  </cols>
  <sheetData>
    <row r="1" spans="1:7">
      <c r="A1" s="19" t="s">
        <v>1289</v>
      </c>
      <c r="B1" t="s">
        <v>1861</v>
      </c>
      <c r="C1" t="s">
        <v>1862</v>
      </c>
      <c r="D1" t="s">
        <v>1863</v>
      </c>
      <c r="E1" t="s">
        <v>1864</v>
      </c>
      <c r="F1" t="s">
        <v>1865</v>
      </c>
      <c r="G1" t="s">
        <v>1866</v>
      </c>
    </row>
    <row r="2" spans="1:7">
      <c r="A2" s="20" t="s">
        <v>1183</v>
      </c>
      <c r="B2">
        <v>1011</v>
      </c>
      <c r="C2">
        <v>2767</v>
      </c>
      <c r="D2">
        <v>171.1</v>
      </c>
      <c r="E2">
        <v>2565</v>
      </c>
      <c r="F2">
        <v>818</v>
      </c>
      <c r="G2">
        <v>442</v>
      </c>
    </row>
    <row r="3" spans="1:7">
      <c r="A3" s="21" t="s">
        <v>1368</v>
      </c>
      <c r="B3">
        <v>38</v>
      </c>
      <c r="C3">
        <v>160</v>
      </c>
      <c r="D3">
        <v>9.4</v>
      </c>
      <c r="E3">
        <v>218</v>
      </c>
      <c r="F3">
        <v>58</v>
      </c>
      <c r="G3">
        <v>32</v>
      </c>
    </row>
    <row r="4" spans="1:7">
      <c r="A4" s="21" t="s">
        <v>1380</v>
      </c>
      <c r="B4">
        <v>176</v>
      </c>
      <c r="C4">
        <v>297</v>
      </c>
      <c r="D4">
        <v>11.7</v>
      </c>
      <c r="E4">
        <v>61</v>
      </c>
      <c r="F4">
        <v>33</v>
      </c>
      <c r="G4">
        <v>55</v>
      </c>
    </row>
    <row r="5" spans="1:7">
      <c r="A5" s="21" t="s">
        <v>1395</v>
      </c>
      <c r="B5">
        <v>4</v>
      </c>
      <c r="C5">
        <v>7</v>
      </c>
      <c r="D5">
        <v>12.2</v>
      </c>
      <c r="E5">
        <v>2</v>
      </c>
      <c r="F5">
        <v>0</v>
      </c>
      <c r="G5">
        <v>0</v>
      </c>
    </row>
    <row r="6" spans="1:7">
      <c r="A6" s="21" t="s">
        <v>1436</v>
      </c>
      <c r="B6">
        <v>35</v>
      </c>
      <c r="C6">
        <v>49</v>
      </c>
      <c r="D6">
        <v>8.1999999999999993</v>
      </c>
      <c r="E6">
        <v>18</v>
      </c>
      <c r="F6">
        <v>11</v>
      </c>
      <c r="G6">
        <v>18</v>
      </c>
    </row>
    <row r="7" spans="1:7">
      <c r="A7" s="21" t="s">
        <v>1450</v>
      </c>
      <c r="B7">
        <v>122</v>
      </c>
      <c r="C7">
        <v>327</v>
      </c>
      <c r="D7">
        <v>9.9</v>
      </c>
      <c r="E7">
        <v>334</v>
      </c>
      <c r="F7">
        <v>228</v>
      </c>
      <c r="G7">
        <v>53</v>
      </c>
    </row>
    <row r="8" spans="1:7">
      <c r="A8" s="21" t="s">
        <v>1463</v>
      </c>
      <c r="B8">
        <v>14</v>
      </c>
      <c r="C8">
        <v>75</v>
      </c>
      <c r="D8">
        <v>6.8</v>
      </c>
      <c r="E8">
        <v>61</v>
      </c>
      <c r="F8">
        <v>28</v>
      </c>
      <c r="G8">
        <v>14</v>
      </c>
    </row>
    <row r="9" spans="1:7">
      <c r="A9" s="21" t="s">
        <v>1467</v>
      </c>
      <c r="B9">
        <v>47</v>
      </c>
      <c r="C9">
        <v>221</v>
      </c>
      <c r="D9">
        <v>7.1</v>
      </c>
      <c r="E9">
        <v>111</v>
      </c>
      <c r="F9">
        <v>32</v>
      </c>
      <c r="G9">
        <v>16</v>
      </c>
    </row>
    <row r="10" spans="1:7">
      <c r="A10" s="21" t="s">
        <v>1499</v>
      </c>
      <c r="B10">
        <v>3</v>
      </c>
      <c r="C10">
        <v>12</v>
      </c>
      <c r="D10">
        <v>9</v>
      </c>
      <c r="E10">
        <v>7</v>
      </c>
      <c r="F10">
        <v>2</v>
      </c>
      <c r="G10">
        <v>0</v>
      </c>
    </row>
    <row r="11" spans="1:7">
      <c r="A11" s="21" t="s">
        <v>1517</v>
      </c>
      <c r="B11">
        <v>61</v>
      </c>
      <c r="C11">
        <v>299</v>
      </c>
      <c r="D11">
        <v>13.5</v>
      </c>
      <c r="E11">
        <v>180</v>
      </c>
      <c r="F11">
        <v>58</v>
      </c>
      <c r="G11">
        <v>36</v>
      </c>
    </row>
    <row r="12" spans="1:7">
      <c r="A12" s="21" t="s">
        <v>1604</v>
      </c>
      <c r="B12">
        <v>6</v>
      </c>
      <c r="C12">
        <v>43</v>
      </c>
      <c r="D12">
        <v>7.4</v>
      </c>
      <c r="E12">
        <v>81</v>
      </c>
      <c r="F12">
        <v>28</v>
      </c>
      <c r="G12">
        <v>9</v>
      </c>
    </row>
    <row r="13" spans="1:7">
      <c r="A13" s="21" t="s">
        <v>1631</v>
      </c>
      <c r="B13">
        <v>5</v>
      </c>
      <c r="C13">
        <v>16</v>
      </c>
      <c r="D13">
        <v>8.6</v>
      </c>
      <c r="E13">
        <v>17</v>
      </c>
      <c r="F13">
        <v>3</v>
      </c>
      <c r="G13">
        <v>2</v>
      </c>
    </row>
    <row r="14" spans="1:7">
      <c r="A14" s="21" t="s">
        <v>1645</v>
      </c>
      <c r="B14">
        <v>24</v>
      </c>
      <c r="C14">
        <v>79</v>
      </c>
      <c r="D14">
        <v>10.6</v>
      </c>
      <c r="E14">
        <v>38</v>
      </c>
      <c r="F14">
        <v>19</v>
      </c>
      <c r="G14">
        <v>12</v>
      </c>
    </row>
    <row r="15" spans="1:7">
      <c r="A15" s="21" t="s">
        <v>1698</v>
      </c>
      <c r="B15">
        <v>43</v>
      </c>
      <c r="C15">
        <v>96</v>
      </c>
      <c r="D15">
        <v>8.5</v>
      </c>
      <c r="E15">
        <v>26</v>
      </c>
      <c r="F15">
        <v>26</v>
      </c>
      <c r="G15">
        <v>33</v>
      </c>
    </row>
    <row r="16" spans="1:7">
      <c r="A16" s="21" t="s">
        <v>1721</v>
      </c>
      <c r="B16">
        <v>222</v>
      </c>
      <c r="C16">
        <v>437</v>
      </c>
      <c r="D16">
        <v>12.2</v>
      </c>
      <c r="E16">
        <v>170</v>
      </c>
      <c r="F16">
        <v>67</v>
      </c>
      <c r="G16">
        <v>67</v>
      </c>
    </row>
    <row r="17" spans="1:26">
      <c r="A17" s="21" t="s">
        <v>1798</v>
      </c>
      <c r="B17">
        <v>67</v>
      </c>
      <c r="C17">
        <v>134</v>
      </c>
      <c r="D17">
        <v>7.4</v>
      </c>
      <c r="E17">
        <v>121</v>
      </c>
      <c r="F17">
        <v>47</v>
      </c>
      <c r="G17">
        <v>13</v>
      </c>
    </row>
    <row r="18" spans="1:26">
      <c r="A18" s="21" t="s">
        <v>1812</v>
      </c>
      <c r="B18">
        <v>38</v>
      </c>
      <c r="C18">
        <v>198</v>
      </c>
      <c r="D18">
        <v>12.9</v>
      </c>
      <c r="E18">
        <v>882</v>
      </c>
      <c r="F18">
        <v>91</v>
      </c>
      <c r="G18">
        <v>15</v>
      </c>
    </row>
    <row r="19" spans="1:26">
      <c r="A19" s="21" t="s">
        <v>1841</v>
      </c>
      <c r="B19">
        <v>23</v>
      </c>
      <c r="C19">
        <v>137</v>
      </c>
      <c r="D19">
        <v>8.6</v>
      </c>
      <c r="E19">
        <v>148</v>
      </c>
      <c r="F19">
        <v>34</v>
      </c>
      <c r="G19">
        <v>29</v>
      </c>
    </row>
    <row r="20" spans="1:26">
      <c r="A20" s="21" t="s">
        <v>1850</v>
      </c>
      <c r="B20">
        <v>83</v>
      </c>
      <c r="C20">
        <v>180</v>
      </c>
      <c r="D20">
        <v>7.1</v>
      </c>
      <c r="E20">
        <v>90</v>
      </c>
      <c r="F20">
        <v>53</v>
      </c>
      <c r="G20">
        <v>38</v>
      </c>
    </row>
    <row r="21" spans="1:26">
      <c r="A21" s="20" t="s">
        <v>1185</v>
      </c>
      <c r="B21">
        <v>817</v>
      </c>
      <c r="C21">
        <v>2280</v>
      </c>
      <c r="D21">
        <v>155.39999999999998</v>
      </c>
      <c r="E21">
        <v>1735</v>
      </c>
      <c r="F21">
        <v>583</v>
      </c>
      <c r="G21">
        <v>333</v>
      </c>
    </row>
    <row r="22" spans="1:26">
      <c r="A22" s="21" t="s">
        <v>1364</v>
      </c>
      <c r="B22">
        <v>15</v>
      </c>
      <c r="C22">
        <v>68</v>
      </c>
      <c r="D22">
        <v>12.2</v>
      </c>
      <c r="E22">
        <v>95</v>
      </c>
      <c r="F22">
        <v>15</v>
      </c>
      <c r="G22">
        <v>3</v>
      </c>
      <c r="K22" s="37"/>
      <c r="Z22" s="37"/>
    </row>
    <row r="23" spans="1:26">
      <c r="A23" s="21" t="s">
        <v>1366</v>
      </c>
      <c r="B23">
        <v>51</v>
      </c>
      <c r="C23">
        <v>194</v>
      </c>
      <c r="D23">
        <v>12.4</v>
      </c>
      <c r="E23">
        <v>194</v>
      </c>
      <c r="F23">
        <v>51</v>
      </c>
      <c r="G23">
        <v>23</v>
      </c>
    </row>
    <row r="24" spans="1:26">
      <c r="A24" s="21" t="s">
        <v>1393</v>
      </c>
      <c r="B24">
        <v>0</v>
      </c>
      <c r="C24">
        <v>2</v>
      </c>
      <c r="D24">
        <v>-5.6</v>
      </c>
      <c r="E24">
        <v>0</v>
      </c>
      <c r="F24">
        <v>0</v>
      </c>
      <c r="G24">
        <v>0</v>
      </c>
    </row>
    <row r="25" spans="1:26">
      <c r="A25" s="21" t="s">
        <v>1403</v>
      </c>
      <c r="B25">
        <v>17</v>
      </c>
      <c r="C25">
        <v>139</v>
      </c>
      <c r="D25">
        <v>9.8000000000000007</v>
      </c>
      <c r="E25">
        <v>296</v>
      </c>
      <c r="F25">
        <v>58</v>
      </c>
      <c r="G25">
        <v>23</v>
      </c>
    </row>
    <row r="26" spans="1:26">
      <c r="A26" s="21" t="s">
        <v>1410</v>
      </c>
      <c r="B26">
        <v>4</v>
      </c>
      <c r="C26">
        <v>26</v>
      </c>
      <c r="D26">
        <v>6.5</v>
      </c>
      <c r="E26">
        <v>12</v>
      </c>
      <c r="F26">
        <v>6</v>
      </c>
      <c r="G26">
        <v>2</v>
      </c>
    </row>
    <row r="27" spans="1:26">
      <c r="A27" s="21" t="s">
        <v>1415</v>
      </c>
      <c r="B27">
        <v>150</v>
      </c>
      <c r="C27">
        <v>180</v>
      </c>
      <c r="D27">
        <v>13.4</v>
      </c>
      <c r="E27">
        <v>90</v>
      </c>
      <c r="F27">
        <v>40</v>
      </c>
      <c r="G27">
        <v>40</v>
      </c>
    </row>
    <row r="28" spans="1:26">
      <c r="A28" s="21" t="s">
        <v>1421</v>
      </c>
      <c r="B28">
        <v>6</v>
      </c>
      <c r="C28">
        <v>14</v>
      </c>
      <c r="D28">
        <v>9.1</v>
      </c>
      <c r="E28">
        <v>17</v>
      </c>
      <c r="F28">
        <v>7</v>
      </c>
      <c r="G28">
        <v>2</v>
      </c>
    </row>
    <row r="29" spans="1:26">
      <c r="A29" s="21" t="s">
        <v>1445</v>
      </c>
      <c r="B29">
        <v>17</v>
      </c>
      <c r="C29">
        <v>48</v>
      </c>
      <c r="D29">
        <v>8.6</v>
      </c>
      <c r="E29">
        <v>20</v>
      </c>
      <c r="F29">
        <v>4</v>
      </c>
      <c r="G29">
        <v>1</v>
      </c>
    </row>
    <row r="30" spans="1:26">
      <c r="A30" s="21" t="s">
        <v>1523</v>
      </c>
      <c r="B30">
        <v>71</v>
      </c>
      <c r="C30">
        <v>198</v>
      </c>
      <c r="D30">
        <v>6.5</v>
      </c>
      <c r="E30">
        <v>142</v>
      </c>
      <c r="F30">
        <v>40</v>
      </c>
      <c r="G30">
        <v>8</v>
      </c>
    </row>
    <row r="31" spans="1:26">
      <c r="A31" s="21" t="s">
        <v>1614</v>
      </c>
      <c r="B31">
        <v>63</v>
      </c>
      <c r="C31">
        <v>237</v>
      </c>
      <c r="D31">
        <v>7</v>
      </c>
      <c r="E31">
        <v>174</v>
      </c>
      <c r="F31">
        <v>79</v>
      </c>
      <c r="G31">
        <v>32</v>
      </c>
    </row>
    <row r="32" spans="1:26">
      <c r="A32" s="21" t="s">
        <v>1626</v>
      </c>
      <c r="B32">
        <v>5</v>
      </c>
      <c r="C32">
        <v>13</v>
      </c>
      <c r="D32">
        <v>8.5</v>
      </c>
      <c r="E32">
        <v>31</v>
      </c>
      <c r="F32">
        <v>4</v>
      </c>
      <c r="G32">
        <v>4</v>
      </c>
    </row>
    <row r="33" spans="1:7">
      <c r="A33" s="21" t="s">
        <v>1684</v>
      </c>
      <c r="B33">
        <v>17</v>
      </c>
      <c r="C33">
        <v>36</v>
      </c>
      <c r="D33">
        <v>6.6</v>
      </c>
      <c r="E33">
        <v>20</v>
      </c>
      <c r="F33">
        <v>8</v>
      </c>
      <c r="G33">
        <v>8</v>
      </c>
    </row>
    <row r="34" spans="1:7">
      <c r="A34" s="21" t="s">
        <v>1707</v>
      </c>
      <c r="B34">
        <v>154</v>
      </c>
      <c r="C34">
        <v>357</v>
      </c>
      <c r="D34">
        <v>11.5</v>
      </c>
      <c r="E34">
        <v>154</v>
      </c>
      <c r="F34">
        <v>63</v>
      </c>
      <c r="G34">
        <v>98</v>
      </c>
    </row>
    <row r="35" spans="1:7">
      <c r="A35" s="21" t="s">
        <v>1715</v>
      </c>
      <c r="B35">
        <v>41</v>
      </c>
      <c r="C35">
        <v>138</v>
      </c>
      <c r="D35">
        <v>6.1</v>
      </c>
      <c r="E35">
        <v>41</v>
      </c>
      <c r="F35">
        <v>23</v>
      </c>
      <c r="G35">
        <v>23</v>
      </c>
    </row>
    <row r="36" spans="1:7">
      <c r="A36" s="21" t="s">
        <v>1753</v>
      </c>
      <c r="B36">
        <v>14</v>
      </c>
      <c r="C36">
        <v>25</v>
      </c>
      <c r="D36">
        <v>5.0999999999999996</v>
      </c>
      <c r="E36">
        <v>65</v>
      </c>
      <c r="F36">
        <v>32</v>
      </c>
      <c r="G36">
        <v>4</v>
      </c>
    </row>
    <row r="37" spans="1:7">
      <c r="A37" s="21" t="s">
        <v>1810</v>
      </c>
      <c r="B37">
        <v>31</v>
      </c>
      <c r="C37">
        <v>87</v>
      </c>
      <c r="D37">
        <v>8.6999999999999993</v>
      </c>
      <c r="E37">
        <v>56</v>
      </c>
      <c r="F37">
        <v>25</v>
      </c>
      <c r="G37">
        <v>11</v>
      </c>
    </row>
    <row r="38" spans="1:7">
      <c r="A38" s="21" t="s">
        <v>1816</v>
      </c>
      <c r="B38">
        <v>35</v>
      </c>
      <c r="C38">
        <v>123</v>
      </c>
      <c r="D38">
        <v>10.1</v>
      </c>
      <c r="E38">
        <v>114</v>
      </c>
      <c r="F38">
        <v>26</v>
      </c>
      <c r="G38">
        <v>13</v>
      </c>
    </row>
    <row r="39" spans="1:7">
      <c r="A39" s="21" t="s">
        <v>1832</v>
      </c>
      <c r="B39">
        <v>60</v>
      </c>
      <c r="C39">
        <v>162</v>
      </c>
      <c r="D39">
        <v>8.4</v>
      </c>
      <c r="E39">
        <v>120</v>
      </c>
      <c r="F39">
        <v>36</v>
      </c>
      <c r="G39">
        <v>12</v>
      </c>
    </row>
    <row r="40" spans="1:7">
      <c r="A40" s="21" t="s">
        <v>1834</v>
      </c>
      <c r="B40">
        <v>3</v>
      </c>
      <c r="C40">
        <v>6</v>
      </c>
      <c r="D40">
        <v>2.4</v>
      </c>
      <c r="E40">
        <v>12</v>
      </c>
      <c r="F40">
        <v>3</v>
      </c>
      <c r="G40">
        <v>1</v>
      </c>
    </row>
    <row r="41" spans="1:7">
      <c r="A41" s="21" t="s">
        <v>1855</v>
      </c>
      <c r="B41">
        <v>63</v>
      </c>
      <c r="C41">
        <v>227</v>
      </c>
      <c r="D41">
        <v>8.1</v>
      </c>
      <c r="E41">
        <v>82</v>
      </c>
      <c r="F41">
        <v>63</v>
      </c>
      <c r="G41">
        <v>25</v>
      </c>
    </row>
    <row r="42" spans="1:7">
      <c r="A42" s="20" t="s">
        <v>1187</v>
      </c>
      <c r="B42">
        <v>933</v>
      </c>
      <c r="C42">
        <v>2776</v>
      </c>
      <c r="D42">
        <v>157</v>
      </c>
      <c r="E42">
        <v>2147</v>
      </c>
      <c r="F42">
        <v>583</v>
      </c>
      <c r="G42">
        <v>466</v>
      </c>
    </row>
    <row r="43" spans="1:7">
      <c r="A43" s="21" t="s">
        <v>1301</v>
      </c>
      <c r="B43">
        <v>78</v>
      </c>
      <c r="C43">
        <v>288</v>
      </c>
      <c r="D43">
        <v>9.1</v>
      </c>
      <c r="E43">
        <v>126</v>
      </c>
      <c r="F43">
        <v>36</v>
      </c>
      <c r="G43">
        <v>54</v>
      </c>
    </row>
    <row r="44" spans="1:7">
      <c r="A44" s="21" t="s">
        <v>1329</v>
      </c>
      <c r="B44">
        <v>19</v>
      </c>
      <c r="C44">
        <v>47</v>
      </c>
      <c r="D44">
        <v>7.4</v>
      </c>
      <c r="E44">
        <v>34</v>
      </c>
      <c r="F44">
        <v>16</v>
      </c>
      <c r="G44">
        <v>3</v>
      </c>
    </row>
    <row r="45" spans="1:7">
      <c r="A45" s="21" t="s">
        <v>1429</v>
      </c>
      <c r="B45">
        <v>68</v>
      </c>
      <c r="C45">
        <v>274</v>
      </c>
      <c r="D45">
        <v>10.6</v>
      </c>
      <c r="E45">
        <v>365</v>
      </c>
      <c r="F45">
        <v>68</v>
      </c>
      <c r="G45">
        <v>84</v>
      </c>
    </row>
    <row r="46" spans="1:7">
      <c r="A46" s="21" t="s">
        <v>1444</v>
      </c>
      <c r="B46">
        <v>10</v>
      </c>
      <c r="C46">
        <v>30</v>
      </c>
      <c r="D46">
        <v>7.8</v>
      </c>
      <c r="E46">
        <v>13</v>
      </c>
      <c r="F46">
        <v>5</v>
      </c>
      <c r="G46">
        <v>3</v>
      </c>
    </row>
    <row r="47" spans="1:7">
      <c r="A47" s="21" t="s">
        <v>1542</v>
      </c>
      <c r="B47">
        <v>82</v>
      </c>
      <c r="C47">
        <v>284</v>
      </c>
      <c r="D47">
        <v>11.4</v>
      </c>
      <c r="E47">
        <v>284</v>
      </c>
      <c r="F47">
        <v>76</v>
      </c>
      <c r="G47">
        <v>19</v>
      </c>
    </row>
    <row r="48" spans="1:7">
      <c r="A48" s="21" t="s">
        <v>1550</v>
      </c>
      <c r="B48">
        <v>50</v>
      </c>
      <c r="C48">
        <v>576</v>
      </c>
      <c r="D48">
        <v>15.8</v>
      </c>
      <c r="E48">
        <v>432</v>
      </c>
      <c r="F48">
        <v>79</v>
      </c>
      <c r="G48">
        <v>36</v>
      </c>
    </row>
    <row r="49" spans="1:7">
      <c r="A49" s="21" t="s">
        <v>1552</v>
      </c>
      <c r="B49">
        <v>2</v>
      </c>
      <c r="C49">
        <v>11</v>
      </c>
      <c r="D49">
        <v>7.9</v>
      </c>
      <c r="E49">
        <v>13</v>
      </c>
      <c r="F49">
        <v>5</v>
      </c>
      <c r="G49">
        <v>2</v>
      </c>
    </row>
    <row r="50" spans="1:7">
      <c r="A50" s="21" t="s">
        <v>1581</v>
      </c>
      <c r="B50">
        <v>21</v>
      </c>
      <c r="C50">
        <v>47</v>
      </c>
      <c r="D50">
        <v>4.5</v>
      </c>
      <c r="E50">
        <v>21</v>
      </c>
      <c r="F50">
        <v>10</v>
      </c>
      <c r="G50">
        <v>10</v>
      </c>
    </row>
    <row r="51" spans="1:7">
      <c r="A51" s="21" t="s">
        <v>1590</v>
      </c>
      <c r="B51">
        <v>74</v>
      </c>
      <c r="C51">
        <v>186</v>
      </c>
      <c r="D51">
        <v>8.8000000000000007</v>
      </c>
      <c r="E51">
        <v>242</v>
      </c>
      <c r="F51">
        <v>68</v>
      </c>
      <c r="G51">
        <v>25</v>
      </c>
    </row>
    <row r="52" spans="1:7">
      <c r="A52" s="21" t="s">
        <v>1634</v>
      </c>
      <c r="B52">
        <v>67</v>
      </c>
      <c r="C52">
        <v>214</v>
      </c>
      <c r="D52">
        <v>13.2</v>
      </c>
      <c r="E52">
        <v>88</v>
      </c>
      <c r="F52">
        <v>29</v>
      </c>
      <c r="G52">
        <v>63</v>
      </c>
    </row>
    <row r="53" spans="1:7">
      <c r="A53" s="21" t="s">
        <v>1658</v>
      </c>
      <c r="B53">
        <v>190</v>
      </c>
      <c r="C53">
        <v>197</v>
      </c>
      <c r="D53">
        <v>11.4</v>
      </c>
      <c r="E53">
        <v>117</v>
      </c>
      <c r="F53">
        <v>37</v>
      </c>
      <c r="G53">
        <v>73</v>
      </c>
    </row>
    <row r="54" spans="1:7">
      <c r="A54" s="21" t="s">
        <v>1691</v>
      </c>
      <c r="B54">
        <v>2</v>
      </c>
      <c r="C54">
        <v>7</v>
      </c>
      <c r="D54">
        <v>8.8000000000000007</v>
      </c>
      <c r="E54">
        <v>0</v>
      </c>
      <c r="F54">
        <v>2</v>
      </c>
      <c r="G54">
        <v>1</v>
      </c>
    </row>
    <row r="55" spans="1:7">
      <c r="A55" s="21" t="s">
        <v>1705</v>
      </c>
      <c r="B55">
        <v>87</v>
      </c>
      <c r="C55">
        <v>149</v>
      </c>
      <c r="D55">
        <v>10.199999999999999</v>
      </c>
      <c r="E55">
        <v>43</v>
      </c>
      <c r="F55">
        <v>19</v>
      </c>
      <c r="G55">
        <v>43</v>
      </c>
    </row>
    <row r="56" spans="1:7">
      <c r="A56" s="21" t="s">
        <v>1739</v>
      </c>
      <c r="B56">
        <v>104</v>
      </c>
      <c r="C56">
        <v>208</v>
      </c>
      <c r="D56">
        <v>11.6</v>
      </c>
      <c r="E56">
        <v>280</v>
      </c>
      <c r="F56">
        <v>72</v>
      </c>
      <c r="G56">
        <v>16</v>
      </c>
    </row>
    <row r="57" spans="1:7">
      <c r="A57" s="21" t="s">
        <v>1770</v>
      </c>
      <c r="B57">
        <v>43</v>
      </c>
      <c r="C57">
        <v>178</v>
      </c>
      <c r="D57">
        <v>8.3000000000000007</v>
      </c>
      <c r="E57">
        <v>64</v>
      </c>
      <c r="F57">
        <v>43</v>
      </c>
      <c r="G57">
        <v>14</v>
      </c>
    </row>
    <row r="58" spans="1:7">
      <c r="A58" s="21" t="s">
        <v>1809</v>
      </c>
      <c r="B58">
        <v>26</v>
      </c>
      <c r="C58">
        <v>47</v>
      </c>
      <c r="D58">
        <v>8</v>
      </c>
      <c r="E58">
        <v>18</v>
      </c>
      <c r="F58">
        <v>8</v>
      </c>
      <c r="G58">
        <v>13</v>
      </c>
    </row>
    <row r="59" spans="1:7">
      <c r="A59" s="21" t="s">
        <v>1846</v>
      </c>
      <c r="B59">
        <v>10</v>
      </c>
      <c r="C59">
        <v>33</v>
      </c>
      <c r="D59">
        <v>2.2000000000000002</v>
      </c>
      <c r="E59">
        <v>7</v>
      </c>
      <c r="F59">
        <v>10</v>
      </c>
      <c r="G59">
        <v>7</v>
      </c>
    </row>
    <row r="60" spans="1:7">
      <c r="A60" s="20" t="s">
        <v>1189</v>
      </c>
      <c r="B60">
        <v>978</v>
      </c>
      <c r="C60">
        <v>2629</v>
      </c>
      <c r="D60">
        <v>186.10000000000005</v>
      </c>
      <c r="E60">
        <v>1818</v>
      </c>
      <c r="F60">
        <v>590</v>
      </c>
      <c r="G60">
        <v>345</v>
      </c>
    </row>
    <row r="61" spans="1:7">
      <c r="A61" s="21" t="s">
        <v>1347</v>
      </c>
      <c r="B61">
        <v>24</v>
      </c>
      <c r="C61">
        <v>105</v>
      </c>
      <c r="D61">
        <v>10</v>
      </c>
      <c r="E61">
        <v>97</v>
      </c>
      <c r="F61">
        <v>30</v>
      </c>
      <c r="G61">
        <v>19</v>
      </c>
    </row>
    <row r="62" spans="1:7">
      <c r="A62" s="21" t="s">
        <v>1401</v>
      </c>
      <c r="B62">
        <v>14</v>
      </c>
      <c r="C62">
        <v>36</v>
      </c>
      <c r="D62">
        <v>5.0999999999999996</v>
      </c>
      <c r="E62">
        <v>56</v>
      </c>
      <c r="F62">
        <v>15</v>
      </c>
      <c r="G62">
        <v>2</v>
      </c>
    </row>
    <row r="63" spans="1:7">
      <c r="A63" s="21" t="s">
        <v>1408</v>
      </c>
      <c r="B63">
        <v>38</v>
      </c>
      <c r="C63">
        <v>99</v>
      </c>
      <c r="D63">
        <v>4.5999999999999996</v>
      </c>
      <c r="E63">
        <v>52</v>
      </c>
      <c r="F63">
        <v>28</v>
      </c>
      <c r="G63">
        <v>24</v>
      </c>
    </row>
    <row r="64" spans="1:7">
      <c r="A64" s="21" t="s">
        <v>1472</v>
      </c>
      <c r="B64">
        <v>18</v>
      </c>
      <c r="C64">
        <v>64</v>
      </c>
      <c r="D64">
        <v>7.6</v>
      </c>
      <c r="E64">
        <v>37</v>
      </c>
      <c r="F64">
        <v>18</v>
      </c>
      <c r="G64">
        <v>13</v>
      </c>
    </row>
    <row r="65" spans="1:7">
      <c r="A65" s="21" t="s">
        <v>1492</v>
      </c>
      <c r="B65">
        <v>14</v>
      </c>
      <c r="C65">
        <v>18</v>
      </c>
      <c r="D65">
        <v>7.7</v>
      </c>
      <c r="E65">
        <v>28</v>
      </c>
      <c r="F65">
        <v>12</v>
      </c>
      <c r="G65">
        <v>0</v>
      </c>
    </row>
    <row r="66" spans="1:7">
      <c r="A66" s="21" t="s">
        <v>1546</v>
      </c>
      <c r="B66">
        <v>3</v>
      </c>
      <c r="C66">
        <v>3</v>
      </c>
      <c r="D66">
        <v>5.7</v>
      </c>
      <c r="E66">
        <v>12</v>
      </c>
      <c r="F66">
        <v>3</v>
      </c>
      <c r="G66">
        <v>1</v>
      </c>
    </row>
    <row r="67" spans="1:7">
      <c r="A67" s="21" t="s">
        <v>1585</v>
      </c>
      <c r="B67">
        <v>54</v>
      </c>
      <c r="C67">
        <v>116</v>
      </c>
      <c r="D67">
        <v>4.3</v>
      </c>
      <c r="E67">
        <v>109</v>
      </c>
      <c r="F67">
        <v>75</v>
      </c>
      <c r="G67">
        <v>14</v>
      </c>
    </row>
    <row r="68" spans="1:7">
      <c r="A68" s="21" t="s">
        <v>1588</v>
      </c>
      <c r="B68">
        <v>44</v>
      </c>
      <c r="C68">
        <v>68</v>
      </c>
      <c r="D68">
        <v>10</v>
      </c>
      <c r="E68">
        <v>32</v>
      </c>
      <c r="F68">
        <v>48</v>
      </c>
      <c r="G68">
        <v>20</v>
      </c>
    </row>
    <row r="69" spans="1:7">
      <c r="A69" s="21" t="s">
        <v>1599</v>
      </c>
      <c r="B69">
        <v>87</v>
      </c>
      <c r="C69">
        <v>311</v>
      </c>
      <c r="D69">
        <v>11.6</v>
      </c>
      <c r="E69">
        <v>117</v>
      </c>
      <c r="F69">
        <v>41</v>
      </c>
      <c r="G69">
        <v>36</v>
      </c>
    </row>
    <row r="70" spans="1:7">
      <c r="A70" s="21" t="s">
        <v>1628</v>
      </c>
      <c r="B70">
        <v>40</v>
      </c>
      <c r="C70">
        <v>68</v>
      </c>
      <c r="D70">
        <v>6</v>
      </c>
      <c r="E70">
        <v>112</v>
      </c>
      <c r="F70">
        <v>32</v>
      </c>
      <c r="G70">
        <v>7</v>
      </c>
    </row>
    <row r="71" spans="1:7">
      <c r="A71" s="21" t="s">
        <v>1643</v>
      </c>
      <c r="B71">
        <v>47</v>
      </c>
      <c r="C71">
        <v>183</v>
      </c>
      <c r="D71">
        <v>12.7</v>
      </c>
      <c r="E71">
        <v>348</v>
      </c>
      <c r="F71">
        <v>52</v>
      </c>
      <c r="G71">
        <v>14</v>
      </c>
    </row>
    <row r="72" spans="1:7">
      <c r="A72" s="21" t="s">
        <v>1661</v>
      </c>
      <c r="B72">
        <v>3</v>
      </c>
      <c r="C72">
        <v>4</v>
      </c>
      <c r="D72">
        <v>8.4</v>
      </c>
      <c r="E72">
        <v>7</v>
      </c>
      <c r="F72">
        <v>3</v>
      </c>
      <c r="G72">
        <v>0</v>
      </c>
    </row>
    <row r="73" spans="1:7">
      <c r="A73" s="21" t="s">
        <v>1668</v>
      </c>
      <c r="B73">
        <v>1</v>
      </c>
      <c r="C73">
        <v>5</v>
      </c>
      <c r="D73">
        <v>5.7</v>
      </c>
      <c r="E73">
        <v>13</v>
      </c>
      <c r="F73">
        <v>3</v>
      </c>
      <c r="G73">
        <v>2</v>
      </c>
    </row>
    <row r="74" spans="1:7">
      <c r="A74" s="21" t="s">
        <v>1672</v>
      </c>
      <c r="B74">
        <v>132</v>
      </c>
      <c r="C74">
        <v>317</v>
      </c>
      <c r="D74">
        <v>15.6</v>
      </c>
      <c r="E74">
        <v>110</v>
      </c>
      <c r="F74">
        <v>31</v>
      </c>
      <c r="G74">
        <v>53</v>
      </c>
    </row>
    <row r="75" spans="1:7">
      <c r="A75" s="21" t="s">
        <v>1689</v>
      </c>
      <c r="B75">
        <v>70</v>
      </c>
      <c r="C75">
        <v>410</v>
      </c>
      <c r="D75">
        <v>13.5</v>
      </c>
      <c r="E75">
        <v>250</v>
      </c>
      <c r="F75">
        <v>45</v>
      </c>
      <c r="G75">
        <v>45</v>
      </c>
    </row>
    <row r="76" spans="1:7">
      <c r="A76" s="21" t="s">
        <v>1699</v>
      </c>
      <c r="B76">
        <v>185</v>
      </c>
      <c r="C76">
        <v>249</v>
      </c>
      <c r="D76">
        <v>11.5</v>
      </c>
      <c r="E76">
        <v>57</v>
      </c>
      <c r="F76">
        <v>43</v>
      </c>
      <c r="G76">
        <v>43</v>
      </c>
    </row>
    <row r="77" spans="1:7">
      <c r="A77" s="21" t="s">
        <v>1709</v>
      </c>
      <c r="B77">
        <v>12</v>
      </c>
      <c r="C77">
        <v>114</v>
      </c>
      <c r="D77">
        <v>6.4</v>
      </c>
      <c r="E77">
        <v>144</v>
      </c>
      <c r="F77">
        <v>18</v>
      </c>
      <c r="G77">
        <v>6</v>
      </c>
    </row>
    <row r="78" spans="1:7">
      <c r="A78" s="21" t="s">
        <v>1777</v>
      </c>
      <c r="B78">
        <v>27</v>
      </c>
      <c r="C78">
        <v>88</v>
      </c>
      <c r="D78">
        <v>8.3000000000000007</v>
      </c>
      <c r="E78">
        <v>61</v>
      </c>
      <c r="F78">
        <v>27</v>
      </c>
      <c r="G78">
        <v>7</v>
      </c>
    </row>
    <row r="79" spans="1:7">
      <c r="A79" s="21" t="s">
        <v>1792</v>
      </c>
      <c r="B79">
        <v>52</v>
      </c>
      <c r="C79">
        <v>70</v>
      </c>
      <c r="D79">
        <v>6.8</v>
      </c>
      <c r="E79">
        <v>22</v>
      </c>
      <c r="F79">
        <v>7</v>
      </c>
      <c r="G79">
        <v>19</v>
      </c>
    </row>
    <row r="80" spans="1:7">
      <c r="A80" s="21" t="s">
        <v>1804</v>
      </c>
      <c r="B80">
        <v>72</v>
      </c>
      <c r="C80">
        <v>210</v>
      </c>
      <c r="D80">
        <v>6.5</v>
      </c>
      <c r="E80">
        <v>72</v>
      </c>
      <c r="F80">
        <v>30</v>
      </c>
      <c r="G80">
        <v>12</v>
      </c>
    </row>
    <row r="81" spans="1:7">
      <c r="A81" s="21" t="s">
        <v>1815</v>
      </c>
      <c r="B81">
        <v>12</v>
      </c>
      <c r="C81">
        <v>26</v>
      </c>
      <c r="D81">
        <v>9.8000000000000007</v>
      </c>
      <c r="E81">
        <v>39</v>
      </c>
      <c r="F81">
        <v>7</v>
      </c>
      <c r="G81">
        <v>4</v>
      </c>
    </row>
    <row r="82" spans="1:7">
      <c r="A82" s="21" t="s">
        <v>1845</v>
      </c>
      <c r="B82">
        <v>29</v>
      </c>
      <c r="C82">
        <v>65</v>
      </c>
      <c r="D82">
        <v>8.3000000000000007</v>
      </c>
      <c r="E82">
        <v>43</v>
      </c>
      <c r="F82">
        <v>22</v>
      </c>
      <c r="G82">
        <v>4</v>
      </c>
    </row>
    <row r="83" spans="1:7">
      <c r="A83" s="20" t="s">
        <v>1191</v>
      </c>
      <c r="B83">
        <v>868</v>
      </c>
      <c r="C83">
        <v>2942</v>
      </c>
      <c r="D83">
        <v>182.09999999999997</v>
      </c>
      <c r="E83">
        <v>2425</v>
      </c>
      <c r="F83">
        <v>658</v>
      </c>
      <c r="G83">
        <v>411</v>
      </c>
    </row>
    <row r="84" spans="1:7">
      <c r="A84" s="21" t="s">
        <v>1296</v>
      </c>
      <c r="B84">
        <v>5</v>
      </c>
      <c r="C84">
        <v>1</v>
      </c>
      <c r="D84">
        <v>7.8</v>
      </c>
      <c r="E84">
        <v>1</v>
      </c>
      <c r="F84">
        <v>0</v>
      </c>
      <c r="G84">
        <v>0</v>
      </c>
    </row>
    <row r="85" spans="1:7">
      <c r="A85" s="21" t="s">
        <v>1327</v>
      </c>
      <c r="B85">
        <v>28</v>
      </c>
      <c r="C85">
        <v>133</v>
      </c>
      <c r="D85">
        <v>8.4</v>
      </c>
      <c r="E85">
        <v>207</v>
      </c>
      <c r="F85">
        <v>41</v>
      </c>
      <c r="G85">
        <v>18</v>
      </c>
    </row>
    <row r="86" spans="1:7">
      <c r="A86" s="21" t="s">
        <v>1373</v>
      </c>
      <c r="B86">
        <v>5</v>
      </c>
      <c r="C86">
        <v>15</v>
      </c>
      <c r="D86">
        <v>12.7</v>
      </c>
      <c r="E86">
        <v>9</v>
      </c>
      <c r="F86">
        <v>0</v>
      </c>
      <c r="G86">
        <v>0</v>
      </c>
    </row>
    <row r="87" spans="1:7">
      <c r="A87" s="21" t="s">
        <v>1381</v>
      </c>
      <c r="B87">
        <v>22</v>
      </c>
      <c r="C87">
        <v>252</v>
      </c>
      <c r="D87">
        <v>10.3</v>
      </c>
      <c r="E87">
        <v>333</v>
      </c>
      <c r="F87">
        <v>67</v>
      </c>
      <c r="G87">
        <v>15</v>
      </c>
    </row>
    <row r="88" spans="1:7">
      <c r="A88" s="21" t="s">
        <v>1398</v>
      </c>
      <c r="B88">
        <v>37</v>
      </c>
      <c r="C88">
        <v>88</v>
      </c>
      <c r="D88">
        <v>5.6</v>
      </c>
      <c r="E88">
        <v>95</v>
      </c>
      <c r="F88">
        <v>44</v>
      </c>
      <c r="G88">
        <v>15</v>
      </c>
    </row>
    <row r="89" spans="1:7">
      <c r="A89" s="21" t="s">
        <v>1451</v>
      </c>
      <c r="B89">
        <v>4</v>
      </c>
      <c r="C89">
        <v>6</v>
      </c>
      <c r="D89">
        <v>4.7</v>
      </c>
      <c r="E89">
        <v>4</v>
      </c>
      <c r="F89">
        <v>1</v>
      </c>
      <c r="G89">
        <v>1</v>
      </c>
    </row>
    <row r="90" spans="1:7">
      <c r="A90" s="21" t="s">
        <v>1454</v>
      </c>
      <c r="B90">
        <v>4</v>
      </c>
      <c r="C90">
        <v>4</v>
      </c>
      <c r="D90">
        <v>9.1999999999999993</v>
      </c>
      <c r="E90">
        <v>2</v>
      </c>
      <c r="F90">
        <v>1</v>
      </c>
      <c r="G90">
        <v>0</v>
      </c>
    </row>
    <row r="91" spans="1:7">
      <c r="A91" s="21" t="s">
        <v>1507</v>
      </c>
      <c r="B91">
        <v>1</v>
      </c>
      <c r="C91">
        <v>2</v>
      </c>
      <c r="D91">
        <v>10</v>
      </c>
      <c r="E91">
        <v>6</v>
      </c>
      <c r="F91">
        <v>0</v>
      </c>
      <c r="G91">
        <v>0</v>
      </c>
    </row>
    <row r="92" spans="1:7">
      <c r="A92" s="21" t="s">
        <v>1520</v>
      </c>
      <c r="B92">
        <v>90</v>
      </c>
      <c r="C92">
        <v>269</v>
      </c>
      <c r="D92">
        <v>13.3</v>
      </c>
      <c r="E92">
        <v>64</v>
      </c>
      <c r="F92">
        <v>19</v>
      </c>
      <c r="G92">
        <v>45</v>
      </c>
    </row>
    <row r="93" spans="1:7">
      <c r="A93" s="21" t="s">
        <v>1561</v>
      </c>
      <c r="B93">
        <v>4</v>
      </c>
      <c r="C93">
        <v>36</v>
      </c>
      <c r="D93">
        <v>8.1999999999999993</v>
      </c>
      <c r="E93">
        <v>40</v>
      </c>
      <c r="F93">
        <v>14</v>
      </c>
      <c r="G93">
        <v>4</v>
      </c>
    </row>
    <row r="94" spans="1:7">
      <c r="A94" s="21" t="s">
        <v>1584</v>
      </c>
      <c r="B94">
        <v>126</v>
      </c>
      <c r="C94">
        <v>441</v>
      </c>
      <c r="D94">
        <v>13</v>
      </c>
      <c r="E94">
        <v>504</v>
      </c>
      <c r="F94">
        <v>84</v>
      </c>
      <c r="G94">
        <v>42</v>
      </c>
    </row>
    <row r="95" spans="1:7">
      <c r="A95" s="21" t="s">
        <v>1593</v>
      </c>
      <c r="B95">
        <v>63</v>
      </c>
      <c r="C95">
        <v>103</v>
      </c>
      <c r="D95">
        <v>5.5</v>
      </c>
      <c r="E95">
        <v>40</v>
      </c>
      <c r="F95">
        <v>40</v>
      </c>
      <c r="G95">
        <v>24</v>
      </c>
    </row>
    <row r="96" spans="1:7">
      <c r="A96" s="21" t="s">
        <v>1618</v>
      </c>
      <c r="B96">
        <v>28</v>
      </c>
      <c r="C96">
        <v>173</v>
      </c>
      <c r="D96">
        <v>7.3</v>
      </c>
      <c r="E96">
        <v>159</v>
      </c>
      <c r="F96">
        <v>69</v>
      </c>
      <c r="G96">
        <v>21</v>
      </c>
    </row>
    <row r="97" spans="1:7">
      <c r="A97" s="21" t="s">
        <v>1653</v>
      </c>
      <c r="B97">
        <v>25</v>
      </c>
      <c r="C97">
        <v>95</v>
      </c>
      <c r="D97">
        <v>7.8</v>
      </c>
      <c r="E97">
        <v>116</v>
      </c>
      <c r="F97">
        <v>46</v>
      </c>
      <c r="G97">
        <v>18</v>
      </c>
    </row>
    <row r="98" spans="1:7">
      <c r="A98" s="21" t="s">
        <v>1678</v>
      </c>
      <c r="B98">
        <v>56</v>
      </c>
      <c r="C98">
        <v>224</v>
      </c>
      <c r="D98">
        <v>7.9</v>
      </c>
      <c r="E98">
        <v>80</v>
      </c>
      <c r="F98">
        <v>32</v>
      </c>
      <c r="G98">
        <v>72</v>
      </c>
    </row>
    <row r="99" spans="1:7">
      <c r="A99" s="21" t="s">
        <v>1714</v>
      </c>
      <c r="B99">
        <v>175</v>
      </c>
      <c r="C99">
        <v>555</v>
      </c>
      <c r="D99">
        <v>13.6</v>
      </c>
      <c r="E99">
        <v>256</v>
      </c>
      <c r="F99">
        <v>58</v>
      </c>
      <c r="G99">
        <v>51</v>
      </c>
    </row>
    <row r="100" spans="1:7">
      <c r="A100" s="21" t="s">
        <v>1735</v>
      </c>
      <c r="B100">
        <v>44</v>
      </c>
      <c r="C100">
        <v>195</v>
      </c>
      <c r="D100">
        <v>6.2</v>
      </c>
      <c r="E100">
        <v>126</v>
      </c>
      <c r="F100">
        <v>50</v>
      </c>
      <c r="G100">
        <v>32</v>
      </c>
    </row>
    <row r="101" spans="1:7">
      <c r="A101" s="21" t="s">
        <v>1793</v>
      </c>
      <c r="B101">
        <v>17</v>
      </c>
      <c r="C101">
        <v>81</v>
      </c>
      <c r="D101">
        <v>9</v>
      </c>
      <c r="E101">
        <v>81</v>
      </c>
      <c r="F101">
        <v>23</v>
      </c>
      <c r="G101">
        <v>12</v>
      </c>
    </row>
    <row r="102" spans="1:7">
      <c r="A102" s="21" t="s">
        <v>1814</v>
      </c>
      <c r="B102">
        <v>32</v>
      </c>
      <c r="C102">
        <v>83</v>
      </c>
      <c r="D102">
        <v>11</v>
      </c>
      <c r="E102">
        <v>193</v>
      </c>
      <c r="F102">
        <v>37</v>
      </c>
      <c r="G102">
        <v>9</v>
      </c>
    </row>
    <row r="103" spans="1:7">
      <c r="A103" s="21" t="s">
        <v>1851</v>
      </c>
      <c r="B103">
        <v>102</v>
      </c>
      <c r="C103">
        <v>186</v>
      </c>
      <c r="D103">
        <v>10.6</v>
      </c>
      <c r="E103">
        <v>109</v>
      </c>
      <c r="F103">
        <v>32</v>
      </c>
      <c r="G103">
        <v>32</v>
      </c>
    </row>
    <row r="104" spans="1:7">
      <c r="A104" s="20" t="s">
        <v>1193</v>
      </c>
      <c r="B104">
        <v>955</v>
      </c>
      <c r="C104">
        <v>2838</v>
      </c>
      <c r="D104">
        <v>167.30000000000004</v>
      </c>
      <c r="E104">
        <v>2203</v>
      </c>
      <c r="F104">
        <v>705</v>
      </c>
      <c r="G104">
        <v>355</v>
      </c>
    </row>
    <row r="105" spans="1:7">
      <c r="A105" s="21" t="s">
        <v>1378</v>
      </c>
      <c r="B105">
        <v>21</v>
      </c>
      <c r="C105">
        <v>26</v>
      </c>
      <c r="D105">
        <v>8.9</v>
      </c>
      <c r="E105">
        <v>15</v>
      </c>
      <c r="F105">
        <v>5</v>
      </c>
      <c r="G105">
        <v>4</v>
      </c>
    </row>
    <row r="106" spans="1:7">
      <c r="A106" s="21" t="s">
        <v>1392</v>
      </c>
      <c r="B106">
        <v>20</v>
      </c>
      <c r="C106">
        <v>46</v>
      </c>
      <c r="D106">
        <v>9.1</v>
      </c>
      <c r="E106">
        <v>71</v>
      </c>
      <c r="F106">
        <v>15</v>
      </c>
      <c r="G106">
        <v>15</v>
      </c>
    </row>
    <row r="107" spans="1:7">
      <c r="A107" s="21" t="s">
        <v>1411</v>
      </c>
      <c r="B107">
        <v>45</v>
      </c>
      <c r="C107">
        <v>165</v>
      </c>
      <c r="D107">
        <v>12.6</v>
      </c>
      <c r="E107">
        <v>503</v>
      </c>
      <c r="F107">
        <v>90</v>
      </c>
      <c r="G107">
        <v>8</v>
      </c>
    </row>
    <row r="108" spans="1:7">
      <c r="A108" s="21" t="s">
        <v>1417</v>
      </c>
      <c r="B108">
        <v>53</v>
      </c>
      <c r="C108">
        <v>201</v>
      </c>
      <c r="D108">
        <v>6.7</v>
      </c>
      <c r="E108">
        <v>77</v>
      </c>
      <c r="F108">
        <v>41</v>
      </c>
      <c r="G108">
        <v>18</v>
      </c>
    </row>
    <row r="109" spans="1:7">
      <c r="A109" s="21" t="s">
        <v>1419</v>
      </c>
      <c r="B109">
        <v>45</v>
      </c>
      <c r="C109">
        <v>211</v>
      </c>
      <c r="D109">
        <v>10.1</v>
      </c>
      <c r="E109">
        <v>90</v>
      </c>
      <c r="F109">
        <v>51</v>
      </c>
      <c r="G109">
        <v>13</v>
      </c>
    </row>
    <row r="110" spans="1:7">
      <c r="A110" s="21" t="s">
        <v>1438</v>
      </c>
      <c r="B110">
        <v>57</v>
      </c>
      <c r="C110">
        <v>263</v>
      </c>
      <c r="D110">
        <v>13.7</v>
      </c>
      <c r="E110">
        <v>355</v>
      </c>
      <c r="F110">
        <v>92</v>
      </c>
      <c r="G110">
        <v>14</v>
      </c>
    </row>
    <row r="111" spans="1:7">
      <c r="A111" s="21" t="s">
        <v>1455</v>
      </c>
      <c r="B111">
        <v>0</v>
      </c>
      <c r="C111">
        <v>7</v>
      </c>
      <c r="D111">
        <v>8</v>
      </c>
      <c r="E111">
        <v>8</v>
      </c>
      <c r="F111">
        <v>1</v>
      </c>
      <c r="G111">
        <v>1</v>
      </c>
    </row>
    <row r="112" spans="1:7">
      <c r="A112" s="21" t="s">
        <v>1458</v>
      </c>
      <c r="B112">
        <v>163</v>
      </c>
      <c r="C112">
        <v>497</v>
      </c>
      <c r="D112">
        <v>15.1</v>
      </c>
      <c r="E112">
        <v>227</v>
      </c>
      <c r="F112">
        <v>64</v>
      </c>
      <c r="G112">
        <v>114</v>
      </c>
    </row>
    <row r="113" spans="1:7">
      <c r="A113" s="21" t="s">
        <v>1483</v>
      </c>
      <c r="B113">
        <v>50</v>
      </c>
      <c r="C113">
        <v>83</v>
      </c>
      <c r="D113">
        <v>5.7</v>
      </c>
      <c r="E113">
        <v>66</v>
      </c>
      <c r="F113">
        <v>33</v>
      </c>
      <c r="G113">
        <v>17</v>
      </c>
    </row>
    <row r="114" spans="1:7">
      <c r="A114" s="21" t="s">
        <v>1538</v>
      </c>
      <c r="B114">
        <v>213</v>
      </c>
      <c r="C114">
        <v>582</v>
      </c>
      <c r="D114">
        <v>14.8</v>
      </c>
      <c r="E114">
        <v>156</v>
      </c>
      <c r="F114">
        <v>74</v>
      </c>
      <c r="G114">
        <v>74</v>
      </c>
    </row>
    <row r="115" spans="1:7">
      <c r="A115" s="21" t="s">
        <v>1539</v>
      </c>
      <c r="B115">
        <v>61</v>
      </c>
      <c r="C115">
        <v>156</v>
      </c>
      <c r="D115">
        <v>6.4</v>
      </c>
      <c r="E115">
        <v>54</v>
      </c>
      <c r="F115">
        <v>68</v>
      </c>
      <c r="G115">
        <v>34</v>
      </c>
    </row>
    <row r="116" spans="1:7">
      <c r="A116" s="21" t="s">
        <v>1549</v>
      </c>
      <c r="B116">
        <v>38</v>
      </c>
      <c r="C116">
        <v>61</v>
      </c>
      <c r="D116">
        <v>7.5</v>
      </c>
      <c r="E116">
        <v>42</v>
      </c>
      <c r="F116">
        <v>14</v>
      </c>
      <c r="G116">
        <v>5</v>
      </c>
    </row>
    <row r="117" spans="1:7">
      <c r="A117" s="21" t="s">
        <v>1659</v>
      </c>
      <c r="B117">
        <v>8</v>
      </c>
      <c r="C117">
        <v>12</v>
      </c>
      <c r="D117">
        <v>2.2000000000000002</v>
      </c>
      <c r="E117">
        <v>8</v>
      </c>
      <c r="F117">
        <v>1</v>
      </c>
      <c r="G117">
        <v>1</v>
      </c>
    </row>
    <row r="118" spans="1:7">
      <c r="A118" s="21" t="s">
        <v>1682</v>
      </c>
      <c r="B118">
        <v>55</v>
      </c>
      <c r="C118">
        <v>165</v>
      </c>
      <c r="D118">
        <v>8.3000000000000007</v>
      </c>
      <c r="E118">
        <v>160</v>
      </c>
      <c r="F118">
        <v>25</v>
      </c>
      <c r="G118">
        <v>10</v>
      </c>
    </row>
    <row r="119" spans="1:7">
      <c r="A119" s="21" t="s">
        <v>1701</v>
      </c>
      <c r="B119">
        <v>9</v>
      </c>
      <c r="C119">
        <v>12</v>
      </c>
      <c r="D119">
        <v>9.6</v>
      </c>
      <c r="E119">
        <v>2</v>
      </c>
      <c r="F119">
        <v>0</v>
      </c>
      <c r="G119">
        <v>1</v>
      </c>
    </row>
    <row r="120" spans="1:7">
      <c r="A120" s="21" t="s">
        <v>1771</v>
      </c>
      <c r="B120">
        <v>36</v>
      </c>
      <c r="C120">
        <v>121</v>
      </c>
      <c r="D120">
        <v>6.9</v>
      </c>
      <c r="E120">
        <v>107</v>
      </c>
      <c r="F120">
        <v>50</v>
      </c>
      <c r="G120">
        <v>14</v>
      </c>
    </row>
    <row r="121" spans="1:7">
      <c r="A121" s="21" t="s">
        <v>1824</v>
      </c>
      <c r="B121">
        <v>32</v>
      </c>
      <c r="C121">
        <v>104</v>
      </c>
      <c r="D121">
        <v>8.3000000000000007</v>
      </c>
      <c r="E121">
        <v>24</v>
      </c>
      <c r="F121">
        <v>4</v>
      </c>
      <c r="G121">
        <v>12</v>
      </c>
    </row>
    <row r="122" spans="1:7">
      <c r="A122" s="21" t="s">
        <v>1827</v>
      </c>
      <c r="B122">
        <v>49</v>
      </c>
      <c r="C122">
        <v>126</v>
      </c>
      <c r="D122">
        <v>13.4</v>
      </c>
      <c r="E122">
        <v>238</v>
      </c>
      <c r="F122">
        <v>77</v>
      </c>
      <c r="G122">
        <v>0</v>
      </c>
    </row>
    <row r="123" spans="1:7">
      <c r="A123" s="20" t="s">
        <v>1195</v>
      </c>
      <c r="B123">
        <v>957</v>
      </c>
      <c r="C123">
        <v>2909</v>
      </c>
      <c r="D123">
        <v>188.79999999999998</v>
      </c>
      <c r="E123">
        <v>2034</v>
      </c>
      <c r="F123">
        <v>683</v>
      </c>
      <c r="G123">
        <v>568</v>
      </c>
    </row>
    <row r="124" spans="1:7">
      <c r="A124" s="21" t="s">
        <v>1318</v>
      </c>
      <c r="B124">
        <v>133</v>
      </c>
      <c r="C124">
        <v>454</v>
      </c>
      <c r="D124">
        <v>17.899999999999999</v>
      </c>
      <c r="E124">
        <v>179</v>
      </c>
      <c r="F124">
        <v>61</v>
      </c>
      <c r="G124">
        <v>112</v>
      </c>
    </row>
    <row r="125" spans="1:7">
      <c r="A125" s="21" t="s">
        <v>1348</v>
      </c>
      <c r="B125">
        <v>13</v>
      </c>
      <c r="C125">
        <v>46</v>
      </c>
      <c r="D125">
        <v>11.9</v>
      </c>
      <c r="E125">
        <v>76</v>
      </c>
      <c r="F125">
        <v>23</v>
      </c>
      <c r="G125">
        <v>7</v>
      </c>
    </row>
    <row r="126" spans="1:7">
      <c r="A126" s="21" t="s">
        <v>1360</v>
      </c>
      <c r="B126">
        <v>54</v>
      </c>
      <c r="C126">
        <v>126</v>
      </c>
      <c r="D126">
        <v>6.3</v>
      </c>
      <c r="E126">
        <v>95</v>
      </c>
      <c r="F126">
        <v>45</v>
      </c>
      <c r="G126">
        <v>23</v>
      </c>
    </row>
    <row r="127" spans="1:7">
      <c r="A127" s="21" t="s">
        <v>1404</v>
      </c>
      <c r="B127">
        <v>154</v>
      </c>
      <c r="C127">
        <v>234</v>
      </c>
      <c r="D127">
        <v>14.1</v>
      </c>
      <c r="E127">
        <v>80</v>
      </c>
      <c r="F127">
        <v>23</v>
      </c>
      <c r="G127">
        <v>103</v>
      </c>
    </row>
    <row r="128" spans="1:7">
      <c r="A128" s="21" t="s">
        <v>1407</v>
      </c>
      <c r="B128">
        <v>4</v>
      </c>
      <c r="C128">
        <v>30</v>
      </c>
      <c r="D128">
        <v>8.3000000000000007</v>
      </c>
      <c r="E128">
        <v>56</v>
      </c>
      <c r="F128">
        <v>12</v>
      </c>
      <c r="G128">
        <v>4</v>
      </c>
    </row>
    <row r="129" spans="1:7">
      <c r="A129" s="21" t="s">
        <v>1427</v>
      </c>
      <c r="B129">
        <v>104</v>
      </c>
      <c r="C129">
        <v>166</v>
      </c>
      <c r="D129">
        <v>12.4</v>
      </c>
      <c r="E129">
        <v>86</v>
      </c>
      <c r="F129">
        <v>22</v>
      </c>
      <c r="G129">
        <v>58</v>
      </c>
    </row>
    <row r="130" spans="1:7">
      <c r="A130" s="21" t="s">
        <v>1449</v>
      </c>
      <c r="B130">
        <v>50</v>
      </c>
      <c r="C130">
        <v>72</v>
      </c>
      <c r="D130">
        <v>7.3</v>
      </c>
      <c r="E130">
        <v>55</v>
      </c>
      <c r="F130">
        <v>17</v>
      </c>
      <c r="G130">
        <v>22</v>
      </c>
    </row>
    <row r="131" spans="1:7">
      <c r="A131" s="21" t="s">
        <v>1500</v>
      </c>
      <c r="B131">
        <v>11</v>
      </c>
      <c r="C131">
        <v>80</v>
      </c>
      <c r="D131">
        <v>6.9</v>
      </c>
      <c r="E131">
        <v>80</v>
      </c>
      <c r="F131">
        <v>29</v>
      </c>
      <c r="G131">
        <v>6</v>
      </c>
    </row>
    <row r="132" spans="1:7">
      <c r="A132" s="21" t="s">
        <v>1551</v>
      </c>
      <c r="B132">
        <v>2</v>
      </c>
      <c r="C132">
        <v>5</v>
      </c>
      <c r="D132">
        <v>3.1</v>
      </c>
      <c r="E132">
        <v>6</v>
      </c>
      <c r="F132">
        <v>2</v>
      </c>
      <c r="G132">
        <v>2</v>
      </c>
    </row>
    <row r="133" spans="1:7">
      <c r="A133" s="21" t="s">
        <v>1600</v>
      </c>
      <c r="B133">
        <v>40</v>
      </c>
      <c r="C133">
        <v>84</v>
      </c>
      <c r="D133">
        <v>13.1</v>
      </c>
      <c r="E133">
        <v>24</v>
      </c>
      <c r="F133">
        <v>16</v>
      </c>
      <c r="G133">
        <v>24</v>
      </c>
    </row>
    <row r="134" spans="1:7">
      <c r="A134" s="21" t="s">
        <v>1616</v>
      </c>
      <c r="B134">
        <v>24</v>
      </c>
      <c r="C134">
        <v>92</v>
      </c>
      <c r="D134">
        <v>6.7</v>
      </c>
      <c r="E134">
        <v>44</v>
      </c>
      <c r="F134">
        <v>20</v>
      </c>
      <c r="G134">
        <v>20</v>
      </c>
    </row>
    <row r="135" spans="1:7">
      <c r="A135" s="21" t="s">
        <v>1629</v>
      </c>
      <c r="B135">
        <v>43</v>
      </c>
      <c r="C135">
        <v>202</v>
      </c>
      <c r="D135">
        <v>8.3000000000000007</v>
      </c>
      <c r="E135">
        <v>144</v>
      </c>
      <c r="F135">
        <v>50</v>
      </c>
      <c r="G135">
        <v>29</v>
      </c>
    </row>
    <row r="136" spans="1:7">
      <c r="A136" s="21" t="s">
        <v>1640</v>
      </c>
      <c r="B136">
        <v>60</v>
      </c>
      <c r="C136">
        <v>180</v>
      </c>
      <c r="D136">
        <v>12.9</v>
      </c>
      <c r="E136">
        <v>230</v>
      </c>
      <c r="F136">
        <v>65</v>
      </c>
      <c r="G136">
        <v>25</v>
      </c>
    </row>
    <row r="137" spans="1:7">
      <c r="A137" s="21" t="s">
        <v>1681</v>
      </c>
      <c r="B137">
        <v>39</v>
      </c>
      <c r="C137">
        <v>218</v>
      </c>
      <c r="D137">
        <v>6.9</v>
      </c>
      <c r="E137">
        <v>148</v>
      </c>
      <c r="F137">
        <v>62</v>
      </c>
      <c r="G137">
        <v>31</v>
      </c>
    </row>
    <row r="138" spans="1:7">
      <c r="A138" s="21" t="s">
        <v>1696</v>
      </c>
      <c r="B138">
        <v>12</v>
      </c>
      <c r="C138">
        <v>33</v>
      </c>
      <c r="D138">
        <v>15.4</v>
      </c>
      <c r="E138">
        <v>3</v>
      </c>
      <c r="F138">
        <v>7</v>
      </c>
      <c r="G138">
        <v>4</v>
      </c>
    </row>
    <row r="139" spans="1:7">
      <c r="A139" s="21" t="s">
        <v>1702</v>
      </c>
      <c r="B139">
        <v>76</v>
      </c>
      <c r="C139">
        <v>255</v>
      </c>
      <c r="D139">
        <v>10.5</v>
      </c>
      <c r="E139">
        <v>207</v>
      </c>
      <c r="F139">
        <v>69</v>
      </c>
      <c r="G139">
        <v>14</v>
      </c>
    </row>
    <row r="140" spans="1:7">
      <c r="A140" s="21" t="s">
        <v>1720</v>
      </c>
      <c r="B140">
        <v>42</v>
      </c>
      <c r="C140">
        <v>83</v>
      </c>
      <c r="D140">
        <v>8.1999999999999993</v>
      </c>
      <c r="E140">
        <v>42</v>
      </c>
      <c r="F140">
        <v>26</v>
      </c>
      <c r="G140">
        <v>5</v>
      </c>
    </row>
    <row r="141" spans="1:7">
      <c r="A141" s="21" t="s">
        <v>1728</v>
      </c>
      <c r="B141">
        <v>80</v>
      </c>
      <c r="C141">
        <v>359</v>
      </c>
      <c r="D141">
        <v>9.6999999999999993</v>
      </c>
      <c r="E141">
        <v>131</v>
      </c>
      <c r="F141">
        <v>63</v>
      </c>
      <c r="G141">
        <v>63</v>
      </c>
    </row>
    <row r="142" spans="1:7">
      <c r="A142" s="21" t="s">
        <v>1784</v>
      </c>
      <c r="B142">
        <v>16</v>
      </c>
      <c r="C142">
        <v>190</v>
      </c>
      <c r="D142">
        <v>8.9</v>
      </c>
      <c r="E142">
        <v>348</v>
      </c>
      <c r="F142">
        <v>71</v>
      </c>
      <c r="G142">
        <v>16</v>
      </c>
    </row>
    <row r="143" spans="1:7">
      <c r="A143" s="20" t="s">
        <v>1197</v>
      </c>
      <c r="B143">
        <v>933</v>
      </c>
      <c r="C143">
        <v>2825</v>
      </c>
      <c r="D143">
        <v>148.6</v>
      </c>
      <c r="E143">
        <v>2538</v>
      </c>
      <c r="F143">
        <v>658</v>
      </c>
      <c r="G143">
        <v>409</v>
      </c>
    </row>
    <row r="144" spans="1:7">
      <c r="A144" s="21" t="s">
        <v>1291</v>
      </c>
      <c r="B144">
        <v>82</v>
      </c>
      <c r="C144">
        <v>168</v>
      </c>
      <c r="D144">
        <v>10.4</v>
      </c>
      <c r="E144">
        <v>163</v>
      </c>
      <c r="F144">
        <v>26</v>
      </c>
      <c r="G144">
        <v>15</v>
      </c>
    </row>
    <row r="145" spans="1:7">
      <c r="A145" s="21" t="s">
        <v>1376</v>
      </c>
      <c r="B145">
        <v>95</v>
      </c>
      <c r="C145">
        <v>308</v>
      </c>
      <c r="D145">
        <v>9.6</v>
      </c>
      <c r="E145">
        <v>205</v>
      </c>
      <c r="F145">
        <v>87</v>
      </c>
      <c r="G145">
        <v>40</v>
      </c>
    </row>
    <row r="146" spans="1:7">
      <c r="A146" s="21" t="s">
        <v>1409</v>
      </c>
      <c r="B146">
        <v>14</v>
      </c>
      <c r="C146">
        <v>37</v>
      </c>
      <c r="D146">
        <v>6.7</v>
      </c>
      <c r="E146">
        <v>22</v>
      </c>
      <c r="F146">
        <v>6</v>
      </c>
      <c r="G146">
        <v>2</v>
      </c>
    </row>
    <row r="147" spans="1:7">
      <c r="A147" s="21" t="s">
        <v>1420</v>
      </c>
      <c r="B147">
        <v>84</v>
      </c>
      <c r="C147">
        <v>202</v>
      </c>
      <c r="D147">
        <v>11.5</v>
      </c>
      <c r="E147">
        <v>50</v>
      </c>
      <c r="F147">
        <v>17</v>
      </c>
      <c r="G147">
        <v>28</v>
      </c>
    </row>
    <row r="148" spans="1:7">
      <c r="A148" s="21" t="s">
        <v>1480</v>
      </c>
      <c r="B148">
        <v>26</v>
      </c>
      <c r="C148">
        <v>51</v>
      </c>
      <c r="D148">
        <v>5.7</v>
      </c>
      <c r="E148">
        <v>20</v>
      </c>
      <c r="F148">
        <v>10</v>
      </c>
      <c r="G148">
        <v>5</v>
      </c>
    </row>
    <row r="149" spans="1:7">
      <c r="A149" s="21" t="s">
        <v>1519</v>
      </c>
      <c r="B149">
        <v>15</v>
      </c>
      <c r="C149">
        <v>54</v>
      </c>
      <c r="D149">
        <v>7.8</v>
      </c>
      <c r="E149">
        <v>108</v>
      </c>
      <c r="F149">
        <v>20</v>
      </c>
      <c r="G149">
        <v>5</v>
      </c>
    </row>
    <row r="150" spans="1:7">
      <c r="A150" s="21" t="s">
        <v>1525</v>
      </c>
      <c r="B150">
        <v>47</v>
      </c>
      <c r="C150">
        <v>214</v>
      </c>
      <c r="D150">
        <v>11.1</v>
      </c>
      <c r="E150">
        <v>402</v>
      </c>
      <c r="F150">
        <v>94</v>
      </c>
      <c r="G150">
        <v>34</v>
      </c>
    </row>
    <row r="151" spans="1:7">
      <c r="A151" s="21" t="s">
        <v>1594</v>
      </c>
      <c r="B151">
        <v>20</v>
      </c>
      <c r="C151">
        <v>124</v>
      </c>
      <c r="D151">
        <v>5.7</v>
      </c>
      <c r="E151">
        <v>85</v>
      </c>
      <c r="F151">
        <v>39</v>
      </c>
      <c r="G151">
        <v>13</v>
      </c>
    </row>
    <row r="152" spans="1:7">
      <c r="A152" s="21" t="s">
        <v>1686</v>
      </c>
      <c r="B152">
        <v>139</v>
      </c>
      <c r="C152">
        <v>400</v>
      </c>
      <c r="D152">
        <v>10.1</v>
      </c>
      <c r="E152">
        <v>162</v>
      </c>
      <c r="F152">
        <v>46</v>
      </c>
      <c r="G152">
        <v>39</v>
      </c>
    </row>
    <row r="153" spans="1:7">
      <c r="A153" s="21" t="s">
        <v>1712</v>
      </c>
      <c r="B153">
        <v>203</v>
      </c>
      <c r="C153">
        <v>693</v>
      </c>
      <c r="D153">
        <v>20.6</v>
      </c>
      <c r="E153">
        <v>714</v>
      </c>
      <c r="F153">
        <v>126</v>
      </c>
      <c r="G153">
        <v>42</v>
      </c>
    </row>
    <row r="154" spans="1:7">
      <c r="A154" s="21" t="s">
        <v>1742</v>
      </c>
      <c r="B154">
        <v>48</v>
      </c>
      <c r="C154">
        <v>184</v>
      </c>
      <c r="D154">
        <v>6.6</v>
      </c>
      <c r="E154">
        <v>95</v>
      </c>
      <c r="F154">
        <v>48</v>
      </c>
      <c r="G154">
        <v>95</v>
      </c>
    </row>
    <row r="155" spans="1:7">
      <c r="A155" s="21" t="s">
        <v>1745</v>
      </c>
      <c r="B155">
        <v>6</v>
      </c>
      <c r="C155">
        <v>15</v>
      </c>
      <c r="D155">
        <v>16.8</v>
      </c>
      <c r="E155">
        <v>4</v>
      </c>
      <c r="F155">
        <v>0</v>
      </c>
      <c r="G155">
        <v>4</v>
      </c>
    </row>
    <row r="156" spans="1:7">
      <c r="A156" s="21" t="s">
        <v>1767</v>
      </c>
      <c r="B156">
        <v>105</v>
      </c>
      <c r="C156">
        <v>270</v>
      </c>
      <c r="D156">
        <v>9.3000000000000007</v>
      </c>
      <c r="E156">
        <v>458</v>
      </c>
      <c r="F156">
        <v>105</v>
      </c>
      <c r="G156">
        <v>38</v>
      </c>
    </row>
    <row r="157" spans="1:7">
      <c r="A157" s="21" t="s">
        <v>1785</v>
      </c>
      <c r="B157">
        <v>8</v>
      </c>
      <c r="C157">
        <v>10</v>
      </c>
      <c r="D157">
        <v>1.3</v>
      </c>
      <c r="E157">
        <v>6</v>
      </c>
      <c r="F157">
        <v>6</v>
      </c>
      <c r="G157">
        <v>6</v>
      </c>
    </row>
    <row r="158" spans="1:7">
      <c r="A158" s="21" t="s">
        <v>1819</v>
      </c>
      <c r="B158">
        <v>0</v>
      </c>
      <c r="C158">
        <v>12</v>
      </c>
      <c r="D158">
        <v>2.9</v>
      </c>
      <c r="E158">
        <v>12</v>
      </c>
      <c r="F158">
        <v>2</v>
      </c>
      <c r="G158">
        <v>0</v>
      </c>
    </row>
    <row r="159" spans="1:7">
      <c r="A159" s="21" t="s">
        <v>1842</v>
      </c>
      <c r="B159">
        <v>7</v>
      </c>
      <c r="C159">
        <v>26</v>
      </c>
      <c r="D159">
        <v>6.2</v>
      </c>
      <c r="E159">
        <v>9</v>
      </c>
      <c r="F159">
        <v>3</v>
      </c>
      <c r="G159">
        <v>3</v>
      </c>
    </row>
    <row r="160" spans="1:7">
      <c r="A160" s="21" t="s">
        <v>1854</v>
      </c>
      <c r="B160">
        <v>34</v>
      </c>
      <c r="C160">
        <v>57</v>
      </c>
      <c r="D160">
        <v>6.3</v>
      </c>
      <c r="E160">
        <v>23</v>
      </c>
      <c r="F160">
        <v>23</v>
      </c>
      <c r="G160">
        <v>40</v>
      </c>
    </row>
    <row r="161" spans="1:7">
      <c r="A161" s="20" t="s">
        <v>1199</v>
      </c>
      <c r="B161">
        <v>960</v>
      </c>
      <c r="C161">
        <v>2888</v>
      </c>
      <c r="D161">
        <v>207.1</v>
      </c>
      <c r="E161">
        <v>2444</v>
      </c>
      <c r="F161">
        <v>717</v>
      </c>
      <c r="G161">
        <v>460</v>
      </c>
    </row>
    <row r="162" spans="1:7">
      <c r="A162" s="21" t="s">
        <v>1308</v>
      </c>
      <c r="B162">
        <v>0</v>
      </c>
      <c r="C162">
        <v>0</v>
      </c>
      <c r="D162">
        <v>40</v>
      </c>
      <c r="E162">
        <v>1</v>
      </c>
      <c r="F162">
        <v>0</v>
      </c>
      <c r="G162">
        <v>0</v>
      </c>
    </row>
    <row r="163" spans="1:7">
      <c r="A163" s="21" t="s">
        <v>1325</v>
      </c>
      <c r="B163">
        <v>112</v>
      </c>
      <c r="C163">
        <v>195</v>
      </c>
      <c r="D163">
        <v>10.4</v>
      </c>
      <c r="E163">
        <v>136</v>
      </c>
      <c r="F163">
        <v>100</v>
      </c>
      <c r="G163">
        <v>41</v>
      </c>
    </row>
    <row r="164" spans="1:7">
      <c r="A164" s="21" t="s">
        <v>1337</v>
      </c>
      <c r="B164">
        <v>1</v>
      </c>
      <c r="C164">
        <v>6</v>
      </c>
      <c r="D164">
        <v>9.5</v>
      </c>
      <c r="E164">
        <v>7</v>
      </c>
      <c r="F164">
        <v>2</v>
      </c>
      <c r="G164">
        <v>1</v>
      </c>
    </row>
    <row r="165" spans="1:7">
      <c r="A165" s="21" t="s">
        <v>1358</v>
      </c>
      <c r="B165">
        <v>56</v>
      </c>
      <c r="C165">
        <v>371</v>
      </c>
      <c r="D165">
        <v>15.2</v>
      </c>
      <c r="E165">
        <v>637</v>
      </c>
      <c r="F165">
        <v>70</v>
      </c>
      <c r="G165">
        <v>56</v>
      </c>
    </row>
    <row r="166" spans="1:7">
      <c r="A166" s="21" t="s">
        <v>1406</v>
      </c>
      <c r="B166">
        <v>0</v>
      </c>
      <c r="C166">
        <v>2</v>
      </c>
      <c r="D166">
        <v>0</v>
      </c>
      <c r="E166">
        <v>3</v>
      </c>
      <c r="F166">
        <v>0</v>
      </c>
      <c r="G166">
        <v>0</v>
      </c>
    </row>
    <row r="167" spans="1:7">
      <c r="A167" s="21" t="s">
        <v>1426</v>
      </c>
      <c r="B167">
        <v>30</v>
      </c>
      <c r="C167">
        <v>173</v>
      </c>
      <c r="D167">
        <v>9.1</v>
      </c>
      <c r="E167">
        <v>405</v>
      </c>
      <c r="F167">
        <v>68</v>
      </c>
      <c r="G167">
        <v>15</v>
      </c>
    </row>
    <row r="168" spans="1:7">
      <c r="A168" s="21" t="s">
        <v>1491</v>
      </c>
      <c r="B168">
        <v>130</v>
      </c>
      <c r="C168">
        <v>266</v>
      </c>
      <c r="D168">
        <v>9.6</v>
      </c>
      <c r="E168">
        <v>122</v>
      </c>
      <c r="F168">
        <v>29</v>
      </c>
      <c r="G168">
        <v>101</v>
      </c>
    </row>
    <row r="169" spans="1:7">
      <c r="A169" s="21" t="s">
        <v>1501</v>
      </c>
      <c r="B169">
        <v>39</v>
      </c>
      <c r="C169">
        <v>84</v>
      </c>
      <c r="D169">
        <v>9.9</v>
      </c>
      <c r="E169">
        <v>120</v>
      </c>
      <c r="F169">
        <v>27</v>
      </c>
      <c r="G169">
        <v>12</v>
      </c>
    </row>
    <row r="170" spans="1:7">
      <c r="A170" s="21" t="s">
        <v>1514</v>
      </c>
      <c r="B170">
        <v>281</v>
      </c>
      <c r="C170">
        <v>530</v>
      </c>
      <c r="D170">
        <v>14</v>
      </c>
      <c r="E170">
        <v>211</v>
      </c>
      <c r="F170">
        <v>55</v>
      </c>
      <c r="G170">
        <v>86</v>
      </c>
    </row>
    <row r="171" spans="1:7">
      <c r="A171" s="21" t="s">
        <v>1651</v>
      </c>
      <c r="B171">
        <v>21</v>
      </c>
      <c r="C171">
        <v>88</v>
      </c>
      <c r="D171">
        <v>6.1</v>
      </c>
      <c r="E171">
        <v>52</v>
      </c>
      <c r="F171">
        <v>26</v>
      </c>
      <c r="G171">
        <v>10</v>
      </c>
    </row>
    <row r="172" spans="1:7">
      <c r="A172" s="21" t="s">
        <v>1665</v>
      </c>
      <c r="B172">
        <v>49</v>
      </c>
      <c r="C172">
        <v>164</v>
      </c>
      <c r="D172">
        <v>9.1</v>
      </c>
      <c r="E172">
        <v>139</v>
      </c>
      <c r="F172">
        <v>74</v>
      </c>
      <c r="G172">
        <v>8</v>
      </c>
    </row>
    <row r="173" spans="1:7">
      <c r="A173" s="21" t="s">
        <v>1669</v>
      </c>
      <c r="B173">
        <v>17</v>
      </c>
      <c r="C173">
        <v>51</v>
      </c>
      <c r="D173">
        <v>9.5</v>
      </c>
      <c r="E173">
        <v>131</v>
      </c>
      <c r="F173">
        <v>34</v>
      </c>
      <c r="G173">
        <v>6</v>
      </c>
    </row>
    <row r="174" spans="1:7">
      <c r="A174" s="21" t="s">
        <v>1738</v>
      </c>
      <c r="B174">
        <v>41</v>
      </c>
      <c r="C174">
        <v>81</v>
      </c>
      <c r="D174">
        <v>11.5</v>
      </c>
      <c r="E174">
        <v>45</v>
      </c>
      <c r="F174">
        <v>41</v>
      </c>
      <c r="G174">
        <v>27</v>
      </c>
    </row>
    <row r="175" spans="1:7">
      <c r="A175" s="21" t="s">
        <v>1762</v>
      </c>
      <c r="B175">
        <v>4</v>
      </c>
      <c r="C175">
        <v>3</v>
      </c>
      <c r="D175">
        <v>7.1</v>
      </c>
      <c r="E175">
        <v>2</v>
      </c>
      <c r="F175">
        <v>0</v>
      </c>
      <c r="G175">
        <v>0</v>
      </c>
    </row>
    <row r="176" spans="1:7">
      <c r="A176" s="21" t="s">
        <v>1763</v>
      </c>
      <c r="B176">
        <v>41</v>
      </c>
      <c r="C176">
        <v>178</v>
      </c>
      <c r="D176">
        <v>7.8</v>
      </c>
      <c r="E176">
        <v>81</v>
      </c>
      <c r="F176">
        <v>49</v>
      </c>
      <c r="G176">
        <v>16</v>
      </c>
    </row>
    <row r="177" spans="1:7">
      <c r="A177" s="21" t="s">
        <v>1782</v>
      </c>
      <c r="B177">
        <v>53</v>
      </c>
      <c r="C177">
        <v>165</v>
      </c>
      <c r="D177">
        <v>6.8</v>
      </c>
      <c r="E177">
        <v>68</v>
      </c>
      <c r="F177">
        <v>30</v>
      </c>
      <c r="G177">
        <v>15</v>
      </c>
    </row>
    <row r="178" spans="1:7">
      <c r="A178" s="21" t="s">
        <v>1805</v>
      </c>
      <c r="B178">
        <v>15</v>
      </c>
      <c r="C178">
        <v>162</v>
      </c>
      <c r="D178">
        <v>6.6</v>
      </c>
      <c r="E178">
        <v>123</v>
      </c>
      <c r="F178">
        <v>39</v>
      </c>
      <c r="G178">
        <v>8</v>
      </c>
    </row>
    <row r="179" spans="1:7">
      <c r="A179" s="21" t="s">
        <v>1806</v>
      </c>
      <c r="B179">
        <v>66</v>
      </c>
      <c r="C179">
        <v>365</v>
      </c>
      <c r="D179">
        <v>10</v>
      </c>
      <c r="E179">
        <v>161</v>
      </c>
      <c r="F179">
        <v>73</v>
      </c>
      <c r="G179">
        <v>58</v>
      </c>
    </row>
    <row r="180" spans="1:7">
      <c r="A180" s="21" t="s">
        <v>1807</v>
      </c>
      <c r="B180">
        <v>4</v>
      </c>
      <c r="C180">
        <v>4</v>
      </c>
      <c r="D180">
        <v>14.9</v>
      </c>
      <c r="E180">
        <v>0</v>
      </c>
      <c r="F180">
        <v>0</v>
      </c>
      <c r="G180">
        <v>0</v>
      </c>
    </row>
    <row r="181" spans="1:7">
      <c r="A181" s="20" t="s">
        <v>1201</v>
      </c>
      <c r="B181">
        <v>963</v>
      </c>
      <c r="C181">
        <v>2415</v>
      </c>
      <c r="D181">
        <v>158.90000000000003</v>
      </c>
      <c r="E181">
        <v>2148</v>
      </c>
      <c r="F181">
        <v>674</v>
      </c>
      <c r="G181">
        <v>330</v>
      </c>
    </row>
    <row r="182" spans="1:7">
      <c r="A182" s="21" t="s">
        <v>1343</v>
      </c>
      <c r="B182">
        <v>64</v>
      </c>
      <c r="C182">
        <v>262</v>
      </c>
      <c r="D182">
        <v>11.4</v>
      </c>
      <c r="E182">
        <v>218</v>
      </c>
      <c r="F182">
        <v>70</v>
      </c>
      <c r="G182">
        <v>13</v>
      </c>
    </row>
    <row r="183" spans="1:7">
      <c r="A183" s="21" t="s">
        <v>1349</v>
      </c>
      <c r="B183">
        <v>1</v>
      </c>
      <c r="C183">
        <v>1</v>
      </c>
      <c r="D183">
        <v>-2.6</v>
      </c>
      <c r="E183">
        <v>0</v>
      </c>
      <c r="F183">
        <v>2</v>
      </c>
      <c r="G183">
        <v>0</v>
      </c>
    </row>
    <row r="184" spans="1:7">
      <c r="A184" s="21" t="s">
        <v>1357</v>
      </c>
      <c r="B184">
        <v>49</v>
      </c>
      <c r="C184">
        <v>213</v>
      </c>
      <c r="D184">
        <v>8.5</v>
      </c>
      <c r="E184">
        <v>131</v>
      </c>
      <c r="F184">
        <v>66</v>
      </c>
      <c r="G184">
        <v>25</v>
      </c>
    </row>
    <row r="185" spans="1:7">
      <c r="A185" s="21" t="s">
        <v>1442</v>
      </c>
      <c r="B185">
        <v>75</v>
      </c>
      <c r="C185">
        <v>340</v>
      </c>
      <c r="D185">
        <v>8.8000000000000007</v>
      </c>
      <c r="E185">
        <v>381</v>
      </c>
      <c r="F185">
        <v>102</v>
      </c>
      <c r="G185">
        <v>68</v>
      </c>
    </row>
    <row r="186" spans="1:7">
      <c r="A186" s="21" t="s">
        <v>1465</v>
      </c>
      <c r="B186">
        <v>56</v>
      </c>
      <c r="C186">
        <v>130</v>
      </c>
      <c r="D186">
        <v>10.4</v>
      </c>
      <c r="E186">
        <v>81</v>
      </c>
      <c r="F186">
        <v>50</v>
      </c>
      <c r="G186">
        <v>19</v>
      </c>
    </row>
    <row r="187" spans="1:7">
      <c r="A187" s="21" t="s">
        <v>1475</v>
      </c>
      <c r="B187">
        <v>73</v>
      </c>
      <c r="C187">
        <v>101</v>
      </c>
      <c r="D187">
        <v>7.3</v>
      </c>
      <c r="E187">
        <v>78</v>
      </c>
      <c r="F187">
        <v>22</v>
      </c>
      <c r="G187">
        <v>11</v>
      </c>
    </row>
    <row r="188" spans="1:7">
      <c r="A188" s="21" t="s">
        <v>1498</v>
      </c>
      <c r="B188">
        <v>3</v>
      </c>
      <c r="C188">
        <v>8</v>
      </c>
      <c r="D188">
        <v>10.1</v>
      </c>
      <c r="E188">
        <v>4</v>
      </c>
      <c r="F188">
        <v>4</v>
      </c>
      <c r="G188">
        <v>0</v>
      </c>
    </row>
    <row r="189" spans="1:7">
      <c r="A189" s="21" t="s">
        <v>1562</v>
      </c>
      <c r="B189">
        <v>127</v>
      </c>
      <c r="C189">
        <v>171</v>
      </c>
      <c r="D189">
        <v>14.5</v>
      </c>
      <c r="E189">
        <v>297</v>
      </c>
      <c r="F189">
        <v>77</v>
      </c>
      <c r="G189">
        <v>17</v>
      </c>
    </row>
    <row r="190" spans="1:7">
      <c r="A190" s="21" t="s">
        <v>1573</v>
      </c>
      <c r="B190">
        <v>56</v>
      </c>
      <c r="C190">
        <v>160</v>
      </c>
      <c r="D190">
        <v>11</v>
      </c>
      <c r="E190">
        <v>103</v>
      </c>
      <c r="F190">
        <v>38</v>
      </c>
      <c r="G190">
        <v>19</v>
      </c>
    </row>
    <row r="191" spans="1:7">
      <c r="A191" s="21" t="s">
        <v>1619</v>
      </c>
      <c r="B191">
        <v>7</v>
      </c>
      <c r="C191">
        <v>10</v>
      </c>
      <c r="D191">
        <v>10.4</v>
      </c>
      <c r="E191">
        <v>6</v>
      </c>
      <c r="F191">
        <v>1</v>
      </c>
      <c r="G191">
        <v>4</v>
      </c>
    </row>
    <row r="192" spans="1:7">
      <c r="A192" s="21" t="s">
        <v>1623</v>
      </c>
      <c r="B192">
        <v>182</v>
      </c>
      <c r="C192">
        <v>274</v>
      </c>
      <c r="D192">
        <v>11.4</v>
      </c>
      <c r="E192">
        <v>122</v>
      </c>
      <c r="F192">
        <v>46</v>
      </c>
      <c r="G192">
        <v>38</v>
      </c>
    </row>
    <row r="193" spans="1:7">
      <c r="A193" s="21" t="s">
        <v>1697</v>
      </c>
      <c r="B193">
        <v>52</v>
      </c>
      <c r="C193">
        <v>141</v>
      </c>
      <c r="D193">
        <v>7.6</v>
      </c>
      <c r="E193">
        <v>96</v>
      </c>
      <c r="F193">
        <v>59</v>
      </c>
      <c r="G193">
        <v>30</v>
      </c>
    </row>
    <row r="194" spans="1:7">
      <c r="A194" s="21" t="s">
        <v>1733</v>
      </c>
      <c r="B194">
        <v>16</v>
      </c>
      <c r="C194">
        <v>31</v>
      </c>
      <c r="D194">
        <v>9.3000000000000007</v>
      </c>
      <c r="E194">
        <v>47</v>
      </c>
      <c r="F194">
        <v>16</v>
      </c>
      <c r="G194">
        <v>4</v>
      </c>
    </row>
    <row r="195" spans="1:7">
      <c r="A195" s="21" t="s">
        <v>1750</v>
      </c>
      <c r="B195">
        <v>34</v>
      </c>
      <c r="C195">
        <v>113</v>
      </c>
      <c r="D195">
        <v>9.5</v>
      </c>
      <c r="E195">
        <v>55</v>
      </c>
      <c r="F195">
        <v>17</v>
      </c>
      <c r="G195">
        <v>17</v>
      </c>
    </row>
    <row r="196" spans="1:7">
      <c r="A196" s="21" t="s">
        <v>1787</v>
      </c>
      <c r="B196">
        <v>42</v>
      </c>
      <c r="C196">
        <v>273</v>
      </c>
      <c r="D196">
        <v>14.5</v>
      </c>
      <c r="E196">
        <v>420</v>
      </c>
      <c r="F196">
        <v>77</v>
      </c>
      <c r="G196">
        <v>28</v>
      </c>
    </row>
    <row r="197" spans="1:7">
      <c r="A197" s="21" t="s">
        <v>1813</v>
      </c>
      <c r="B197">
        <v>124</v>
      </c>
      <c r="C197">
        <v>186</v>
      </c>
      <c r="D197">
        <v>12</v>
      </c>
      <c r="E197">
        <v>105</v>
      </c>
      <c r="F197">
        <v>25</v>
      </c>
      <c r="G197">
        <v>37</v>
      </c>
    </row>
    <row r="198" spans="1:7">
      <c r="A198" s="21" t="s">
        <v>1848</v>
      </c>
      <c r="B198">
        <v>2</v>
      </c>
      <c r="C198">
        <v>1</v>
      </c>
      <c r="D198">
        <v>4.8</v>
      </c>
      <c r="E198">
        <v>4</v>
      </c>
      <c r="F198">
        <v>2</v>
      </c>
      <c r="G198">
        <v>0</v>
      </c>
    </row>
    <row r="199" spans="1:7">
      <c r="A199" s="20" t="s">
        <v>1203</v>
      </c>
      <c r="B199">
        <v>1201</v>
      </c>
      <c r="C199">
        <v>2848</v>
      </c>
      <c r="D199">
        <v>164.7</v>
      </c>
      <c r="E199">
        <v>1948</v>
      </c>
      <c r="F199">
        <v>707</v>
      </c>
      <c r="G199">
        <v>415</v>
      </c>
    </row>
    <row r="200" spans="1:7">
      <c r="A200" s="21" t="s">
        <v>1292</v>
      </c>
      <c r="B200">
        <v>12</v>
      </c>
      <c r="C200">
        <v>62</v>
      </c>
      <c r="D200">
        <v>8.1999999999999993</v>
      </c>
      <c r="E200">
        <v>81</v>
      </c>
      <c r="F200">
        <v>19</v>
      </c>
      <c r="G200">
        <v>12</v>
      </c>
    </row>
    <row r="201" spans="1:7">
      <c r="A201" s="21" t="s">
        <v>1309</v>
      </c>
      <c r="B201">
        <v>258</v>
      </c>
      <c r="C201">
        <v>524</v>
      </c>
      <c r="D201">
        <v>15.3</v>
      </c>
      <c r="E201">
        <v>372</v>
      </c>
      <c r="F201">
        <v>84</v>
      </c>
      <c r="G201">
        <v>61</v>
      </c>
    </row>
    <row r="202" spans="1:7">
      <c r="A202" s="21" t="s">
        <v>1310</v>
      </c>
      <c r="B202">
        <v>193</v>
      </c>
      <c r="C202">
        <v>373</v>
      </c>
      <c r="D202">
        <v>12.9</v>
      </c>
      <c r="E202">
        <v>262</v>
      </c>
      <c r="F202">
        <v>97</v>
      </c>
      <c r="G202">
        <v>90</v>
      </c>
    </row>
    <row r="203" spans="1:7">
      <c r="A203" s="21" t="s">
        <v>1365</v>
      </c>
      <c r="B203">
        <v>36</v>
      </c>
      <c r="C203">
        <v>117</v>
      </c>
      <c r="D203">
        <v>10.8</v>
      </c>
      <c r="E203">
        <v>51</v>
      </c>
      <c r="F203">
        <v>31</v>
      </c>
      <c r="G203">
        <v>15</v>
      </c>
    </row>
    <row r="204" spans="1:7">
      <c r="A204" s="21" t="s">
        <v>1413</v>
      </c>
      <c r="B204">
        <v>13</v>
      </c>
      <c r="C204">
        <v>73</v>
      </c>
      <c r="D204">
        <v>8.9</v>
      </c>
      <c r="E204">
        <v>36</v>
      </c>
      <c r="F204">
        <v>13</v>
      </c>
      <c r="G204">
        <v>10</v>
      </c>
    </row>
    <row r="205" spans="1:7">
      <c r="A205" s="21" t="s">
        <v>1433</v>
      </c>
      <c r="B205">
        <v>75</v>
      </c>
      <c r="C205">
        <v>203</v>
      </c>
      <c r="D205">
        <v>6.7</v>
      </c>
      <c r="E205">
        <v>128</v>
      </c>
      <c r="F205">
        <v>60</v>
      </c>
      <c r="G205">
        <v>15</v>
      </c>
    </row>
    <row r="206" spans="1:7">
      <c r="A206" s="21" t="s">
        <v>1460</v>
      </c>
      <c r="B206">
        <v>30</v>
      </c>
      <c r="C206">
        <v>192</v>
      </c>
      <c r="D206">
        <v>9.3000000000000007</v>
      </c>
      <c r="E206">
        <v>336</v>
      </c>
      <c r="F206">
        <v>96</v>
      </c>
      <c r="G206">
        <v>24</v>
      </c>
    </row>
    <row r="207" spans="1:7">
      <c r="A207" s="21" t="s">
        <v>1495</v>
      </c>
      <c r="B207">
        <v>103</v>
      </c>
      <c r="C207">
        <v>296</v>
      </c>
      <c r="D207">
        <v>9.3000000000000007</v>
      </c>
      <c r="E207">
        <v>63</v>
      </c>
      <c r="F207">
        <v>23</v>
      </c>
      <c r="G207">
        <v>40</v>
      </c>
    </row>
    <row r="208" spans="1:7">
      <c r="A208" s="21" t="s">
        <v>1497</v>
      </c>
      <c r="B208">
        <v>2</v>
      </c>
      <c r="C208">
        <v>3</v>
      </c>
      <c r="D208">
        <v>2</v>
      </c>
      <c r="E208">
        <v>1</v>
      </c>
      <c r="F208">
        <v>0</v>
      </c>
      <c r="G208">
        <v>2</v>
      </c>
    </row>
    <row r="209" spans="1:7">
      <c r="A209" s="21" t="s">
        <v>1505</v>
      </c>
      <c r="B209">
        <v>52</v>
      </c>
      <c r="C209">
        <v>68</v>
      </c>
      <c r="D209">
        <v>7.1</v>
      </c>
      <c r="E209">
        <v>47</v>
      </c>
      <c r="F209">
        <v>26</v>
      </c>
      <c r="G209">
        <v>5</v>
      </c>
    </row>
    <row r="210" spans="1:7">
      <c r="A210" s="21" t="s">
        <v>1515</v>
      </c>
      <c r="B210">
        <v>41</v>
      </c>
      <c r="C210">
        <v>328</v>
      </c>
      <c r="D210">
        <v>11.1</v>
      </c>
      <c r="E210">
        <v>279</v>
      </c>
      <c r="F210">
        <v>74</v>
      </c>
      <c r="G210">
        <v>25</v>
      </c>
    </row>
    <row r="211" spans="1:7">
      <c r="A211" s="21" t="s">
        <v>1554</v>
      </c>
      <c r="B211">
        <v>10</v>
      </c>
      <c r="C211">
        <v>48</v>
      </c>
      <c r="D211">
        <v>8.5</v>
      </c>
      <c r="E211">
        <v>19</v>
      </c>
      <c r="F211">
        <v>6</v>
      </c>
      <c r="G211">
        <v>3</v>
      </c>
    </row>
    <row r="212" spans="1:7">
      <c r="A212" s="21" t="s">
        <v>1563</v>
      </c>
      <c r="B212">
        <v>55</v>
      </c>
      <c r="C212">
        <v>80</v>
      </c>
      <c r="D212">
        <v>9.6999999999999993</v>
      </c>
      <c r="E212">
        <v>38</v>
      </c>
      <c r="F212">
        <v>13</v>
      </c>
      <c r="G212">
        <v>8</v>
      </c>
    </row>
    <row r="213" spans="1:7">
      <c r="A213" s="21" t="s">
        <v>1703</v>
      </c>
      <c r="B213">
        <v>6</v>
      </c>
      <c r="C213">
        <v>8</v>
      </c>
      <c r="D213">
        <v>3.8</v>
      </c>
      <c r="E213">
        <v>10</v>
      </c>
      <c r="F213">
        <v>8</v>
      </c>
      <c r="G213">
        <v>4</v>
      </c>
    </row>
    <row r="214" spans="1:7">
      <c r="A214" s="21" t="s">
        <v>1706</v>
      </c>
      <c r="B214">
        <v>6</v>
      </c>
      <c r="C214">
        <v>15</v>
      </c>
      <c r="D214">
        <v>12.5</v>
      </c>
      <c r="E214">
        <v>2</v>
      </c>
      <c r="F214">
        <v>1</v>
      </c>
      <c r="G214">
        <v>5</v>
      </c>
    </row>
    <row r="215" spans="1:7">
      <c r="A215" s="21" t="s">
        <v>1754</v>
      </c>
      <c r="B215">
        <v>16</v>
      </c>
      <c r="C215">
        <v>62</v>
      </c>
      <c r="D215">
        <v>6</v>
      </c>
      <c r="E215">
        <v>73</v>
      </c>
      <c r="F215">
        <v>36</v>
      </c>
      <c r="G215">
        <v>16</v>
      </c>
    </row>
    <row r="216" spans="1:7">
      <c r="A216" s="21" t="s">
        <v>1789</v>
      </c>
      <c r="B216">
        <v>168</v>
      </c>
      <c r="C216">
        <v>162</v>
      </c>
      <c r="D216">
        <v>10.9</v>
      </c>
      <c r="E216">
        <v>64</v>
      </c>
      <c r="F216">
        <v>23</v>
      </c>
      <c r="G216">
        <v>29</v>
      </c>
    </row>
    <row r="217" spans="1:7">
      <c r="A217" s="21" t="s">
        <v>1794</v>
      </c>
      <c r="B217">
        <v>125</v>
      </c>
      <c r="C217">
        <v>234</v>
      </c>
      <c r="D217">
        <v>11.7</v>
      </c>
      <c r="E217">
        <v>86</v>
      </c>
      <c r="F217">
        <v>97</v>
      </c>
      <c r="G217">
        <v>51</v>
      </c>
    </row>
    <row r="218" spans="1:7">
      <c r="A218" s="20" t="s">
        <v>1205</v>
      </c>
      <c r="B218">
        <v>762</v>
      </c>
      <c r="C218">
        <v>2695</v>
      </c>
      <c r="D218">
        <v>198.9</v>
      </c>
      <c r="E218">
        <v>2395</v>
      </c>
      <c r="F218">
        <v>700</v>
      </c>
      <c r="G218">
        <v>457</v>
      </c>
    </row>
    <row r="219" spans="1:7">
      <c r="A219" s="21" t="s">
        <v>1293</v>
      </c>
      <c r="B219">
        <v>36</v>
      </c>
      <c r="C219">
        <v>140</v>
      </c>
      <c r="D219">
        <v>8.6999999999999993</v>
      </c>
      <c r="E219">
        <v>54</v>
      </c>
      <c r="F219">
        <v>36</v>
      </c>
      <c r="G219">
        <v>18</v>
      </c>
    </row>
    <row r="220" spans="1:7">
      <c r="A220" s="21" t="s">
        <v>1314</v>
      </c>
      <c r="B220">
        <v>33</v>
      </c>
      <c r="C220">
        <v>182</v>
      </c>
      <c r="D220">
        <v>8.1</v>
      </c>
      <c r="E220">
        <v>325</v>
      </c>
      <c r="F220">
        <v>78</v>
      </c>
      <c r="G220">
        <v>13</v>
      </c>
    </row>
    <row r="221" spans="1:7">
      <c r="A221" s="21" t="s">
        <v>1330</v>
      </c>
      <c r="B221">
        <v>44</v>
      </c>
      <c r="C221">
        <v>132</v>
      </c>
      <c r="D221">
        <v>5.5</v>
      </c>
      <c r="E221">
        <v>82</v>
      </c>
      <c r="F221">
        <v>38</v>
      </c>
      <c r="G221">
        <v>13</v>
      </c>
    </row>
    <row r="222" spans="1:7">
      <c r="A222" s="21" t="s">
        <v>1332</v>
      </c>
      <c r="B222">
        <v>86</v>
      </c>
      <c r="C222">
        <v>295</v>
      </c>
      <c r="D222">
        <v>9.1999999999999993</v>
      </c>
      <c r="E222">
        <v>137</v>
      </c>
      <c r="F222">
        <v>50</v>
      </c>
      <c r="G222">
        <v>22</v>
      </c>
    </row>
    <row r="223" spans="1:7">
      <c r="A223" s="21" t="s">
        <v>1456</v>
      </c>
      <c r="B223">
        <v>11</v>
      </c>
      <c r="C223">
        <v>20</v>
      </c>
      <c r="D223">
        <v>4</v>
      </c>
      <c r="E223">
        <v>9</v>
      </c>
      <c r="F223">
        <v>2</v>
      </c>
      <c r="G223">
        <v>2</v>
      </c>
    </row>
    <row r="224" spans="1:7">
      <c r="A224" s="21" t="s">
        <v>1487</v>
      </c>
      <c r="B224">
        <v>11</v>
      </c>
      <c r="C224">
        <v>17</v>
      </c>
      <c r="D224">
        <v>9.5</v>
      </c>
      <c r="E224">
        <v>5</v>
      </c>
      <c r="F224">
        <v>3</v>
      </c>
      <c r="G224">
        <v>8</v>
      </c>
    </row>
    <row r="225" spans="1:7">
      <c r="A225" s="21" t="s">
        <v>1506</v>
      </c>
      <c r="B225">
        <v>0</v>
      </c>
      <c r="C225">
        <v>1</v>
      </c>
      <c r="D225">
        <v>13.3</v>
      </c>
      <c r="E225">
        <v>1</v>
      </c>
      <c r="F225">
        <v>0</v>
      </c>
      <c r="G225">
        <v>0</v>
      </c>
    </row>
    <row r="226" spans="1:7">
      <c r="A226" s="21" t="s">
        <v>1529</v>
      </c>
      <c r="B226">
        <v>0</v>
      </c>
      <c r="C226">
        <v>6</v>
      </c>
      <c r="D226">
        <v>1.5</v>
      </c>
      <c r="E226">
        <v>4</v>
      </c>
      <c r="F226">
        <v>0</v>
      </c>
      <c r="G226">
        <v>2</v>
      </c>
    </row>
    <row r="227" spans="1:7">
      <c r="A227" s="21" t="s">
        <v>1530</v>
      </c>
      <c r="B227">
        <v>0</v>
      </c>
      <c r="C227">
        <v>1</v>
      </c>
      <c r="D227">
        <v>15.6</v>
      </c>
      <c r="E227">
        <v>0</v>
      </c>
      <c r="F227">
        <v>0</v>
      </c>
      <c r="G227">
        <v>0</v>
      </c>
    </row>
    <row r="228" spans="1:7">
      <c r="A228" s="21" t="s">
        <v>1532</v>
      </c>
      <c r="B228">
        <v>23</v>
      </c>
      <c r="C228">
        <v>203</v>
      </c>
      <c r="D228">
        <v>8.6999999999999993</v>
      </c>
      <c r="E228">
        <v>113</v>
      </c>
      <c r="F228">
        <v>53</v>
      </c>
      <c r="G228">
        <v>23</v>
      </c>
    </row>
    <row r="229" spans="1:7">
      <c r="A229" s="21" t="s">
        <v>1569</v>
      </c>
      <c r="B229">
        <v>25</v>
      </c>
      <c r="C229">
        <v>50</v>
      </c>
      <c r="D229">
        <v>5.9</v>
      </c>
      <c r="E229">
        <v>20</v>
      </c>
      <c r="F229">
        <v>20</v>
      </c>
      <c r="G229">
        <v>10</v>
      </c>
    </row>
    <row r="230" spans="1:7">
      <c r="A230" s="21" t="s">
        <v>1700</v>
      </c>
      <c r="B230">
        <v>94</v>
      </c>
      <c r="C230">
        <v>382</v>
      </c>
      <c r="D230">
        <v>10.3</v>
      </c>
      <c r="E230">
        <v>108</v>
      </c>
      <c r="F230">
        <v>58</v>
      </c>
      <c r="G230">
        <v>144</v>
      </c>
    </row>
    <row r="231" spans="1:7">
      <c r="A231" s="21" t="s">
        <v>1717</v>
      </c>
      <c r="B231">
        <v>55</v>
      </c>
      <c r="C231">
        <v>261</v>
      </c>
      <c r="D231">
        <v>11.5</v>
      </c>
      <c r="E231">
        <v>126</v>
      </c>
      <c r="F231">
        <v>47</v>
      </c>
      <c r="G231">
        <v>32</v>
      </c>
    </row>
    <row r="232" spans="1:7">
      <c r="A232" s="21" t="s">
        <v>1731</v>
      </c>
      <c r="B232">
        <v>133</v>
      </c>
      <c r="C232">
        <v>406</v>
      </c>
      <c r="D232">
        <v>13</v>
      </c>
      <c r="E232">
        <v>265</v>
      </c>
      <c r="F232">
        <v>70</v>
      </c>
      <c r="G232">
        <v>39</v>
      </c>
    </row>
    <row r="233" spans="1:7">
      <c r="A233" s="21" t="s">
        <v>1748</v>
      </c>
      <c r="B233">
        <v>14</v>
      </c>
      <c r="C233">
        <v>31</v>
      </c>
      <c r="D233">
        <v>8.9</v>
      </c>
      <c r="E233">
        <v>53</v>
      </c>
      <c r="F233">
        <v>22</v>
      </c>
      <c r="G233">
        <v>6</v>
      </c>
    </row>
    <row r="234" spans="1:7">
      <c r="A234" s="21" t="s">
        <v>1752</v>
      </c>
      <c r="B234">
        <v>2</v>
      </c>
      <c r="C234">
        <v>10</v>
      </c>
      <c r="D234">
        <v>11</v>
      </c>
      <c r="E234">
        <v>14</v>
      </c>
      <c r="F234">
        <v>7</v>
      </c>
      <c r="G234">
        <v>2</v>
      </c>
    </row>
    <row r="235" spans="1:7">
      <c r="A235" s="21" t="s">
        <v>1791</v>
      </c>
      <c r="B235">
        <v>47</v>
      </c>
      <c r="C235">
        <v>150</v>
      </c>
      <c r="D235">
        <v>12.9</v>
      </c>
      <c r="E235">
        <v>348</v>
      </c>
      <c r="F235">
        <v>87</v>
      </c>
      <c r="G235">
        <v>24</v>
      </c>
    </row>
    <row r="236" spans="1:7">
      <c r="A236" s="21" t="s">
        <v>1803</v>
      </c>
      <c r="B236">
        <v>86</v>
      </c>
      <c r="C236">
        <v>165</v>
      </c>
      <c r="D236">
        <v>11</v>
      </c>
      <c r="E236">
        <v>53</v>
      </c>
      <c r="F236">
        <v>26</v>
      </c>
      <c r="G236">
        <v>40</v>
      </c>
    </row>
    <row r="237" spans="1:7">
      <c r="A237" s="21" t="s">
        <v>1808</v>
      </c>
      <c r="B237">
        <v>18</v>
      </c>
      <c r="C237">
        <v>24</v>
      </c>
      <c r="D237">
        <v>16</v>
      </c>
      <c r="E237">
        <v>6</v>
      </c>
      <c r="F237">
        <v>1</v>
      </c>
      <c r="G237">
        <v>8</v>
      </c>
    </row>
    <row r="238" spans="1:7">
      <c r="A238" s="21" t="s">
        <v>1831</v>
      </c>
      <c r="B238">
        <v>44</v>
      </c>
      <c r="C238">
        <v>219</v>
      </c>
      <c r="D238">
        <v>14.3</v>
      </c>
      <c r="E238">
        <v>672</v>
      </c>
      <c r="F238">
        <v>102</v>
      </c>
      <c r="G238">
        <v>51</v>
      </c>
    </row>
    <row r="239" spans="1:7">
      <c r="A239" s="20" t="s">
        <v>1207</v>
      </c>
      <c r="B239">
        <v>819</v>
      </c>
      <c r="C239">
        <v>2762</v>
      </c>
      <c r="D239">
        <v>155</v>
      </c>
      <c r="E239">
        <v>2157</v>
      </c>
      <c r="F239">
        <v>744</v>
      </c>
      <c r="G239">
        <v>369</v>
      </c>
    </row>
    <row r="240" spans="1:7">
      <c r="A240" s="21" t="s">
        <v>1311</v>
      </c>
      <c r="B240">
        <v>29</v>
      </c>
      <c r="C240">
        <v>130</v>
      </c>
      <c r="D240">
        <v>7.2</v>
      </c>
      <c r="E240">
        <v>79</v>
      </c>
      <c r="F240">
        <v>43</v>
      </c>
      <c r="G240">
        <v>7</v>
      </c>
    </row>
    <row r="241" spans="1:7">
      <c r="A241" s="21" t="s">
        <v>1331</v>
      </c>
      <c r="B241">
        <v>46</v>
      </c>
      <c r="C241">
        <v>194</v>
      </c>
      <c r="D241">
        <v>10.3</v>
      </c>
      <c r="E241">
        <v>286</v>
      </c>
      <c r="F241">
        <v>36</v>
      </c>
      <c r="G241">
        <v>26</v>
      </c>
    </row>
    <row r="242" spans="1:7">
      <c r="A242" s="21" t="s">
        <v>1338</v>
      </c>
      <c r="B242">
        <v>22</v>
      </c>
      <c r="C242">
        <v>135</v>
      </c>
      <c r="D242">
        <v>7.4</v>
      </c>
      <c r="E242">
        <v>146</v>
      </c>
      <c r="F242">
        <v>43</v>
      </c>
      <c r="G242">
        <v>11</v>
      </c>
    </row>
    <row r="243" spans="1:7">
      <c r="A243" s="21" t="s">
        <v>1361</v>
      </c>
      <c r="B243">
        <v>3</v>
      </c>
      <c r="C243">
        <v>9</v>
      </c>
      <c r="D243">
        <v>7</v>
      </c>
      <c r="E243">
        <v>7</v>
      </c>
      <c r="F243">
        <v>5</v>
      </c>
      <c r="G243">
        <v>1</v>
      </c>
    </row>
    <row r="244" spans="1:7">
      <c r="A244" s="21" t="s">
        <v>1428</v>
      </c>
      <c r="B244">
        <v>92</v>
      </c>
      <c r="C244">
        <v>169</v>
      </c>
      <c r="D244">
        <v>7.6</v>
      </c>
      <c r="E244">
        <v>62</v>
      </c>
      <c r="F244">
        <v>77</v>
      </c>
      <c r="G244">
        <v>31</v>
      </c>
    </row>
    <row r="245" spans="1:7">
      <c r="A245" s="21" t="s">
        <v>1443</v>
      </c>
      <c r="B245">
        <v>61</v>
      </c>
      <c r="C245">
        <v>165</v>
      </c>
      <c r="D245">
        <v>11.1</v>
      </c>
      <c r="E245">
        <v>55</v>
      </c>
      <c r="F245">
        <v>12</v>
      </c>
      <c r="G245">
        <v>37</v>
      </c>
    </row>
    <row r="246" spans="1:7">
      <c r="A246" s="21" t="s">
        <v>1493</v>
      </c>
      <c r="B246">
        <v>304</v>
      </c>
      <c r="C246">
        <v>712</v>
      </c>
      <c r="D246">
        <v>15.7</v>
      </c>
      <c r="E246">
        <v>216</v>
      </c>
      <c r="F246">
        <v>56</v>
      </c>
      <c r="G246">
        <v>88</v>
      </c>
    </row>
    <row r="247" spans="1:7">
      <c r="A247" s="21" t="s">
        <v>1528</v>
      </c>
      <c r="B247">
        <v>55</v>
      </c>
      <c r="C247">
        <v>403</v>
      </c>
      <c r="D247">
        <v>14.5</v>
      </c>
      <c r="E247">
        <v>687</v>
      </c>
      <c r="F247">
        <v>119</v>
      </c>
      <c r="G247">
        <v>55</v>
      </c>
    </row>
    <row r="248" spans="1:7">
      <c r="A248" s="21" t="s">
        <v>1579</v>
      </c>
      <c r="B248">
        <v>22</v>
      </c>
      <c r="C248">
        <v>33</v>
      </c>
      <c r="D248">
        <v>7</v>
      </c>
      <c r="E248">
        <v>33</v>
      </c>
      <c r="F248">
        <v>19</v>
      </c>
      <c r="G248">
        <v>4</v>
      </c>
    </row>
    <row r="249" spans="1:7">
      <c r="A249" s="21" t="s">
        <v>1603</v>
      </c>
      <c r="B249">
        <v>33</v>
      </c>
      <c r="C249">
        <v>185</v>
      </c>
      <c r="D249">
        <v>13.4</v>
      </c>
      <c r="E249">
        <v>115</v>
      </c>
      <c r="F249">
        <v>59</v>
      </c>
      <c r="G249">
        <v>19</v>
      </c>
    </row>
    <row r="250" spans="1:7">
      <c r="A250" s="21" t="s">
        <v>1630</v>
      </c>
      <c r="B250">
        <v>20</v>
      </c>
      <c r="C250">
        <v>48</v>
      </c>
      <c r="D250">
        <v>8.3000000000000007</v>
      </c>
      <c r="E250">
        <v>24</v>
      </c>
      <c r="F250">
        <v>8</v>
      </c>
      <c r="G250">
        <v>4</v>
      </c>
    </row>
    <row r="251" spans="1:7">
      <c r="A251" s="21" t="s">
        <v>1632</v>
      </c>
      <c r="B251">
        <v>52</v>
      </c>
      <c r="C251">
        <v>200</v>
      </c>
      <c r="D251">
        <v>7</v>
      </c>
      <c r="E251">
        <v>207</v>
      </c>
      <c r="F251">
        <v>126</v>
      </c>
      <c r="G251">
        <v>30</v>
      </c>
    </row>
    <row r="252" spans="1:7">
      <c r="A252" s="21" t="s">
        <v>1711</v>
      </c>
      <c r="B252">
        <v>47</v>
      </c>
      <c r="C252">
        <v>172</v>
      </c>
      <c r="D252">
        <v>6.9</v>
      </c>
      <c r="E252">
        <v>86</v>
      </c>
      <c r="F252">
        <v>55</v>
      </c>
      <c r="G252">
        <v>39</v>
      </c>
    </row>
    <row r="253" spans="1:7">
      <c r="A253" s="21" t="s">
        <v>1716</v>
      </c>
      <c r="B253">
        <v>24</v>
      </c>
      <c r="C253">
        <v>168</v>
      </c>
      <c r="D253">
        <v>11</v>
      </c>
      <c r="E253">
        <v>126</v>
      </c>
      <c r="F253">
        <v>72</v>
      </c>
      <c r="G253">
        <v>12</v>
      </c>
    </row>
    <row r="254" spans="1:7">
      <c r="A254" s="21" t="s">
        <v>1734</v>
      </c>
      <c r="B254">
        <v>5</v>
      </c>
      <c r="C254">
        <v>19</v>
      </c>
      <c r="D254">
        <v>12.2</v>
      </c>
      <c r="E254">
        <v>2</v>
      </c>
      <c r="F254">
        <v>2</v>
      </c>
      <c r="G254">
        <v>2</v>
      </c>
    </row>
    <row r="255" spans="1:7">
      <c r="A255" s="21" t="s">
        <v>1736</v>
      </c>
      <c r="B255">
        <v>3</v>
      </c>
      <c r="C255">
        <v>17</v>
      </c>
      <c r="D255">
        <v>5.5</v>
      </c>
      <c r="E255">
        <v>26</v>
      </c>
      <c r="F255">
        <v>12</v>
      </c>
      <c r="G255">
        <v>3</v>
      </c>
    </row>
    <row r="256" spans="1:7">
      <c r="A256" s="21" t="s">
        <v>1817</v>
      </c>
      <c r="B256">
        <v>1</v>
      </c>
      <c r="C256">
        <v>3</v>
      </c>
      <c r="D256">
        <v>2.9</v>
      </c>
      <c r="E256">
        <v>0</v>
      </c>
      <c r="F256">
        <v>0</v>
      </c>
      <c r="G256">
        <v>0</v>
      </c>
    </row>
    <row r="257" spans="1:7">
      <c r="A257" s="20" t="s">
        <v>1209</v>
      </c>
      <c r="B257">
        <v>766</v>
      </c>
      <c r="C257">
        <v>2549</v>
      </c>
      <c r="D257">
        <v>142.70000000000002</v>
      </c>
      <c r="E257">
        <v>2135</v>
      </c>
      <c r="F257">
        <v>620</v>
      </c>
      <c r="G257">
        <v>322</v>
      </c>
    </row>
    <row r="258" spans="1:7">
      <c r="A258" s="21" t="s">
        <v>1305</v>
      </c>
      <c r="B258">
        <v>37</v>
      </c>
      <c r="C258">
        <v>55</v>
      </c>
      <c r="D258">
        <v>5.7</v>
      </c>
      <c r="E258">
        <v>37</v>
      </c>
      <c r="F258">
        <v>9</v>
      </c>
      <c r="G258">
        <v>23</v>
      </c>
    </row>
    <row r="259" spans="1:7">
      <c r="A259" s="21" t="s">
        <v>1324</v>
      </c>
      <c r="B259">
        <v>2</v>
      </c>
      <c r="C259">
        <v>13</v>
      </c>
      <c r="D259">
        <v>2.7</v>
      </c>
      <c r="E259">
        <v>1</v>
      </c>
      <c r="F259">
        <v>4</v>
      </c>
      <c r="G259">
        <v>2</v>
      </c>
    </row>
    <row r="260" spans="1:7">
      <c r="A260" s="21" t="s">
        <v>1326</v>
      </c>
      <c r="B260">
        <v>58</v>
      </c>
      <c r="C260">
        <v>270</v>
      </c>
      <c r="D260">
        <v>11.8</v>
      </c>
      <c r="E260">
        <v>423</v>
      </c>
      <c r="F260">
        <v>80</v>
      </c>
      <c r="G260">
        <v>22</v>
      </c>
    </row>
    <row r="261" spans="1:7">
      <c r="A261" s="21" t="s">
        <v>1351</v>
      </c>
      <c r="B261">
        <v>3</v>
      </c>
      <c r="C261">
        <v>14</v>
      </c>
      <c r="D261">
        <v>5</v>
      </c>
      <c r="E261">
        <v>22</v>
      </c>
      <c r="F261">
        <v>8</v>
      </c>
      <c r="G261">
        <v>3</v>
      </c>
    </row>
    <row r="262" spans="1:7">
      <c r="A262" s="21" t="s">
        <v>1362</v>
      </c>
      <c r="B262">
        <v>17</v>
      </c>
      <c r="C262">
        <v>50</v>
      </c>
      <c r="D262">
        <v>4</v>
      </c>
      <c r="E262">
        <v>23</v>
      </c>
      <c r="F262">
        <v>33</v>
      </c>
      <c r="G262">
        <v>10</v>
      </c>
    </row>
    <row r="263" spans="1:7">
      <c r="A263" s="21" t="s">
        <v>1377</v>
      </c>
      <c r="B263">
        <v>33</v>
      </c>
      <c r="C263">
        <v>56</v>
      </c>
      <c r="D263">
        <v>8.1999999999999993</v>
      </c>
      <c r="E263">
        <v>15</v>
      </c>
      <c r="F263">
        <v>7</v>
      </c>
      <c r="G263">
        <v>15</v>
      </c>
    </row>
    <row r="264" spans="1:7">
      <c r="A264" s="21" t="s">
        <v>1399</v>
      </c>
      <c r="B264">
        <v>39</v>
      </c>
      <c r="C264">
        <v>179</v>
      </c>
      <c r="D264">
        <v>8.6999999999999993</v>
      </c>
      <c r="E264">
        <v>62</v>
      </c>
      <c r="F264">
        <v>23</v>
      </c>
      <c r="G264">
        <v>8</v>
      </c>
    </row>
    <row r="265" spans="1:7">
      <c r="A265" s="21" t="s">
        <v>1440</v>
      </c>
      <c r="B265">
        <v>82</v>
      </c>
      <c r="C265">
        <v>170</v>
      </c>
      <c r="D265">
        <v>6</v>
      </c>
      <c r="E265">
        <v>88</v>
      </c>
      <c r="F265">
        <v>57</v>
      </c>
      <c r="G265">
        <v>25</v>
      </c>
    </row>
    <row r="266" spans="1:7">
      <c r="A266" s="21" t="s">
        <v>1461</v>
      </c>
      <c r="B266">
        <v>22</v>
      </c>
      <c r="C266">
        <v>72</v>
      </c>
      <c r="D266">
        <v>3.9</v>
      </c>
      <c r="E266">
        <v>101</v>
      </c>
      <c r="F266">
        <v>50</v>
      </c>
      <c r="G266">
        <v>14</v>
      </c>
    </row>
    <row r="267" spans="1:7">
      <c r="A267" s="21" t="s">
        <v>1537</v>
      </c>
      <c r="B267">
        <v>68</v>
      </c>
      <c r="C267">
        <v>115</v>
      </c>
      <c r="D267">
        <v>8.1999999999999993</v>
      </c>
      <c r="E267">
        <v>40</v>
      </c>
      <c r="F267">
        <v>36</v>
      </c>
      <c r="G267">
        <v>11</v>
      </c>
    </row>
    <row r="268" spans="1:7">
      <c r="A268" s="21" t="s">
        <v>1540</v>
      </c>
      <c r="B268">
        <v>78</v>
      </c>
      <c r="C268">
        <v>190</v>
      </c>
      <c r="D268">
        <v>9.6999999999999993</v>
      </c>
      <c r="E268">
        <v>56</v>
      </c>
      <c r="F268">
        <v>34</v>
      </c>
      <c r="G268">
        <v>50</v>
      </c>
    </row>
    <row r="269" spans="1:7">
      <c r="A269" s="21" t="s">
        <v>1576</v>
      </c>
      <c r="B269">
        <v>38</v>
      </c>
      <c r="C269">
        <v>75</v>
      </c>
      <c r="D269">
        <v>8</v>
      </c>
      <c r="E269">
        <v>41</v>
      </c>
      <c r="F269">
        <v>29</v>
      </c>
      <c r="G269">
        <v>12</v>
      </c>
    </row>
    <row r="270" spans="1:7">
      <c r="A270" s="21" t="s">
        <v>1647</v>
      </c>
      <c r="B270">
        <v>70</v>
      </c>
      <c r="C270">
        <v>476</v>
      </c>
      <c r="D270">
        <v>16.899999999999999</v>
      </c>
      <c r="E270">
        <v>574</v>
      </c>
      <c r="F270">
        <v>70</v>
      </c>
      <c r="G270">
        <v>42</v>
      </c>
    </row>
    <row r="271" spans="1:7">
      <c r="A271" s="21" t="s">
        <v>1655</v>
      </c>
      <c r="B271">
        <v>40</v>
      </c>
      <c r="C271">
        <v>370</v>
      </c>
      <c r="D271">
        <v>17</v>
      </c>
      <c r="E271">
        <v>385</v>
      </c>
      <c r="F271">
        <v>90</v>
      </c>
      <c r="G271">
        <v>20</v>
      </c>
    </row>
    <row r="272" spans="1:7">
      <c r="A272" s="21" t="s">
        <v>1674</v>
      </c>
      <c r="B272">
        <v>3</v>
      </c>
      <c r="C272">
        <v>20</v>
      </c>
      <c r="D272">
        <v>4.5</v>
      </c>
      <c r="E272">
        <v>21</v>
      </c>
      <c r="F272">
        <v>2</v>
      </c>
      <c r="G272">
        <v>3</v>
      </c>
    </row>
    <row r="273" spans="1:7">
      <c r="A273" s="21" t="s">
        <v>1683</v>
      </c>
      <c r="B273">
        <v>24</v>
      </c>
      <c r="C273">
        <v>71</v>
      </c>
      <c r="D273">
        <v>3.5</v>
      </c>
      <c r="E273">
        <v>44</v>
      </c>
      <c r="F273">
        <v>10</v>
      </c>
      <c r="G273">
        <v>17</v>
      </c>
    </row>
    <row r="274" spans="1:7">
      <c r="A274" s="21" t="s">
        <v>1749</v>
      </c>
      <c r="B274">
        <v>0</v>
      </c>
      <c r="C274">
        <v>0</v>
      </c>
      <c r="D274">
        <v>-2.2000000000000002</v>
      </c>
      <c r="E274">
        <v>1</v>
      </c>
      <c r="F274">
        <v>0</v>
      </c>
      <c r="G274">
        <v>0</v>
      </c>
    </row>
    <row r="275" spans="1:7">
      <c r="A275" s="21" t="s">
        <v>1766</v>
      </c>
      <c r="B275">
        <v>77</v>
      </c>
      <c r="C275">
        <v>218</v>
      </c>
      <c r="D275">
        <v>8.6</v>
      </c>
      <c r="E275">
        <v>83</v>
      </c>
      <c r="F275">
        <v>47</v>
      </c>
      <c r="G275">
        <v>24</v>
      </c>
    </row>
    <row r="276" spans="1:7">
      <c r="A276" s="21" t="s">
        <v>1780</v>
      </c>
      <c r="B276">
        <v>29</v>
      </c>
      <c r="C276">
        <v>74</v>
      </c>
      <c r="D276">
        <v>8.1</v>
      </c>
      <c r="E276">
        <v>103</v>
      </c>
      <c r="F276">
        <v>23</v>
      </c>
      <c r="G276">
        <v>6</v>
      </c>
    </row>
    <row r="277" spans="1:7">
      <c r="A277" s="21" t="s">
        <v>1820</v>
      </c>
      <c r="B277">
        <v>46</v>
      </c>
      <c r="C277">
        <v>61</v>
      </c>
      <c r="D277">
        <v>4.4000000000000004</v>
      </c>
      <c r="E277">
        <v>15</v>
      </c>
      <c r="F277">
        <v>8</v>
      </c>
      <c r="G277">
        <v>15</v>
      </c>
    </row>
    <row r="278" spans="1:7">
      <c r="A278" s="20" t="s">
        <v>1211</v>
      </c>
      <c r="B278">
        <v>995</v>
      </c>
      <c r="C278">
        <v>2679</v>
      </c>
      <c r="D278">
        <v>163</v>
      </c>
      <c r="E278">
        <v>2133</v>
      </c>
      <c r="F278">
        <v>670</v>
      </c>
      <c r="G278">
        <v>444</v>
      </c>
    </row>
    <row r="279" spans="1:7">
      <c r="A279" s="21" t="s">
        <v>1345</v>
      </c>
      <c r="B279">
        <v>128</v>
      </c>
      <c r="C279">
        <v>198</v>
      </c>
      <c r="D279">
        <v>10.8</v>
      </c>
      <c r="E279">
        <v>64</v>
      </c>
      <c r="F279">
        <v>51</v>
      </c>
      <c r="G279">
        <v>38</v>
      </c>
    </row>
    <row r="280" spans="1:7">
      <c r="A280" s="21" t="s">
        <v>1363</v>
      </c>
      <c r="B280">
        <v>13</v>
      </c>
      <c r="C280">
        <v>18</v>
      </c>
      <c r="D280">
        <v>8.6999999999999993</v>
      </c>
      <c r="E280">
        <v>35</v>
      </c>
      <c r="F280">
        <v>10</v>
      </c>
      <c r="G280">
        <v>0</v>
      </c>
    </row>
    <row r="281" spans="1:7">
      <c r="A281" s="21" t="s">
        <v>1430</v>
      </c>
      <c r="B281">
        <v>62</v>
      </c>
      <c r="C281">
        <v>359</v>
      </c>
      <c r="D281">
        <v>13.1</v>
      </c>
      <c r="E281">
        <v>366</v>
      </c>
      <c r="F281">
        <v>83</v>
      </c>
      <c r="G281">
        <v>28</v>
      </c>
    </row>
    <row r="282" spans="1:7">
      <c r="A282" s="21" t="s">
        <v>1468</v>
      </c>
      <c r="B282">
        <v>26</v>
      </c>
      <c r="C282">
        <v>64</v>
      </c>
      <c r="D282">
        <v>6.4</v>
      </c>
      <c r="E282">
        <v>29</v>
      </c>
      <c r="F282">
        <v>12</v>
      </c>
      <c r="G282">
        <v>6</v>
      </c>
    </row>
    <row r="283" spans="1:7">
      <c r="A283" s="21" t="s">
        <v>1494</v>
      </c>
      <c r="B283">
        <v>35</v>
      </c>
      <c r="C283">
        <v>170</v>
      </c>
      <c r="D283">
        <v>14.1</v>
      </c>
      <c r="E283">
        <v>365</v>
      </c>
      <c r="F283">
        <v>60</v>
      </c>
      <c r="G283">
        <v>10</v>
      </c>
    </row>
    <row r="284" spans="1:7">
      <c r="A284" s="21" t="s">
        <v>1536</v>
      </c>
      <c r="B284">
        <v>89</v>
      </c>
      <c r="C284">
        <v>326</v>
      </c>
      <c r="D284">
        <v>12.4</v>
      </c>
      <c r="E284">
        <v>148</v>
      </c>
      <c r="F284">
        <v>89</v>
      </c>
      <c r="G284">
        <v>111</v>
      </c>
    </row>
    <row r="285" spans="1:7">
      <c r="A285" s="21" t="s">
        <v>1541</v>
      </c>
      <c r="B285">
        <v>32</v>
      </c>
      <c r="C285">
        <v>96</v>
      </c>
      <c r="D285">
        <v>10.8</v>
      </c>
      <c r="E285">
        <v>38</v>
      </c>
      <c r="F285">
        <v>19</v>
      </c>
      <c r="G285">
        <v>58</v>
      </c>
    </row>
    <row r="286" spans="1:7">
      <c r="A286" s="21" t="s">
        <v>1547</v>
      </c>
      <c r="B286">
        <v>87</v>
      </c>
      <c r="C286">
        <v>182</v>
      </c>
      <c r="D286">
        <v>6.5</v>
      </c>
      <c r="E286">
        <v>134</v>
      </c>
      <c r="F286">
        <v>47</v>
      </c>
      <c r="G286">
        <v>8</v>
      </c>
    </row>
    <row r="287" spans="1:7">
      <c r="A287" s="21" t="s">
        <v>1567</v>
      </c>
      <c r="B287">
        <v>37</v>
      </c>
      <c r="C287">
        <v>115</v>
      </c>
      <c r="D287">
        <v>9.4</v>
      </c>
      <c r="E287">
        <v>41</v>
      </c>
      <c r="F287">
        <v>32</v>
      </c>
      <c r="G287">
        <v>14</v>
      </c>
    </row>
    <row r="288" spans="1:7">
      <c r="A288" s="21" t="s">
        <v>1642</v>
      </c>
      <c r="B288">
        <v>3</v>
      </c>
      <c r="C288">
        <v>34</v>
      </c>
      <c r="D288">
        <v>9</v>
      </c>
      <c r="E288">
        <v>9</v>
      </c>
      <c r="F288">
        <v>5</v>
      </c>
      <c r="G288">
        <v>3</v>
      </c>
    </row>
    <row r="289" spans="1:7">
      <c r="A289" s="21" t="s">
        <v>1657</v>
      </c>
      <c r="B289">
        <v>39</v>
      </c>
      <c r="C289">
        <v>143</v>
      </c>
      <c r="D289">
        <v>9.3000000000000007</v>
      </c>
      <c r="E289">
        <v>215</v>
      </c>
      <c r="F289">
        <v>52</v>
      </c>
      <c r="G289">
        <v>7</v>
      </c>
    </row>
    <row r="290" spans="1:7">
      <c r="A290" s="21" t="s">
        <v>1675</v>
      </c>
      <c r="B290">
        <v>37</v>
      </c>
      <c r="C290">
        <v>47</v>
      </c>
      <c r="D290">
        <v>12.3</v>
      </c>
      <c r="E290">
        <v>12</v>
      </c>
      <c r="F290">
        <v>9</v>
      </c>
      <c r="G290">
        <v>9</v>
      </c>
    </row>
    <row r="291" spans="1:7">
      <c r="A291" s="21" t="s">
        <v>1773</v>
      </c>
      <c r="B291">
        <v>91</v>
      </c>
      <c r="C291">
        <v>325</v>
      </c>
      <c r="D291">
        <v>12.1</v>
      </c>
      <c r="E291">
        <v>189</v>
      </c>
      <c r="F291">
        <v>52</v>
      </c>
      <c r="G291">
        <v>26</v>
      </c>
    </row>
    <row r="292" spans="1:7">
      <c r="A292" s="21" t="s">
        <v>1776</v>
      </c>
      <c r="B292">
        <v>63</v>
      </c>
      <c r="C292">
        <v>198</v>
      </c>
      <c r="D292">
        <v>10.6</v>
      </c>
      <c r="E292">
        <v>348</v>
      </c>
      <c r="F292">
        <v>103</v>
      </c>
      <c r="G292">
        <v>32</v>
      </c>
    </row>
    <row r="293" spans="1:7">
      <c r="A293" s="21" t="s">
        <v>1840</v>
      </c>
      <c r="B293">
        <v>22</v>
      </c>
      <c r="C293">
        <v>76</v>
      </c>
      <c r="D293">
        <v>6.5</v>
      </c>
      <c r="E293">
        <v>54</v>
      </c>
      <c r="F293">
        <v>11</v>
      </c>
      <c r="G293">
        <v>8</v>
      </c>
    </row>
    <row r="294" spans="1:7">
      <c r="A294" s="21" t="s">
        <v>1847</v>
      </c>
      <c r="B294">
        <v>0</v>
      </c>
      <c r="C294">
        <v>11</v>
      </c>
      <c r="D294">
        <v>8.6</v>
      </c>
      <c r="E294">
        <v>20</v>
      </c>
      <c r="F294">
        <v>2</v>
      </c>
      <c r="G294">
        <v>0</v>
      </c>
    </row>
    <row r="295" spans="1:7">
      <c r="A295" s="21" t="s">
        <v>1852</v>
      </c>
      <c r="B295">
        <v>231</v>
      </c>
      <c r="C295">
        <v>317</v>
      </c>
      <c r="D295">
        <v>11.1</v>
      </c>
      <c r="E295">
        <v>66</v>
      </c>
      <c r="F295">
        <v>33</v>
      </c>
      <c r="G295">
        <v>86</v>
      </c>
    </row>
    <row r="296" spans="1:7">
      <c r="A296" s="21" t="s">
        <v>1857</v>
      </c>
      <c r="B296">
        <v>0</v>
      </c>
      <c r="C296">
        <v>0</v>
      </c>
      <c r="D296">
        <v>-8.6999999999999993</v>
      </c>
      <c r="E296">
        <v>0</v>
      </c>
      <c r="F296">
        <v>0</v>
      </c>
      <c r="G296">
        <v>0</v>
      </c>
    </row>
    <row r="297" spans="1:7">
      <c r="A297" s="20" t="s">
        <v>1213</v>
      </c>
      <c r="B297">
        <v>862</v>
      </c>
      <c r="C297">
        <v>2930</v>
      </c>
      <c r="D297">
        <v>173.70000000000005</v>
      </c>
      <c r="E297">
        <v>2421</v>
      </c>
      <c r="F297">
        <v>742</v>
      </c>
      <c r="G297">
        <v>349</v>
      </c>
    </row>
    <row r="298" spans="1:7">
      <c r="A298" s="21" t="s">
        <v>1302</v>
      </c>
      <c r="B298">
        <v>15</v>
      </c>
      <c r="C298">
        <v>108</v>
      </c>
      <c r="D298">
        <v>8.8000000000000007</v>
      </c>
      <c r="E298">
        <v>54</v>
      </c>
      <c r="F298">
        <v>29</v>
      </c>
      <c r="G298">
        <v>5</v>
      </c>
    </row>
    <row r="299" spans="1:7">
      <c r="A299" s="21" t="s">
        <v>1315</v>
      </c>
      <c r="B299">
        <v>90</v>
      </c>
      <c r="C299">
        <v>180</v>
      </c>
      <c r="D299">
        <v>10.5</v>
      </c>
      <c r="E299">
        <v>156</v>
      </c>
      <c r="F299">
        <v>60</v>
      </c>
      <c r="G299">
        <v>48</v>
      </c>
    </row>
    <row r="300" spans="1:7">
      <c r="A300" s="21" t="s">
        <v>1328</v>
      </c>
      <c r="B300">
        <v>187</v>
      </c>
      <c r="C300">
        <v>562</v>
      </c>
      <c r="D300">
        <v>13.7</v>
      </c>
      <c r="E300">
        <v>335</v>
      </c>
      <c r="F300">
        <v>101</v>
      </c>
      <c r="G300">
        <v>55</v>
      </c>
    </row>
    <row r="301" spans="1:7">
      <c r="A301" s="21" t="s">
        <v>1414</v>
      </c>
      <c r="B301">
        <v>37</v>
      </c>
      <c r="C301">
        <v>133</v>
      </c>
      <c r="D301">
        <v>6.9</v>
      </c>
      <c r="E301">
        <v>363</v>
      </c>
      <c r="F301">
        <v>74</v>
      </c>
      <c r="G301">
        <v>15</v>
      </c>
    </row>
    <row r="302" spans="1:7">
      <c r="A302" s="21" t="s">
        <v>1446</v>
      </c>
      <c r="B302">
        <v>13</v>
      </c>
      <c r="C302">
        <v>24</v>
      </c>
      <c r="D302">
        <v>8.1999999999999993</v>
      </c>
      <c r="E302">
        <v>22</v>
      </c>
      <c r="F302">
        <v>21</v>
      </c>
      <c r="G302">
        <v>6</v>
      </c>
    </row>
    <row r="303" spans="1:7">
      <c r="A303" s="21" t="s">
        <v>1447</v>
      </c>
      <c r="B303">
        <v>15</v>
      </c>
      <c r="C303">
        <v>148</v>
      </c>
      <c r="D303">
        <v>7.8</v>
      </c>
      <c r="E303">
        <v>178</v>
      </c>
      <c r="F303">
        <v>37</v>
      </c>
      <c r="G303">
        <v>7</v>
      </c>
    </row>
    <row r="304" spans="1:7">
      <c r="A304" s="21" t="s">
        <v>1478</v>
      </c>
      <c r="B304">
        <v>74</v>
      </c>
      <c r="C304">
        <v>178</v>
      </c>
      <c r="D304">
        <v>5.7</v>
      </c>
      <c r="E304">
        <v>111</v>
      </c>
      <c r="F304">
        <v>67</v>
      </c>
      <c r="G304">
        <v>37</v>
      </c>
    </row>
    <row r="305" spans="1:7">
      <c r="A305" s="21" t="s">
        <v>1490</v>
      </c>
      <c r="B305">
        <v>0</v>
      </c>
      <c r="C305">
        <v>2</v>
      </c>
      <c r="D305">
        <v>12.5</v>
      </c>
      <c r="E305">
        <v>0</v>
      </c>
      <c r="F305">
        <v>1</v>
      </c>
      <c r="G305">
        <v>0</v>
      </c>
    </row>
    <row r="306" spans="1:7">
      <c r="A306" s="21" t="s">
        <v>1508</v>
      </c>
      <c r="B306">
        <v>86</v>
      </c>
      <c r="C306">
        <v>205</v>
      </c>
      <c r="D306">
        <v>9.8000000000000007</v>
      </c>
      <c r="E306">
        <v>165</v>
      </c>
      <c r="F306">
        <v>59</v>
      </c>
      <c r="G306">
        <v>13</v>
      </c>
    </row>
    <row r="307" spans="1:7">
      <c r="A307" s="21" t="s">
        <v>1583</v>
      </c>
      <c r="B307">
        <v>0</v>
      </c>
      <c r="C307">
        <v>8</v>
      </c>
      <c r="D307">
        <v>6.3</v>
      </c>
      <c r="E307">
        <v>8</v>
      </c>
      <c r="F307">
        <v>6</v>
      </c>
      <c r="G307">
        <v>3</v>
      </c>
    </row>
    <row r="308" spans="1:7">
      <c r="A308" s="21" t="s">
        <v>1589</v>
      </c>
      <c r="B308">
        <v>6</v>
      </c>
      <c r="C308">
        <v>6</v>
      </c>
      <c r="D308">
        <v>1.5</v>
      </c>
      <c r="E308">
        <v>12</v>
      </c>
      <c r="F308">
        <v>8</v>
      </c>
      <c r="G308">
        <v>1</v>
      </c>
    </row>
    <row r="309" spans="1:7">
      <c r="A309" s="21" t="s">
        <v>1608</v>
      </c>
      <c r="B309">
        <v>115</v>
      </c>
      <c r="C309">
        <v>358</v>
      </c>
      <c r="D309">
        <v>11.9</v>
      </c>
      <c r="E309">
        <v>58</v>
      </c>
      <c r="F309">
        <v>38</v>
      </c>
      <c r="G309">
        <v>70</v>
      </c>
    </row>
    <row r="310" spans="1:7">
      <c r="A310" s="21" t="s">
        <v>1615</v>
      </c>
      <c r="B310">
        <v>6</v>
      </c>
      <c r="C310">
        <v>22</v>
      </c>
      <c r="D310">
        <v>11.4</v>
      </c>
      <c r="E310">
        <v>5</v>
      </c>
      <c r="F310">
        <v>5</v>
      </c>
      <c r="G310">
        <v>5</v>
      </c>
    </row>
    <row r="311" spans="1:7">
      <c r="A311" s="21" t="s">
        <v>1620</v>
      </c>
      <c r="B311">
        <v>23</v>
      </c>
      <c r="C311">
        <v>71</v>
      </c>
      <c r="D311">
        <v>10.9</v>
      </c>
      <c r="E311">
        <v>23</v>
      </c>
      <c r="F311">
        <v>16</v>
      </c>
      <c r="G311">
        <v>5</v>
      </c>
    </row>
    <row r="312" spans="1:7">
      <c r="A312" s="21" t="s">
        <v>1635</v>
      </c>
      <c r="B312">
        <v>55</v>
      </c>
      <c r="C312">
        <v>153</v>
      </c>
      <c r="D312">
        <v>10.8</v>
      </c>
      <c r="E312">
        <v>146</v>
      </c>
      <c r="F312">
        <v>43</v>
      </c>
      <c r="G312">
        <v>31</v>
      </c>
    </row>
    <row r="313" spans="1:7">
      <c r="A313" s="21" t="s">
        <v>1713</v>
      </c>
      <c r="B313">
        <v>28</v>
      </c>
      <c r="C313">
        <v>152</v>
      </c>
      <c r="D313">
        <v>9.8000000000000007</v>
      </c>
      <c r="E313">
        <v>129</v>
      </c>
      <c r="F313">
        <v>37</v>
      </c>
      <c r="G313">
        <v>14</v>
      </c>
    </row>
    <row r="314" spans="1:7">
      <c r="A314" s="21" t="s">
        <v>1740</v>
      </c>
      <c r="B314">
        <v>28</v>
      </c>
      <c r="C314">
        <v>66</v>
      </c>
      <c r="D314">
        <v>5.5</v>
      </c>
      <c r="E314">
        <v>66</v>
      </c>
      <c r="F314">
        <v>33</v>
      </c>
      <c r="G314">
        <v>6</v>
      </c>
    </row>
    <row r="315" spans="1:7">
      <c r="A315" s="21" t="s">
        <v>1801</v>
      </c>
      <c r="B315">
        <v>45</v>
      </c>
      <c r="C315">
        <v>192</v>
      </c>
      <c r="D315">
        <v>7.8</v>
      </c>
      <c r="E315">
        <v>166</v>
      </c>
      <c r="F315">
        <v>38</v>
      </c>
      <c r="G315">
        <v>13</v>
      </c>
    </row>
    <row r="316" spans="1:7">
      <c r="A316" s="21" t="s">
        <v>1828</v>
      </c>
      <c r="B316">
        <v>39</v>
      </c>
      <c r="C316">
        <v>362</v>
      </c>
      <c r="D316">
        <v>13.9</v>
      </c>
      <c r="E316">
        <v>424</v>
      </c>
      <c r="F316">
        <v>69</v>
      </c>
      <c r="G316">
        <v>15</v>
      </c>
    </row>
    <row r="317" spans="1:7">
      <c r="A317" s="20" t="s">
        <v>1215</v>
      </c>
      <c r="B317">
        <v>756</v>
      </c>
      <c r="C317">
        <v>3116</v>
      </c>
      <c r="D317">
        <v>160.00000000000003</v>
      </c>
      <c r="E317">
        <v>2175</v>
      </c>
      <c r="F317">
        <v>641</v>
      </c>
      <c r="G317">
        <v>417</v>
      </c>
    </row>
    <row r="318" spans="1:7">
      <c r="A318" s="21" t="s">
        <v>1298</v>
      </c>
      <c r="B318">
        <v>15</v>
      </c>
      <c r="C318">
        <v>153</v>
      </c>
      <c r="D318">
        <v>5.8</v>
      </c>
      <c r="E318">
        <v>110</v>
      </c>
      <c r="F318">
        <v>37</v>
      </c>
      <c r="G318">
        <v>7</v>
      </c>
    </row>
    <row r="319" spans="1:7">
      <c r="A319" s="21" t="s">
        <v>1313</v>
      </c>
      <c r="B319">
        <v>67</v>
      </c>
      <c r="C319">
        <v>114</v>
      </c>
      <c r="D319">
        <v>5.0999999999999996</v>
      </c>
      <c r="E319">
        <v>80</v>
      </c>
      <c r="F319">
        <v>34</v>
      </c>
      <c r="G319">
        <v>13</v>
      </c>
    </row>
    <row r="320" spans="1:7">
      <c r="A320" s="21" t="s">
        <v>1336</v>
      </c>
      <c r="B320">
        <v>88</v>
      </c>
      <c r="C320">
        <v>323</v>
      </c>
      <c r="D320">
        <v>13.1</v>
      </c>
      <c r="E320">
        <v>103</v>
      </c>
      <c r="F320">
        <v>34</v>
      </c>
      <c r="G320">
        <v>25</v>
      </c>
    </row>
    <row r="321" spans="1:7">
      <c r="A321" s="21" t="s">
        <v>1352</v>
      </c>
      <c r="B321">
        <v>112</v>
      </c>
      <c r="C321">
        <v>288</v>
      </c>
      <c r="D321">
        <v>8.6999999999999993</v>
      </c>
      <c r="E321">
        <v>144</v>
      </c>
      <c r="F321">
        <v>48</v>
      </c>
      <c r="G321">
        <v>152</v>
      </c>
    </row>
    <row r="322" spans="1:7">
      <c r="A322" s="21" t="s">
        <v>1374</v>
      </c>
      <c r="B322">
        <v>11</v>
      </c>
      <c r="C322">
        <v>25</v>
      </c>
      <c r="D322">
        <v>9.9</v>
      </c>
      <c r="E322">
        <v>4</v>
      </c>
      <c r="F322">
        <v>4</v>
      </c>
      <c r="G322">
        <v>0</v>
      </c>
    </row>
    <row r="323" spans="1:7">
      <c r="A323" s="21" t="s">
        <v>1400</v>
      </c>
      <c r="B323">
        <v>29</v>
      </c>
      <c r="C323">
        <v>244</v>
      </c>
      <c r="D323">
        <v>14.4</v>
      </c>
      <c r="E323">
        <v>412</v>
      </c>
      <c r="F323">
        <v>70</v>
      </c>
      <c r="G323">
        <v>12</v>
      </c>
    </row>
    <row r="324" spans="1:7">
      <c r="A324" s="21" t="s">
        <v>1466</v>
      </c>
      <c r="B324">
        <v>22</v>
      </c>
      <c r="C324">
        <v>148</v>
      </c>
      <c r="D324">
        <v>7</v>
      </c>
      <c r="E324">
        <v>89</v>
      </c>
      <c r="F324">
        <v>74</v>
      </c>
      <c r="G324">
        <v>7</v>
      </c>
    </row>
    <row r="325" spans="1:7">
      <c r="A325" s="21" t="s">
        <v>1469</v>
      </c>
      <c r="B325">
        <v>147</v>
      </c>
      <c r="C325">
        <v>650</v>
      </c>
      <c r="D325">
        <v>21</v>
      </c>
      <c r="E325">
        <v>436</v>
      </c>
      <c r="F325">
        <v>60</v>
      </c>
      <c r="G325">
        <v>80</v>
      </c>
    </row>
    <row r="326" spans="1:7">
      <c r="A326" s="21" t="s">
        <v>1527</v>
      </c>
      <c r="B326">
        <v>1</v>
      </c>
      <c r="C326">
        <v>4</v>
      </c>
      <c r="D326">
        <v>6.7</v>
      </c>
      <c r="E326">
        <v>10</v>
      </c>
      <c r="F326">
        <v>4</v>
      </c>
      <c r="G326">
        <v>2</v>
      </c>
    </row>
    <row r="327" spans="1:7">
      <c r="A327" s="21" t="s">
        <v>1558</v>
      </c>
      <c r="B327">
        <v>69</v>
      </c>
      <c r="C327">
        <v>127</v>
      </c>
      <c r="D327">
        <v>7</v>
      </c>
      <c r="E327">
        <v>32</v>
      </c>
      <c r="F327">
        <v>11</v>
      </c>
      <c r="G327">
        <v>21</v>
      </c>
    </row>
    <row r="328" spans="1:7">
      <c r="A328" s="21" t="s">
        <v>1622</v>
      </c>
      <c r="B328">
        <v>45</v>
      </c>
      <c r="C328">
        <v>233</v>
      </c>
      <c r="D328">
        <v>11.9</v>
      </c>
      <c r="E328">
        <v>255</v>
      </c>
      <c r="F328">
        <v>83</v>
      </c>
      <c r="G328">
        <v>15</v>
      </c>
    </row>
    <row r="329" spans="1:7">
      <c r="A329" s="21" t="s">
        <v>1637</v>
      </c>
      <c r="B329">
        <v>52</v>
      </c>
      <c r="C329">
        <v>319</v>
      </c>
      <c r="D329">
        <v>8</v>
      </c>
      <c r="E329">
        <v>150</v>
      </c>
      <c r="F329">
        <v>39</v>
      </c>
      <c r="G329">
        <v>20</v>
      </c>
    </row>
    <row r="330" spans="1:7">
      <c r="A330" s="21" t="s">
        <v>1650</v>
      </c>
      <c r="B330">
        <v>7</v>
      </c>
      <c r="C330">
        <v>5</v>
      </c>
      <c r="D330">
        <v>-2.5</v>
      </c>
      <c r="E330">
        <v>3</v>
      </c>
      <c r="F330">
        <v>3</v>
      </c>
      <c r="G330">
        <v>3</v>
      </c>
    </row>
    <row r="331" spans="1:7">
      <c r="A331" s="21" t="s">
        <v>1732</v>
      </c>
      <c r="B331">
        <v>21</v>
      </c>
      <c r="C331">
        <v>90</v>
      </c>
      <c r="D331">
        <v>8.8000000000000007</v>
      </c>
      <c r="E331">
        <v>70</v>
      </c>
      <c r="F331">
        <v>8</v>
      </c>
      <c r="G331">
        <v>12</v>
      </c>
    </row>
    <row r="332" spans="1:7">
      <c r="A332" s="21" t="s">
        <v>1741</v>
      </c>
      <c r="B332">
        <v>5</v>
      </c>
      <c r="C332">
        <v>16</v>
      </c>
      <c r="D332">
        <v>5.4</v>
      </c>
      <c r="E332">
        <v>10</v>
      </c>
      <c r="F332">
        <v>3</v>
      </c>
      <c r="G332">
        <v>3</v>
      </c>
    </row>
    <row r="333" spans="1:7">
      <c r="A333" s="21" t="s">
        <v>1769</v>
      </c>
      <c r="B333">
        <v>22</v>
      </c>
      <c r="C333">
        <v>90</v>
      </c>
      <c r="D333">
        <v>8.8000000000000007</v>
      </c>
      <c r="E333">
        <v>106</v>
      </c>
      <c r="F333">
        <v>45</v>
      </c>
      <c r="G333">
        <v>17</v>
      </c>
    </row>
    <row r="334" spans="1:7">
      <c r="A334" s="21" t="s">
        <v>1786</v>
      </c>
      <c r="B334">
        <v>4</v>
      </c>
      <c r="C334">
        <v>13</v>
      </c>
      <c r="D334">
        <v>2.2000000000000002</v>
      </c>
      <c r="E334">
        <v>4</v>
      </c>
      <c r="F334">
        <v>2</v>
      </c>
      <c r="G334">
        <v>7</v>
      </c>
    </row>
    <row r="335" spans="1:7">
      <c r="A335" s="21" t="s">
        <v>1795</v>
      </c>
      <c r="B335">
        <v>32</v>
      </c>
      <c r="C335">
        <v>256</v>
      </c>
      <c r="D335">
        <v>6.4</v>
      </c>
      <c r="E335">
        <v>152</v>
      </c>
      <c r="F335">
        <v>80</v>
      </c>
      <c r="G335">
        <v>16</v>
      </c>
    </row>
    <row r="336" spans="1:7">
      <c r="A336" s="21" t="s">
        <v>1830</v>
      </c>
      <c r="B336">
        <v>7</v>
      </c>
      <c r="C336">
        <v>18</v>
      </c>
      <c r="D336">
        <v>12.3</v>
      </c>
      <c r="E336">
        <v>5</v>
      </c>
      <c r="F336">
        <v>2</v>
      </c>
      <c r="G336">
        <v>5</v>
      </c>
    </row>
    <row r="337" spans="1:7">
      <c r="A337" s="20" t="s">
        <v>1217</v>
      </c>
      <c r="B337">
        <v>931</v>
      </c>
      <c r="C337">
        <v>2758</v>
      </c>
      <c r="D337">
        <v>157.4</v>
      </c>
      <c r="E337">
        <v>2175</v>
      </c>
      <c r="F337">
        <v>675</v>
      </c>
      <c r="G337">
        <v>408</v>
      </c>
    </row>
    <row r="338" spans="1:7">
      <c r="A338" s="21" t="s">
        <v>1319</v>
      </c>
      <c r="B338">
        <v>63</v>
      </c>
      <c r="C338">
        <v>387</v>
      </c>
      <c r="D338">
        <v>14</v>
      </c>
      <c r="E338">
        <v>356</v>
      </c>
      <c r="F338">
        <v>95</v>
      </c>
      <c r="G338">
        <v>47</v>
      </c>
    </row>
    <row r="339" spans="1:7">
      <c r="A339" s="21" t="s">
        <v>1340</v>
      </c>
      <c r="B339">
        <v>5</v>
      </c>
      <c r="C339">
        <v>19</v>
      </c>
      <c r="D339">
        <v>10.8</v>
      </c>
      <c r="E339">
        <v>31</v>
      </c>
      <c r="F339">
        <v>19</v>
      </c>
      <c r="G339">
        <v>5</v>
      </c>
    </row>
    <row r="340" spans="1:7">
      <c r="A340" s="21" t="s">
        <v>1396</v>
      </c>
      <c r="B340">
        <v>0</v>
      </c>
      <c r="C340">
        <v>4</v>
      </c>
      <c r="D340">
        <v>2.4</v>
      </c>
      <c r="E340">
        <v>3</v>
      </c>
      <c r="F340">
        <v>0</v>
      </c>
      <c r="G340">
        <v>0</v>
      </c>
    </row>
    <row r="341" spans="1:7">
      <c r="A341" s="21" t="s">
        <v>1439</v>
      </c>
      <c r="B341">
        <v>31</v>
      </c>
      <c r="C341">
        <v>198</v>
      </c>
      <c r="D341">
        <v>10</v>
      </c>
      <c r="E341">
        <v>223</v>
      </c>
      <c r="F341">
        <v>74</v>
      </c>
      <c r="G341">
        <v>19</v>
      </c>
    </row>
    <row r="342" spans="1:7">
      <c r="A342" s="21" t="s">
        <v>1502</v>
      </c>
      <c r="B342">
        <v>131</v>
      </c>
      <c r="C342">
        <v>344</v>
      </c>
      <c r="D342">
        <v>8.6</v>
      </c>
      <c r="E342">
        <v>164</v>
      </c>
      <c r="F342">
        <v>107</v>
      </c>
      <c r="G342">
        <v>74</v>
      </c>
    </row>
    <row r="343" spans="1:7">
      <c r="A343" s="21" t="s">
        <v>1543</v>
      </c>
      <c r="B343">
        <v>28</v>
      </c>
      <c r="C343">
        <v>28</v>
      </c>
      <c r="D343">
        <v>5.7</v>
      </c>
      <c r="E343">
        <v>28</v>
      </c>
      <c r="F343">
        <v>36</v>
      </c>
      <c r="G343">
        <v>4</v>
      </c>
    </row>
    <row r="344" spans="1:7">
      <c r="A344" s="21" t="s">
        <v>1559</v>
      </c>
      <c r="B344">
        <v>0</v>
      </c>
      <c r="C344">
        <v>0</v>
      </c>
      <c r="D344">
        <v>-4.3</v>
      </c>
      <c r="E344">
        <v>1</v>
      </c>
      <c r="F344">
        <v>0</v>
      </c>
      <c r="G344">
        <v>0</v>
      </c>
    </row>
    <row r="345" spans="1:7">
      <c r="A345" s="21" t="s">
        <v>1564</v>
      </c>
      <c r="B345">
        <v>2</v>
      </c>
      <c r="C345">
        <v>10</v>
      </c>
      <c r="D345">
        <v>2.5</v>
      </c>
      <c r="E345">
        <v>23</v>
      </c>
      <c r="F345">
        <v>2</v>
      </c>
      <c r="G345">
        <v>0</v>
      </c>
    </row>
    <row r="346" spans="1:7">
      <c r="A346" s="21" t="s">
        <v>1587</v>
      </c>
      <c r="B346">
        <v>14</v>
      </c>
      <c r="C346">
        <v>37</v>
      </c>
      <c r="D346">
        <v>9.5</v>
      </c>
      <c r="E346">
        <v>18</v>
      </c>
      <c r="F346">
        <v>14</v>
      </c>
      <c r="G346">
        <v>14</v>
      </c>
    </row>
    <row r="347" spans="1:7">
      <c r="A347" s="21" t="s">
        <v>1595</v>
      </c>
      <c r="B347">
        <v>145</v>
      </c>
      <c r="C347">
        <v>345</v>
      </c>
      <c r="D347">
        <v>12.4</v>
      </c>
      <c r="E347">
        <v>324</v>
      </c>
      <c r="F347">
        <v>48</v>
      </c>
      <c r="G347">
        <v>14</v>
      </c>
    </row>
    <row r="348" spans="1:7">
      <c r="A348" s="21" t="s">
        <v>1648</v>
      </c>
      <c r="B348">
        <v>3</v>
      </c>
      <c r="C348">
        <v>8</v>
      </c>
      <c r="D348">
        <v>20.2</v>
      </c>
      <c r="E348">
        <v>0</v>
      </c>
      <c r="F348">
        <v>3</v>
      </c>
      <c r="G348">
        <v>1</v>
      </c>
    </row>
    <row r="349" spans="1:7">
      <c r="A349" s="21" t="s">
        <v>1656</v>
      </c>
      <c r="B349">
        <v>31</v>
      </c>
      <c r="C349">
        <v>23</v>
      </c>
      <c r="D349">
        <v>10.1</v>
      </c>
      <c r="E349">
        <v>12</v>
      </c>
      <c r="F349">
        <v>8</v>
      </c>
      <c r="G349">
        <v>4</v>
      </c>
    </row>
    <row r="350" spans="1:7">
      <c r="A350" s="21" t="s">
        <v>1688</v>
      </c>
      <c r="B350">
        <v>36</v>
      </c>
      <c r="C350">
        <v>149</v>
      </c>
      <c r="D350">
        <v>9.1999999999999993</v>
      </c>
      <c r="E350">
        <v>320</v>
      </c>
      <c r="F350">
        <v>78</v>
      </c>
      <c r="G350">
        <v>14</v>
      </c>
    </row>
    <row r="351" spans="1:7">
      <c r="A351" s="21" t="s">
        <v>1704</v>
      </c>
      <c r="B351">
        <v>96</v>
      </c>
      <c r="C351">
        <v>392</v>
      </c>
      <c r="D351">
        <v>11</v>
      </c>
      <c r="E351">
        <v>184</v>
      </c>
      <c r="F351">
        <v>56</v>
      </c>
      <c r="G351">
        <v>72</v>
      </c>
    </row>
    <row r="352" spans="1:7">
      <c r="A352" s="21" t="s">
        <v>1710</v>
      </c>
      <c r="B352">
        <v>57</v>
      </c>
      <c r="C352">
        <v>213</v>
      </c>
      <c r="D352">
        <v>8.1</v>
      </c>
      <c r="E352">
        <v>221</v>
      </c>
      <c r="F352">
        <v>49</v>
      </c>
      <c r="G352">
        <v>33</v>
      </c>
    </row>
    <row r="353" spans="1:7">
      <c r="A353" s="21" t="s">
        <v>1744</v>
      </c>
      <c r="B353">
        <v>1</v>
      </c>
      <c r="C353">
        <v>4</v>
      </c>
      <c r="D353">
        <v>5.4</v>
      </c>
      <c r="E353">
        <v>5</v>
      </c>
      <c r="F353">
        <v>1</v>
      </c>
      <c r="G353">
        <v>0</v>
      </c>
    </row>
    <row r="354" spans="1:7">
      <c r="A354" s="21" t="s">
        <v>1760</v>
      </c>
      <c r="B354">
        <v>10</v>
      </c>
      <c r="C354">
        <v>39</v>
      </c>
      <c r="D354">
        <v>7.8</v>
      </c>
      <c r="E354">
        <v>98</v>
      </c>
      <c r="F354">
        <v>20</v>
      </c>
      <c r="G354">
        <v>0</v>
      </c>
    </row>
    <row r="355" spans="1:7">
      <c r="A355" s="21" t="s">
        <v>1765</v>
      </c>
      <c r="B355">
        <v>266</v>
      </c>
      <c r="C355">
        <v>518</v>
      </c>
      <c r="D355">
        <v>12.6</v>
      </c>
      <c r="E355">
        <v>130</v>
      </c>
      <c r="F355">
        <v>58</v>
      </c>
      <c r="G355">
        <v>101</v>
      </c>
    </row>
    <row r="356" spans="1:7">
      <c r="A356" s="21" t="s">
        <v>1800</v>
      </c>
      <c r="B356">
        <v>10</v>
      </c>
      <c r="C356">
        <v>38</v>
      </c>
      <c r="D356">
        <v>8.1999999999999993</v>
      </c>
      <c r="E356">
        <v>32</v>
      </c>
      <c r="F356">
        <v>6</v>
      </c>
      <c r="G356">
        <v>6</v>
      </c>
    </row>
    <row r="357" spans="1:7">
      <c r="A357" s="21" t="s">
        <v>1826</v>
      </c>
      <c r="B357">
        <v>2</v>
      </c>
      <c r="C357">
        <v>2</v>
      </c>
      <c r="D357">
        <v>-6.8</v>
      </c>
      <c r="E357">
        <v>2</v>
      </c>
      <c r="F357">
        <v>1</v>
      </c>
      <c r="G357">
        <v>0</v>
      </c>
    </row>
    <row r="358" spans="1:7">
      <c r="A358" s="20" t="s">
        <v>1219</v>
      </c>
      <c r="B358">
        <v>990</v>
      </c>
      <c r="C358">
        <v>2585</v>
      </c>
      <c r="D358">
        <v>191.89999999999998</v>
      </c>
      <c r="E358">
        <v>2099</v>
      </c>
      <c r="F358">
        <v>673</v>
      </c>
      <c r="G358">
        <v>419</v>
      </c>
    </row>
    <row r="359" spans="1:7">
      <c r="A359" s="21" t="s">
        <v>1322</v>
      </c>
      <c r="B359">
        <v>18</v>
      </c>
      <c r="C359">
        <v>44</v>
      </c>
      <c r="D359">
        <v>7.2</v>
      </c>
      <c r="E359">
        <v>40</v>
      </c>
      <c r="F359">
        <v>22</v>
      </c>
      <c r="G359">
        <v>4</v>
      </c>
    </row>
    <row r="360" spans="1:7">
      <c r="A360" s="21" t="s">
        <v>1344</v>
      </c>
      <c r="B360">
        <v>29</v>
      </c>
      <c r="C360">
        <v>105</v>
      </c>
      <c r="D360">
        <v>8.5</v>
      </c>
      <c r="E360">
        <v>92</v>
      </c>
      <c r="F360">
        <v>55</v>
      </c>
      <c r="G360">
        <v>8</v>
      </c>
    </row>
    <row r="361" spans="1:7">
      <c r="A361" s="21" t="s">
        <v>1353</v>
      </c>
      <c r="B361">
        <v>41</v>
      </c>
      <c r="C361">
        <v>123</v>
      </c>
      <c r="D361">
        <v>7.8</v>
      </c>
      <c r="E361">
        <v>82</v>
      </c>
      <c r="F361">
        <v>33</v>
      </c>
      <c r="G361">
        <v>8</v>
      </c>
    </row>
    <row r="362" spans="1:7">
      <c r="A362" s="21" t="s">
        <v>1379</v>
      </c>
      <c r="B362">
        <v>45</v>
      </c>
      <c r="C362">
        <v>168</v>
      </c>
      <c r="D362">
        <v>9.6999999999999993</v>
      </c>
      <c r="E362">
        <v>230</v>
      </c>
      <c r="F362">
        <v>45</v>
      </c>
      <c r="G362">
        <v>22</v>
      </c>
    </row>
    <row r="363" spans="1:7">
      <c r="A363" s="21" t="s">
        <v>1405</v>
      </c>
      <c r="B363">
        <v>46</v>
      </c>
      <c r="C363">
        <v>122</v>
      </c>
      <c r="D363">
        <v>8.1</v>
      </c>
      <c r="E363">
        <v>61</v>
      </c>
      <c r="F363">
        <v>19</v>
      </c>
      <c r="G363">
        <v>19</v>
      </c>
    </row>
    <row r="364" spans="1:7">
      <c r="A364" s="21" t="s">
        <v>1422</v>
      </c>
      <c r="B364">
        <v>16</v>
      </c>
      <c r="C364">
        <v>183</v>
      </c>
      <c r="D364">
        <v>11.8</v>
      </c>
      <c r="E364">
        <v>229</v>
      </c>
      <c r="F364">
        <v>62</v>
      </c>
      <c r="G364">
        <v>12</v>
      </c>
    </row>
    <row r="365" spans="1:7">
      <c r="A365" s="21" t="s">
        <v>1452</v>
      </c>
      <c r="B365">
        <v>14</v>
      </c>
      <c r="C365">
        <v>65</v>
      </c>
      <c r="D365">
        <v>7.9</v>
      </c>
      <c r="E365">
        <v>166</v>
      </c>
      <c r="F365">
        <v>24</v>
      </c>
      <c r="G365">
        <v>12</v>
      </c>
    </row>
    <row r="366" spans="1:7">
      <c r="A366" s="21" t="s">
        <v>1479</v>
      </c>
      <c r="B366">
        <v>22</v>
      </c>
      <c r="C366">
        <v>56</v>
      </c>
      <c r="D366">
        <v>6.2</v>
      </c>
      <c r="E366">
        <v>66</v>
      </c>
      <c r="F366">
        <v>38</v>
      </c>
      <c r="G366">
        <v>10</v>
      </c>
    </row>
    <row r="367" spans="1:7">
      <c r="A367" s="21" t="s">
        <v>1524</v>
      </c>
      <c r="B367">
        <v>26</v>
      </c>
      <c r="C367">
        <v>59</v>
      </c>
      <c r="D367">
        <v>6.7</v>
      </c>
      <c r="E367">
        <v>22</v>
      </c>
      <c r="F367">
        <v>22</v>
      </c>
      <c r="G367">
        <v>7</v>
      </c>
    </row>
    <row r="368" spans="1:7">
      <c r="A368" s="21" t="s">
        <v>1545</v>
      </c>
      <c r="B368">
        <v>6</v>
      </c>
      <c r="C368">
        <v>14</v>
      </c>
      <c r="D368">
        <v>6</v>
      </c>
      <c r="E368">
        <v>18</v>
      </c>
      <c r="F368">
        <v>1</v>
      </c>
      <c r="G368">
        <v>4</v>
      </c>
    </row>
    <row r="369" spans="1:31">
      <c r="A369" s="21" t="s">
        <v>1556</v>
      </c>
      <c r="B369">
        <v>112</v>
      </c>
      <c r="C369">
        <v>205</v>
      </c>
      <c r="D369">
        <v>8.6999999999999993</v>
      </c>
      <c r="E369">
        <v>86</v>
      </c>
      <c r="F369">
        <v>40</v>
      </c>
      <c r="G369">
        <v>7</v>
      </c>
    </row>
    <row r="370" spans="1:31">
      <c r="A370" s="21" t="s">
        <v>1577</v>
      </c>
      <c r="B370">
        <v>22</v>
      </c>
      <c r="C370">
        <v>134</v>
      </c>
      <c r="D370">
        <v>6.6</v>
      </c>
      <c r="E370">
        <v>67</v>
      </c>
      <c r="F370">
        <v>28</v>
      </c>
      <c r="G370">
        <v>22</v>
      </c>
    </row>
    <row r="371" spans="1:31">
      <c r="A371" s="21" t="s">
        <v>1582</v>
      </c>
      <c r="B371">
        <v>28</v>
      </c>
      <c r="C371">
        <v>106</v>
      </c>
      <c r="D371">
        <v>9</v>
      </c>
      <c r="E371">
        <v>258</v>
      </c>
      <c r="F371">
        <v>73</v>
      </c>
      <c r="G371">
        <v>17</v>
      </c>
    </row>
    <row r="372" spans="1:31">
      <c r="A372" s="21" t="s">
        <v>1602</v>
      </c>
      <c r="B372">
        <v>63</v>
      </c>
      <c r="C372">
        <v>147</v>
      </c>
      <c r="D372">
        <v>9.6</v>
      </c>
      <c r="E372">
        <v>46</v>
      </c>
      <c r="F372">
        <v>21</v>
      </c>
      <c r="G372">
        <v>42</v>
      </c>
    </row>
    <row r="373" spans="1:31">
      <c r="A373" s="21" t="s">
        <v>1606</v>
      </c>
      <c r="B373">
        <v>13</v>
      </c>
      <c r="C373">
        <v>46</v>
      </c>
      <c r="D373">
        <v>7.9</v>
      </c>
      <c r="E373">
        <v>13</v>
      </c>
      <c r="F373">
        <v>10</v>
      </c>
      <c r="G373">
        <v>10</v>
      </c>
    </row>
    <row r="374" spans="1:31">
      <c r="A374" s="21" t="s">
        <v>1609</v>
      </c>
      <c r="B374">
        <v>62</v>
      </c>
      <c r="C374">
        <v>145</v>
      </c>
      <c r="D374">
        <v>9.8000000000000007</v>
      </c>
      <c r="E374">
        <v>128</v>
      </c>
      <c r="F374">
        <v>35</v>
      </c>
      <c r="G374">
        <v>18</v>
      </c>
    </row>
    <row r="375" spans="1:31">
      <c r="A375" s="21" t="s">
        <v>1639</v>
      </c>
      <c r="B375">
        <v>12</v>
      </c>
      <c r="C375">
        <v>28</v>
      </c>
      <c r="D375">
        <v>7.2</v>
      </c>
      <c r="E375">
        <v>6</v>
      </c>
      <c r="F375">
        <v>1</v>
      </c>
      <c r="G375">
        <v>3</v>
      </c>
      <c r="K375" s="37" t="s">
        <v>1867</v>
      </c>
    </row>
    <row r="376" spans="1:31">
      <c r="A376" s="21" t="s">
        <v>1649</v>
      </c>
      <c r="B376">
        <v>4</v>
      </c>
      <c r="C376">
        <v>16</v>
      </c>
      <c r="D376">
        <v>6.5</v>
      </c>
      <c r="E376">
        <v>23</v>
      </c>
      <c r="F376">
        <v>3</v>
      </c>
      <c r="G376">
        <v>3</v>
      </c>
      <c r="Z376" s="37" t="s">
        <v>1868</v>
      </c>
    </row>
    <row r="377" spans="1:31">
      <c r="A377" s="21" t="s">
        <v>1693</v>
      </c>
      <c r="B377">
        <v>32</v>
      </c>
      <c r="C377">
        <v>112</v>
      </c>
      <c r="D377">
        <v>10</v>
      </c>
      <c r="E377">
        <v>19</v>
      </c>
      <c r="F377">
        <v>10</v>
      </c>
      <c r="G377">
        <v>32</v>
      </c>
      <c r="L377" s="22" t="s">
        <v>1861</v>
      </c>
      <c r="M377" s="22" t="s">
        <v>1862</v>
      </c>
      <c r="N377" s="22" t="s">
        <v>1863</v>
      </c>
      <c r="AB377" s="22" t="s">
        <v>1864</v>
      </c>
      <c r="AC377" s="22" t="s">
        <v>1865</v>
      </c>
      <c r="AD377" s="22" t="s">
        <v>1866</v>
      </c>
      <c r="AE377" s="22" t="s">
        <v>1863</v>
      </c>
    </row>
    <row r="378" spans="1:31">
      <c r="A378" s="21" t="s">
        <v>1822</v>
      </c>
      <c r="B378">
        <v>48</v>
      </c>
      <c r="C378">
        <v>223</v>
      </c>
      <c r="D378">
        <v>11</v>
      </c>
      <c r="E378">
        <v>186</v>
      </c>
      <c r="F378">
        <v>58</v>
      </c>
      <c r="G378">
        <v>37</v>
      </c>
      <c r="K378" s="35" t="s">
        <v>1223</v>
      </c>
      <c r="L378" s="36">
        <v>879</v>
      </c>
      <c r="M378" s="36">
        <v>2806</v>
      </c>
      <c r="N378" s="36">
        <v>160.50000000000003</v>
      </c>
      <c r="Z378" s="35" t="s">
        <v>1223</v>
      </c>
      <c r="AB378" s="36">
        <v>2195</v>
      </c>
      <c r="AC378" s="36">
        <v>840</v>
      </c>
      <c r="AD378" s="36">
        <v>458</v>
      </c>
      <c r="AE378" s="36">
        <v>160.50000000000003</v>
      </c>
    </row>
    <row r="379" spans="1:31">
      <c r="A379" s="21" t="s">
        <v>1849</v>
      </c>
      <c r="B379">
        <v>256</v>
      </c>
      <c r="C379">
        <v>343</v>
      </c>
      <c r="D379">
        <v>9</v>
      </c>
      <c r="E379">
        <v>102</v>
      </c>
      <c r="F379">
        <v>37</v>
      </c>
      <c r="G379">
        <v>95</v>
      </c>
      <c r="K379" s="21" t="s">
        <v>1294</v>
      </c>
      <c r="L379">
        <v>84</v>
      </c>
      <c r="M379">
        <v>213</v>
      </c>
      <c r="N379">
        <v>10.5</v>
      </c>
      <c r="Z379" s="21" t="s">
        <v>1294</v>
      </c>
      <c r="AB379">
        <v>137</v>
      </c>
      <c r="AC379">
        <v>61</v>
      </c>
      <c r="AD379">
        <v>15</v>
      </c>
      <c r="AE379">
        <v>10.5</v>
      </c>
    </row>
    <row r="380" spans="1:31">
      <c r="A380" s="21" t="s">
        <v>1856</v>
      </c>
      <c r="B380">
        <v>75</v>
      </c>
      <c r="C380">
        <v>141</v>
      </c>
      <c r="D380">
        <v>16.7</v>
      </c>
      <c r="E380">
        <v>159</v>
      </c>
      <c r="F380">
        <v>36</v>
      </c>
      <c r="G380">
        <v>27</v>
      </c>
      <c r="K380" s="21" t="s">
        <v>1295</v>
      </c>
      <c r="L380">
        <v>7</v>
      </c>
      <c r="M380">
        <v>19</v>
      </c>
      <c r="N380">
        <v>2.5</v>
      </c>
      <c r="Z380" s="21" t="s">
        <v>1295</v>
      </c>
      <c r="AB380">
        <v>11</v>
      </c>
      <c r="AC380">
        <v>7</v>
      </c>
      <c r="AD380">
        <v>4</v>
      </c>
      <c r="AE380">
        <v>2.5</v>
      </c>
    </row>
    <row r="381" spans="1:31">
      <c r="A381" s="20" t="s">
        <v>1221</v>
      </c>
      <c r="B381">
        <v>863</v>
      </c>
      <c r="C381">
        <v>2587</v>
      </c>
      <c r="D381">
        <v>156.99999999999997</v>
      </c>
      <c r="E381">
        <v>2282</v>
      </c>
      <c r="F381">
        <v>679</v>
      </c>
      <c r="G381">
        <v>323</v>
      </c>
      <c r="K381" s="21" t="s">
        <v>1300</v>
      </c>
      <c r="L381">
        <v>18</v>
      </c>
      <c r="M381">
        <v>50</v>
      </c>
      <c r="N381">
        <v>8.1999999999999993</v>
      </c>
      <c r="Z381" s="21" t="s">
        <v>1300</v>
      </c>
      <c r="AB381">
        <v>65</v>
      </c>
      <c r="AC381">
        <v>25</v>
      </c>
      <c r="AD381">
        <v>4</v>
      </c>
      <c r="AE381">
        <v>8.1999999999999993</v>
      </c>
    </row>
    <row r="382" spans="1:31">
      <c r="A382" s="21" t="s">
        <v>1321</v>
      </c>
      <c r="B382">
        <v>1</v>
      </c>
      <c r="C382">
        <v>2</v>
      </c>
      <c r="D382">
        <v>3.3</v>
      </c>
      <c r="E382">
        <v>2</v>
      </c>
      <c r="F382">
        <v>1</v>
      </c>
      <c r="G382">
        <v>0</v>
      </c>
      <c r="K382" s="21" t="s">
        <v>1303</v>
      </c>
      <c r="L382">
        <v>38</v>
      </c>
      <c r="M382">
        <v>119</v>
      </c>
      <c r="N382">
        <v>10.1</v>
      </c>
      <c r="Z382" s="21" t="s">
        <v>1303</v>
      </c>
      <c r="AB382">
        <v>135</v>
      </c>
      <c r="AC382">
        <v>86</v>
      </c>
      <c r="AD382">
        <v>32</v>
      </c>
      <c r="AE382">
        <v>10.1</v>
      </c>
    </row>
    <row r="383" spans="1:31">
      <c r="A383" s="21" t="s">
        <v>1323</v>
      </c>
      <c r="B383">
        <v>15</v>
      </c>
      <c r="C383">
        <v>38</v>
      </c>
      <c r="D383">
        <v>4.8</v>
      </c>
      <c r="E383">
        <v>10</v>
      </c>
      <c r="F383">
        <v>0</v>
      </c>
      <c r="G383">
        <v>15</v>
      </c>
      <c r="K383" s="21" t="s">
        <v>1304</v>
      </c>
      <c r="L383">
        <v>8</v>
      </c>
      <c r="M383">
        <v>17</v>
      </c>
      <c r="N383">
        <v>6.5</v>
      </c>
      <c r="Z383" s="21" t="s">
        <v>1304</v>
      </c>
      <c r="AB383">
        <v>4</v>
      </c>
      <c r="AC383">
        <v>4</v>
      </c>
      <c r="AD383">
        <v>0</v>
      </c>
      <c r="AE383">
        <v>6.5</v>
      </c>
    </row>
    <row r="384" spans="1:31">
      <c r="A384" s="21" t="s">
        <v>1367</v>
      </c>
      <c r="B384">
        <v>14</v>
      </c>
      <c r="C384">
        <v>94</v>
      </c>
      <c r="D384">
        <v>8.9</v>
      </c>
      <c r="E384">
        <v>202</v>
      </c>
      <c r="F384">
        <v>36</v>
      </c>
      <c r="G384">
        <v>14</v>
      </c>
      <c r="K384" s="21" t="s">
        <v>1342</v>
      </c>
      <c r="L384">
        <v>16</v>
      </c>
      <c r="M384">
        <v>38</v>
      </c>
      <c r="N384">
        <v>10.1</v>
      </c>
      <c r="Z384" s="21" t="s">
        <v>1342</v>
      </c>
      <c r="AB384">
        <v>13</v>
      </c>
      <c r="AC384">
        <v>6</v>
      </c>
      <c r="AD384">
        <v>22</v>
      </c>
      <c r="AE384">
        <v>10.1</v>
      </c>
    </row>
    <row r="385" spans="1:31">
      <c r="A385" s="21" t="s">
        <v>1423</v>
      </c>
      <c r="B385">
        <v>28</v>
      </c>
      <c r="C385">
        <v>40</v>
      </c>
      <c r="D385">
        <v>6.1</v>
      </c>
      <c r="E385">
        <v>76</v>
      </c>
      <c r="F385">
        <v>36</v>
      </c>
      <c r="G385">
        <v>12</v>
      </c>
      <c r="K385" s="21" t="s">
        <v>1369</v>
      </c>
      <c r="L385">
        <v>68</v>
      </c>
      <c r="M385">
        <v>156</v>
      </c>
      <c r="N385">
        <v>7.5</v>
      </c>
      <c r="Z385" s="21" t="s">
        <v>1369</v>
      </c>
      <c r="AB385">
        <v>170</v>
      </c>
      <c r="AC385">
        <v>122</v>
      </c>
      <c r="AD385">
        <v>34</v>
      </c>
      <c r="AE385">
        <v>7.5</v>
      </c>
    </row>
    <row r="386" spans="1:31">
      <c r="A386" s="21" t="s">
        <v>1513</v>
      </c>
      <c r="B386">
        <v>26</v>
      </c>
      <c r="C386">
        <v>163</v>
      </c>
      <c r="D386">
        <v>13.8</v>
      </c>
      <c r="E386">
        <v>475</v>
      </c>
      <c r="F386">
        <v>59</v>
      </c>
      <c r="G386">
        <v>7</v>
      </c>
      <c r="K386" s="21" t="s">
        <v>1371</v>
      </c>
      <c r="L386">
        <v>48</v>
      </c>
      <c r="M386">
        <v>208</v>
      </c>
      <c r="N386">
        <v>12.2</v>
      </c>
      <c r="Z386" s="21" t="s">
        <v>1371</v>
      </c>
      <c r="AB386">
        <v>64</v>
      </c>
      <c r="AC386">
        <v>22</v>
      </c>
      <c r="AD386">
        <v>70</v>
      </c>
      <c r="AE386">
        <v>12.2</v>
      </c>
    </row>
    <row r="387" spans="1:31">
      <c r="A387" s="21" t="s">
        <v>1586</v>
      </c>
      <c r="B387">
        <v>162</v>
      </c>
      <c r="C387">
        <v>578</v>
      </c>
      <c r="D387">
        <v>11.9</v>
      </c>
      <c r="E387">
        <v>454</v>
      </c>
      <c r="F387">
        <v>116</v>
      </c>
      <c r="G387">
        <v>31</v>
      </c>
      <c r="K387" s="21" t="s">
        <v>1434</v>
      </c>
      <c r="L387">
        <v>32</v>
      </c>
      <c r="M387">
        <v>92</v>
      </c>
      <c r="N387">
        <v>6.6</v>
      </c>
      <c r="Z387" s="21" t="s">
        <v>1434</v>
      </c>
      <c r="AB387">
        <v>59</v>
      </c>
      <c r="AC387">
        <v>16</v>
      </c>
      <c r="AD387">
        <v>5</v>
      </c>
      <c r="AE387">
        <v>6.6</v>
      </c>
    </row>
    <row r="388" spans="1:31">
      <c r="A388" s="21" t="s">
        <v>1601</v>
      </c>
      <c r="B388">
        <v>209</v>
      </c>
      <c r="C388">
        <v>706</v>
      </c>
      <c r="D388">
        <v>16.100000000000001</v>
      </c>
      <c r="E388">
        <v>223</v>
      </c>
      <c r="F388">
        <v>72</v>
      </c>
      <c r="G388">
        <v>50</v>
      </c>
      <c r="K388" s="21" t="s">
        <v>1486</v>
      </c>
      <c r="L388">
        <v>165</v>
      </c>
      <c r="M388">
        <v>450</v>
      </c>
      <c r="N388">
        <v>13.8</v>
      </c>
      <c r="Z388" s="21" t="s">
        <v>1486</v>
      </c>
      <c r="AB388">
        <v>217</v>
      </c>
      <c r="AC388">
        <v>46</v>
      </c>
      <c r="AD388">
        <v>63</v>
      </c>
      <c r="AE388">
        <v>13.8</v>
      </c>
    </row>
    <row r="389" spans="1:31">
      <c r="A389" s="21" t="s">
        <v>1621</v>
      </c>
      <c r="B389">
        <v>0</v>
      </c>
      <c r="C389">
        <v>8</v>
      </c>
      <c r="D389">
        <v>6.6</v>
      </c>
      <c r="E389">
        <v>2</v>
      </c>
      <c r="F389">
        <v>1</v>
      </c>
      <c r="G389">
        <v>1</v>
      </c>
      <c r="K389" s="21" t="s">
        <v>1488</v>
      </c>
      <c r="L389">
        <v>44</v>
      </c>
      <c r="M389">
        <v>155</v>
      </c>
      <c r="N389">
        <v>8.9</v>
      </c>
      <c r="Z389" s="21" t="s">
        <v>1488</v>
      </c>
      <c r="AB389">
        <v>118</v>
      </c>
      <c r="AC389">
        <v>44</v>
      </c>
      <c r="AD389">
        <v>7</v>
      </c>
      <c r="AE389">
        <v>8.9</v>
      </c>
    </row>
    <row r="390" spans="1:31">
      <c r="A390" s="21" t="s">
        <v>1644</v>
      </c>
      <c r="B390">
        <v>10</v>
      </c>
      <c r="C390">
        <v>50</v>
      </c>
      <c r="D390">
        <v>6.2</v>
      </c>
      <c r="E390">
        <v>25</v>
      </c>
      <c r="F390">
        <v>25</v>
      </c>
      <c r="G390">
        <v>0</v>
      </c>
      <c r="K390" s="21" t="s">
        <v>1522</v>
      </c>
      <c r="L390">
        <v>62</v>
      </c>
      <c r="M390">
        <v>311</v>
      </c>
      <c r="N390">
        <v>13.8</v>
      </c>
      <c r="Z390" s="21" t="s">
        <v>1522</v>
      </c>
      <c r="AB390">
        <v>352</v>
      </c>
      <c r="AC390">
        <v>110</v>
      </c>
      <c r="AD390">
        <v>48</v>
      </c>
      <c r="AE390">
        <v>13.8</v>
      </c>
    </row>
    <row r="391" spans="1:31">
      <c r="A391" s="21" t="s">
        <v>1671</v>
      </c>
      <c r="B391">
        <v>11</v>
      </c>
      <c r="C391">
        <v>32</v>
      </c>
      <c r="D391">
        <v>12.3</v>
      </c>
      <c r="E391">
        <v>11</v>
      </c>
      <c r="F391">
        <v>4</v>
      </c>
      <c r="G391">
        <v>0</v>
      </c>
      <c r="K391" s="21" t="s">
        <v>1548</v>
      </c>
      <c r="L391">
        <v>47</v>
      </c>
      <c r="M391">
        <v>216</v>
      </c>
      <c r="N391">
        <v>12.4</v>
      </c>
      <c r="Z391" s="21" t="s">
        <v>1548</v>
      </c>
      <c r="AB391">
        <v>122</v>
      </c>
      <c r="AC391">
        <v>24</v>
      </c>
      <c r="AD391">
        <v>28</v>
      </c>
      <c r="AE391">
        <v>12.4</v>
      </c>
    </row>
    <row r="392" spans="1:31">
      <c r="A392" s="21" t="s">
        <v>1680</v>
      </c>
      <c r="B392">
        <v>0</v>
      </c>
      <c r="C392">
        <v>8</v>
      </c>
      <c r="D392">
        <v>6.2</v>
      </c>
      <c r="E392">
        <v>4</v>
      </c>
      <c r="F392">
        <v>2</v>
      </c>
      <c r="G392">
        <v>0</v>
      </c>
      <c r="K392" s="21" t="s">
        <v>1611</v>
      </c>
      <c r="L392">
        <v>62</v>
      </c>
      <c r="M392">
        <v>179</v>
      </c>
      <c r="N392">
        <v>9.3000000000000007</v>
      </c>
      <c r="Z392" s="21" t="s">
        <v>1611</v>
      </c>
      <c r="AB392">
        <v>97</v>
      </c>
      <c r="AC392">
        <v>41</v>
      </c>
      <c r="AD392">
        <v>7</v>
      </c>
      <c r="AE392">
        <v>9.3000000000000007</v>
      </c>
    </row>
    <row r="393" spans="1:31">
      <c r="A393" s="21" t="s">
        <v>1687</v>
      </c>
      <c r="B393">
        <v>74</v>
      </c>
      <c r="C393">
        <v>189</v>
      </c>
      <c r="D393">
        <v>9</v>
      </c>
      <c r="E393">
        <v>303</v>
      </c>
      <c r="F393">
        <v>74</v>
      </c>
      <c r="G393">
        <v>41</v>
      </c>
      <c r="K393" s="21" t="s">
        <v>1654</v>
      </c>
      <c r="L393">
        <v>92</v>
      </c>
      <c r="M393">
        <v>206</v>
      </c>
      <c r="N393">
        <v>6.3</v>
      </c>
      <c r="Z393" s="21" t="s">
        <v>1654</v>
      </c>
      <c r="AB393">
        <v>114</v>
      </c>
      <c r="AC393">
        <v>78</v>
      </c>
      <c r="AD393">
        <v>36</v>
      </c>
      <c r="AE393">
        <v>6.3</v>
      </c>
    </row>
    <row r="394" spans="1:31">
      <c r="A394" s="21" t="s">
        <v>1690</v>
      </c>
      <c r="B394">
        <v>45</v>
      </c>
      <c r="C394">
        <v>115</v>
      </c>
      <c r="D394">
        <v>7.7</v>
      </c>
      <c r="E394">
        <v>186</v>
      </c>
      <c r="F394">
        <v>64</v>
      </c>
      <c r="G394">
        <v>19</v>
      </c>
      <c r="K394" s="21" t="s">
        <v>1664</v>
      </c>
      <c r="L394">
        <v>1</v>
      </c>
      <c r="M394">
        <v>2</v>
      </c>
      <c r="N394">
        <v>-6.9</v>
      </c>
      <c r="Z394" s="21" t="s">
        <v>1664</v>
      </c>
      <c r="AB394">
        <v>1</v>
      </c>
      <c r="AC394">
        <v>0</v>
      </c>
      <c r="AD394">
        <v>0</v>
      </c>
      <c r="AE394">
        <v>-6.9</v>
      </c>
    </row>
    <row r="395" spans="1:31">
      <c r="A395" s="21" t="s">
        <v>1692</v>
      </c>
      <c r="B395">
        <v>53</v>
      </c>
      <c r="C395">
        <v>49</v>
      </c>
      <c r="D395">
        <v>12.2</v>
      </c>
      <c r="E395">
        <v>14</v>
      </c>
      <c r="F395">
        <v>15</v>
      </c>
      <c r="G395">
        <v>19</v>
      </c>
      <c r="K395" s="21" t="s">
        <v>1726</v>
      </c>
      <c r="L395">
        <v>19</v>
      </c>
      <c r="M395">
        <v>63</v>
      </c>
      <c r="N395">
        <v>8.8000000000000007</v>
      </c>
      <c r="Z395" s="21" t="s">
        <v>1726</v>
      </c>
      <c r="AB395">
        <v>30</v>
      </c>
      <c r="AC395">
        <v>19</v>
      </c>
      <c r="AD395">
        <v>7</v>
      </c>
      <c r="AE395">
        <v>8.8000000000000007</v>
      </c>
    </row>
    <row r="396" spans="1:31">
      <c r="A396" s="21" t="s">
        <v>1719</v>
      </c>
      <c r="B396">
        <v>96</v>
      </c>
      <c r="C396">
        <v>259</v>
      </c>
      <c r="D396">
        <v>9.3000000000000007</v>
      </c>
      <c r="E396">
        <v>163</v>
      </c>
      <c r="F396">
        <v>111</v>
      </c>
      <c r="G396">
        <v>67</v>
      </c>
      <c r="K396" s="21" t="s">
        <v>1779</v>
      </c>
      <c r="L396">
        <v>68</v>
      </c>
      <c r="M396">
        <v>312</v>
      </c>
      <c r="N396">
        <v>19.899999999999999</v>
      </c>
      <c r="Z396" s="21" t="s">
        <v>1779</v>
      </c>
      <c r="AB396">
        <v>486</v>
      </c>
      <c r="AC396">
        <v>129</v>
      </c>
      <c r="AD396">
        <v>76</v>
      </c>
      <c r="AE396">
        <v>19.899999999999999</v>
      </c>
    </row>
    <row r="397" spans="1:31">
      <c r="A397" s="21" t="s">
        <v>1727</v>
      </c>
      <c r="B397">
        <v>4</v>
      </c>
      <c r="C397">
        <v>4</v>
      </c>
      <c r="D397">
        <v>1.5</v>
      </c>
      <c r="E397">
        <v>0</v>
      </c>
      <c r="F397">
        <v>1</v>
      </c>
      <c r="G397">
        <v>1</v>
      </c>
    </row>
    <row r="398" spans="1:31">
      <c r="A398" s="21" t="s">
        <v>1729</v>
      </c>
      <c r="B398">
        <v>4</v>
      </c>
      <c r="C398">
        <v>14</v>
      </c>
      <c r="D398">
        <v>4.7</v>
      </c>
      <c r="E398">
        <v>5</v>
      </c>
      <c r="F398">
        <v>4</v>
      </c>
      <c r="G398">
        <v>2</v>
      </c>
    </row>
    <row r="399" spans="1:31">
      <c r="A399" s="21" t="s">
        <v>1746</v>
      </c>
      <c r="B399">
        <v>103</v>
      </c>
      <c r="C399">
        <v>217</v>
      </c>
      <c r="D399">
        <v>9.1999999999999993</v>
      </c>
      <c r="E399">
        <v>57</v>
      </c>
      <c r="F399">
        <v>46</v>
      </c>
      <c r="G399">
        <v>40</v>
      </c>
    </row>
    <row r="400" spans="1:31">
      <c r="A400" s="21" t="s">
        <v>1829</v>
      </c>
      <c r="B400">
        <v>8</v>
      </c>
      <c r="C400">
        <v>21</v>
      </c>
      <c r="D400">
        <v>7.2</v>
      </c>
      <c r="E400">
        <v>70</v>
      </c>
      <c r="F400">
        <v>12</v>
      </c>
      <c r="G400">
        <v>4</v>
      </c>
    </row>
    <row r="401" spans="1:7">
      <c r="A401" s="20" t="s">
        <v>1223</v>
      </c>
      <c r="B401">
        <v>879</v>
      </c>
      <c r="C401">
        <v>2806</v>
      </c>
      <c r="D401">
        <v>160.50000000000003</v>
      </c>
      <c r="E401">
        <v>2195</v>
      </c>
      <c r="F401">
        <v>840</v>
      </c>
      <c r="G401">
        <v>458</v>
      </c>
    </row>
    <row r="402" spans="1:7">
      <c r="A402" s="21" t="s">
        <v>1294</v>
      </c>
      <c r="B402">
        <v>84</v>
      </c>
      <c r="C402">
        <v>213</v>
      </c>
      <c r="D402">
        <v>10.5</v>
      </c>
      <c r="E402">
        <v>137</v>
      </c>
      <c r="F402">
        <v>61</v>
      </c>
      <c r="G402">
        <v>15</v>
      </c>
    </row>
    <row r="403" spans="1:7">
      <c r="A403" s="21" t="s">
        <v>1295</v>
      </c>
      <c r="B403">
        <v>7</v>
      </c>
      <c r="C403">
        <v>19</v>
      </c>
      <c r="D403">
        <v>2.5</v>
      </c>
      <c r="E403">
        <v>11</v>
      </c>
      <c r="F403">
        <v>7</v>
      </c>
      <c r="G403">
        <v>4</v>
      </c>
    </row>
    <row r="404" spans="1:7">
      <c r="A404" s="21" t="s">
        <v>1300</v>
      </c>
      <c r="B404">
        <v>18</v>
      </c>
      <c r="C404">
        <v>50</v>
      </c>
      <c r="D404">
        <v>8.1999999999999993</v>
      </c>
      <c r="E404">
        <v>65</v>
      </c>
      <c r="F404">
        <v>25</v>
      </c>
      <c r="G404">
        <v>4</v>
      </c>
    </row>
    <row r="405" spans="1:7">
      <c r="A405" s="21" t="s">
        <v>1303</v>
      </c>
      <c r="B405">
        <v>38</v>
      </c>
      <c r="C405">
        <v>119</v>
      </c>
      <c r="D405">
        <v>10.1</v>
      </c>
      <c r="E405">
        <v>135</v>
      </c>
      <c r="F405">
        <v>86</v>
      </c>
      <c r="G405">
        <v>32</v>
      </c>
    </row>
    <row r="406" spans="1:7">
      <c r="A406" s="21" t="s">
        <v>1304</v>
      </c>
      <c r="B406">
        <v>8</v>
      </c>
      <c r="C406">
        <v>17</v>
      </c>
      <c r="D406">
        <v>6.5</v>
      </c>
      <c r="E406">
        <v>4</v>
      </c>
      <c r="F406">
        <v>4</v>
      </c>
      <c r="G406">
        <v>0</v>
      </c>
    </row>
    <row r="407" spans="1:7">
      <c r="A407" s="21" t="s">
        <v>1342</v>
      </c>
      <c r="B407">
        <v>16</v>
      </c>
      <c r="C407">
        <v>38</v>
      </c>
      <c r="D407">
        <v>10.1</v>
      </c>
      <c r="E407">
        <v>13</v>
      </c>
      <c r="F407">
        <v>6</v>
      </c>
      <c r="G407">
        <v>22</v>
      </c>
    </row>
    <row r="408" spans="1:7">
      <c r="A408" s="21" t="s">
        <v>1369</v>
      </c>
      <c r="B408">
        <v>68</v>
      </c>
      <c r="C408">
        <v>156</v>
      </c>
      <c r="D408">
        <v>7.5</v>
      </c>
      <c r="E408">
        <v>170</v>
      </c>
      <c r="F408">
        <v>122</v>
      </c>
      <c r="G408">
        <v>34</v>
      </c>
    </row>
    <row r="409" spans="1:7">
      <c r="A409" s="21" t="s">
        <v>1371</v>
      </c>
      <c r="B409">
        <v>48</v>
      </c>
      <c r="C409">
        <v>208</v>
      </c>
      <c r="D409">
        <v>12.2</v>
      </c>
      <c r="E409">
        <v>64</v>
      </c>
      <c r="F409">
        <v>22</v>
      </c>
      <c r="G409">
        <v>70</v>
      </c>
    </row>
    <row r="410" spans="1:7">
      <c r="A410" s="21" t="s">
        <v>1434</v>
      </c>
      <c r="B410">
        <v>32</v>
      </c>
      <c r="C410">
        <v>92</v>
      </c>
      <c r="D410">
        <v>6.6</v>
      </c>
      <c r="E410">
        <v>59</v>
      </c>
      <c r="F410">
        <v>16</v>
      </c>
      <c r="G410">
        <v>5</v>
      </c>
    </row>
    <row r="411" spans="1:7">
      <c r="A411" s="21" t="s">
        <v>1486</v>
      </c>
      <c r="B411">
        <v>165</v>
      </c>
      <c r="C411">
        <v>450</v>
      </c>
      <c r="D411">
        <v>13.8</v>
      </c>
      <c r="E411">
        <v>217</v>
      </c>
      <c r="F411">
        <v>46</v>
      </c>
      <c r="G411">
        <v>63</v>
      </c>
    </row>
    <row r="412" spans="1:7">
      <c r="A412" s="21" t="s">
        <v>1488</v>
      </c>
      <c r="B412">
        <v>44</v>
      </c>
      <c r="C412">
        <v>155</v>
      </c>
      <c r="D412">
        <v>8.9</v>
      </c>
      <c r="E412">
        <v>118</v>
      </c>
      <c r="F412">
        <v>44</v>
      </c>
      <c r="G412">
        <v>7</v>
      </c>
    </row>
    <row r="413" spans="1:7">
      <c r="A413" s="21" t="s">
        <v>1522</v>
      </c>
      <c r="B413">
        <v>62</v>
      </c>
      <c r="C413">
        <v>311</v>
      </c>
      <c r="D413">
        <v>13.8</v>
      </c>
      <c r="E413">
        <v>352</v>
      </c>
      <c r="F413">
        <v>110</v>
      </c>
      <c r="G413">
        <v>48</v>
      </c>
    </row>
    <row r="414" spans="1:7">
      <c r="A414" s="21" t="s">
        <v>1548</v>
      </c>
      <c r="B414">
        <v>47</v>
      </c>
      <c r="C414">
        <v>216</v>
      </c>
      <c r="D414">
        <v>12.4</v>
      </c>
      <c r="E414">
        <v>122</v>
      </c>
      <c r="F414">
        <v>24</v>
      </c>
      <c r="G414">
        <v>28</v>
      </c>
    </row>
    <row r="415" spans="1:7">
      <c r="A415" s="21" t="s">
        <v>1611</v>
      </c>
      <c r="B415">
        <v>62</v>
      </c>
      <c r="C415">
        <v>179</v>
      </c>
      <c r="D415">
        <v>9.3000000000000007</v>
      </c>
      <c r="E415">
        <v>97</v>
      </c>
      <c r="F415">
        <v>41</v>
      </c>
      <c r="G415">
        <v>7</v>
      </c>
    </row>
    <row r="416" spans="1:7">
      <c r="A416" s="21" t="s">
        <v>1654</v>
      </c>
      <c r="B416">
        <v>92</v>
      </c>
      <c r="C416">
        <v>206</v>
      </c>
      <c r="D416">
        <v>6.3</v>
      </c>
      <c r="E416">
        <v>114</v>
      </c>
      <c r="F416">
        <v>78</v>
      </c>
      <c r="G416">
        <v>36</v>
      </c>
    </row>
    <row r="417" spans="1:7">
      <c r="A417" s="21" t="s">
        <v>1664</v>
      </c>
      <c r="B417">
        <v>1</v>
      </c>
      <c r="C417">
        <v>2</v>
      </c>
      <c r="D417">
        <v>-6.9</v>
      </c>
      <c r="E417">
        <v>1</v>
      </c>
      <c r="F417">
        <v>0</v>
      </c>
      <c r="G417">
        <v>0</v>
      </c>
    </row>
    <row r="418" spans="1:7">
      <c r="A418" s="21" t="s">
        <v>1726</v>
      </c>
      <c r="B418">
        <v>19</v>
      </c>
      <c r="C418">
        <v>63</v>
      </c>
      <c r="D418">
        <v>8.8000000000000007</v>
      </c>
      <c r="E418">
        <v>30</v>
      </c>
      <c r="F418">
        <v>19</v>
      </c>
      <c r="G418">
        <v>7</v>
      </c>
    </row>
    <row r="419" spans="1:7">
      <c r="A419" s="21" t="s">
        <v>1779</v>
      </c>
      <c r="B419">
        <v>68</v>
      </c>
      <c r="C419">
        <v>312</v>
      </c>
      <c r="D419">
        <v>19.899999999999999</v>
      </c>
      <c r="E419">
        <v>486</v>
      </c>
      <c r="F419">
        <v>129</v>
      </c>
      <c r="G419">
        <v>76</v>
      </c>
    </row>
    <row r="420" spans="1:7">
      <c r="A420" s="20" t="s">
        <v>1225</v>
      </c>
      <c r="B420">
        <v>909</v>
      </c>
      <c r="C420">
        <v>2517</v>
      </c>
      <c r="D420">
        <v>154.6</v>
      </c>
      <c r="E420">
        <v>1896</v>
      </c>
      <c r="F420">
        <v>737</v>
      </c>
      <c r="G420">
        <v>486</v>
      </c>
    </row>
    <row r="421" spans="1:7">
      <c r="A421" s="21" t="s">
        <v>1317</v>
      </c>
      <c r="B421">
        <v>55</v>
      </c>
      <c r="C421">
        <v>179</v>
      </c>
      <c r="D421">
        <v>8.4</v>
      </c>
      <c r="E421">
        <v>242</v>
      </c>
      <c r="F421">
        <v>86</v>
      </c>
      <c r="G421">
        <v>47</v>
      </c>
    </row>
    <row r="422" spans="1:7">
      <c r="A422" s="21" t="s">
        <v>1359</v>
      </c>
      <c r="B422">
        <v>17</v>
      </c>
      <c r="C422">
        <v>58</v>
      </c>
      <c r="D422">
        <v>6.1</v>
      </c>
      <c r="E422">
        <v>35</v>
      </c>
      <c r="F422">
        <v>23</v>
      </c>
      <c r="G422">
        <v>6</v>
      </c>
    </row>
    <row r="423" spans="1:7">
      <c r="A423" s="21" t="s">
        <v>1385</v>
      </c>
      <c r="B423">
        <v>47</v>
      </c>
      <c r="C423">
        <v>161</v>
      </c>
      <c r="D423">
        <v>10.5</v>
      </c>
      <c r="E423">
        <v>194</v>
      </c>
      <c r="F423">
        <v>47</v>
      </c>
      <c r="G423">
        <v>34</v>
      </c>
    </row>
    <row r="424" spans="1:7">
      <c r="A424" s="21" t="s">
        <v>1391</v>
      </c>
      <c r="B424">
        <v>15</v>
      </c>
      <c r="C424">
        <v>55</v>
      </c>
      <c r="D424">
        <v>7.5</v>
      </c>
      <c r="E424">
        <v>70</v>
      </c>
      <c r="F424">
        <v>25</v>
      </c>
      <c r="G424">
        <v>5</v>
      </c>
    </row>
    <row r="425" spans="1:7">
      <c r="A425" s="21" t="s">
        <v>1459</v>
      </c>
      <c r="B425">
        <v>54</v>
      </c>
      <c r="C425">
        <v>288</v>
      </c>
      <c r="D425">
        <v>15.3</v>
      </c>
      <c r="E425">
        <v>282</v>
      </c>
      <c r="F425">
        <v>78</v>
      </c>
      <c r="G425">
        <v>24</v>
      </c>
    </row>
    <row r="426" spans="1:7">
      <c r="A426" s="21" t="s">
        <v>1464</v>
      </c>
      <c r="B426">
        <v>19</v>
      </c>
      <c r="C426">
        <v>43</v>
      </c>
      <c r="D426">
        <v>4.3</v>
      </c>
      <c r="E426">
        <v>29</v>
      </c>
      <c r="F426">
        <v>24</v>
      </c>
      <c r="G426">
        <v>14</v>
      </c>
    </row>
    <row r="427" spans="1:7">
      <c r="A427" s="21" t="s">
        <v>1470</v>
      </c>
      <c r="B427">
        <v>168</v>
      </c>
      <c r="C427">
        <v>294</v>
      </c>
      <c r="D427">
        <v>13.4</v>
      </c>
      <c r="E427">
        <v>140</v>
      </c>
      <c r="F427">
        <v>49</v>
      </c>
      <c r="G427">
        <v>98</v>
      </c>
    </row>
    <row r="428" spans="1:7">
      <c r="A428" s="21" t="s">
        <v>1521</v>
      </c>
      <c r="B428">
        <v>25</v>
      </c>
      <c r="C428">
        <v>119</v>
      </c>
      <c r="D428">
        <v>10.7</v>
      </c>
      <c r="E428">
        <v>130</v>
      </c>
      <c r="F428">
        <v>53</v>
      </c>
      <c r="G428">
        <v>32</v>
      </c>
    </row>
    <row r="429" spans="1:7">
      <c r="A429" s="21" t="s">
        <v>1560</v>
      </c>
      <c r="B429">
        <v>18</v>
      </c>
      <c r="C429">
        <v>48</v>
      </c>
      <c r="D429">
        <v>4.5</v>
      </c>
      <c r="E429">
        <v>42</v>
      </c>
      <c r="F429">
        <v>12</v>
      </c>
      <c r="G429">
        <v>12</v>
      </c>
    </row>
    <row r="430" spans="1:7">
      <c r="A430" s="21" t="s">
        <v>1572</v>
      </c>
      <c r="B430">
        <v>121</v>
      </c>
      <c r="C430">
        <v>192</v>
      </c>
      <c r="D430">
        <v>10.8</v>
      </c>
      <c r="E430">
        <v>43</v>
      </c>
      <c r="F430">
        <v>64</v>
      </c>
      <c r="G430">
        <v>78</v>
      </c>
    </row>
    <row r="431" spans="1:7">
      <c r="A431" s="21" t="s">
        <v>1612</v>
      </c>
      <c r="B431">
        <v>31</v>
      </c>
      <c r="C431">
        <v>139</v>
      </c>
      <c r="D431">
        <v>6.5</v>
      </c>
      <c r="E431">
        <v>139</v>
      </c>
      <c r="F431">
        <v>100</v>
      </c>
      <c r="G431">
        <v>31</v>
      </c>
    </row>
    <row r="432" spans="1:7">
      <c r="A432" s="21" t="s">
        <v>1660</v>
      </c>
      <c r="B432">
        <v>0</v>
      </c>
      <c r="C432">
        <v>1</v>
      </c>
      <c r="D432">
        <v>0</v>
      </c>
      <c r="E432">
        <v>3</v>
      </c>
      <c r="F432">
        <v>0</v>
      </c>
      <c r="G432">
        <v>0</v>
      </c>
    </row>
    <row r="433" spans="1:7">
      <c r="A433" s="21" t="s">
        <v>1695</v>
      </c>
      <c r="B433">
        <v>39</v>
      </c>
      <c r="C433">
        <v>108</v>
      </c>
      <c r="D433">
        <v>16.5</v>
      </c>
      <c r="E433">
        <v>42</v>
      </c>
      <c r="F433">
        <v>24</v>
      </c>
      <c r="G433">
        <v>12</v>
      </c>
    </row>
    <row r="434" spans="1:7">
      <c r="A434" s="21" t="s">
        <v>1730</v>
      </c>
      <c r="B434">
        <v>51</v>
      </c>
      <c r="C434">
        <v>294</v>
      </c>
      <c r="D434">
        <v>15.7</v>
      </c>
      <c r="E434">
        <v>221</v>
      </c>
      <c r="F434">
        <v>37</v>
      </c>
      <c r="G434">
        <v>28</v>
      </c>
    </row>
    <row r="435" spans="1:7">
      <c r="A435" s="21" t="s">
        <v>1818</v>
      </c>
      <c r="B435">
        <v>25</v>
      </c>
      <c r="C435">
        <v>28</v>
      </c>
      <c r="D435">
        <v>7.1</v>
      </c>
      <c r="E435">
        <v>37</v>
      </c>
      <c r="F435">
        <v>31</v>
      </c>
      <c r="G435">
        <v>9</v>
      </c>
    </row>
    <row r="436" spans="1:7">
      <c r="A436" s="21" t="s">
        <v>1823</v>
      </c>
      <c r="B436">
        <v>74</v>
      </c>
      <c r="C436">
        <v>170</v>
      </c>
      <c r="D436">
        <v>7.4</v>
      </c>
      <c r="E436">
        <v>111</v>
      </c>
      <c r="F436">
        <v>30</v>
      </c>
      <c r="G436">
        <v>15</v>
      </c>
    </row>
    <row r="437" spans="1:7">
      <c r="A437" s="21" t="s">
        <v>1844</v>
      </c>
      <c r="B437">
        <v>150</v>
      </c>
      <c r="C437">
        <v>340</v>
      </c>
      <c r="D437">
        <v>9.9</v>
      </c>
      <c r="E437">
        <v>136</v>
      </c>
      <c r="F437">
        <v>54</v>
      </c>
      <c r="G437">
        <v>41</v>
      </c>
    </row>
    <row r="438" spans="1:7">
      <c r="A438" s="20" t="s">
        <v>1227</v>
      </c>
      <c r="B438">
        <v>791</v>
      </c>
      <c r="C438">
        <v>2380</v>
      </c>
      <c r="D438">
        <v>198.19999999999996</v>
      </c>
      <c r="E438">
        <v>1971</v>
      </c>
      <c r="F438">
        <v>737</v>
      </c>
      <c r="G438">
        <v>349</v>
      </c>
    </row>
    <row r="439" spans="1:7">
      <c r="A439" s="21" t="s">
        <v>1297</v>
      </c>
      <c r="B439">
        <v>93</v>
      </c>
      <c r="C439">
        <v>151</v>
      </c>
      <c r="D439">
        <v>9.3000000000000007</v>
      </c>
      <c r="E439">
        <v>29</v>
      </c>
      <c r="F439">
        <v>23</v>
      </c>
      <c r="G439">
        <v>70</v>
      </c>
    </row>
    <row r="440" spans="1:7">
      <c r="A440" s="21" t="s">
        <v>1306</v>
      </c>
      <c r="B440">
        <v>9</v>
      </c>
      <c r="C440">
        <v>38</v>
      </c>
      <c r="D440">
        <v>7.9</v>
      </c>
      <c r="E440">
        <v>5</v>
      </c>
      <c r="F440">
        <v>11</v>
      </c>
      <c r="G440">
        <v>11</v>
      </c>
    </row>
    <row r="441" spans="1:7">
      <c r="A441" s="21" t="s">
        <v>1312</v>
      </c>
      <c r="B441">
        <v>108</v>
      </c>
      <c r="C441">
        <v>200</v>
      </c>
      <c r="D441">
        <v>10.9</v>
      </c>
      <c r="E441">
        <v>36</v>
      </c>
      <c r="F441">
        <v>40</v>
      </c>
      <c r="G441">
        <v>20</v>
      </c>
    </row>
    <row r="442" spans="1:7">
      <c r="A442" s="21" t="s">
        <v>1457</v>
      </c>
      <c r="B442">
        <v>8</v>
      </c>
      <c r="C442">
        <v>39</v>
      </c>
      <c r="D442">
        <v>6.7</v>
      </c>
      <c r="E442">
        <v>66</v>
      </c>
      <c r="F442">
        <v>27</v>
      </c>
      <c r="G442">
        <v>12</v>
      </c>
    </row>
    <row r="443" spans="1:7">
      <c r="A443" s="21" t="s">
        <v>1474</v>
      </c>
      <c r="B443">
        <v>133</v>
      </c>
      <c r="C443">
        <v>259</v>
      </c>
      <c r="D443">
        <v>9.1999999999999993</v>
      </c>
      <c r="E443">
        <v>147</v>
      </c>
      <c r="F443">
        <v>56</v>
      </c>
      <c r="G443">
        <v>21</v>
      </c>
    </row>
    <row r="444" spans="1:7">
      <c r="A444" s="21" t="s">
        <v>1489</v>
      </c>
      <c r="B444">
        <v>1</v>
      </c>
      <c r="C444">
        <v>3</v>
      </c>
      <c r="D444">
        <v>9.9</v>
      </c>
      <c r="E444">
        <v>5</v>
      </c>
      <c r="F444">
        <v>1</v>
      </c>
      <c r="G444">
        <v>1</v>
      </c>
    </row>
    <row r="445" spans="1:7">
      <c r="A445" s="21" t="s">
        <v>1516</v>
      </c>
      <c r="B445">
        <v>3</v>
      </c>
      <c r="C445">
        <v>24</v>
      </c>
      <c r="D445">
        <v>4.9000000000000004</v>
      </c>
      <c r="E445">
        <v>38</v>
      </c>
      <c r="F445">
        <v>5</v>
      </c>
      <c r="G445">
        <v>8</v>
      </c>
    </row>
    <row r="446" spans="1:7">
      <c r="A446" s="21" t="s">
        <v>1533</v>
      </c>
      <c r="B446">
        <v>24</v>
      </c>
      <c r="C446">
        <v>84</v>
      </c>
      <c r="D446">
        <v>10.199999999999999</v>
      </c>
      <c r="E446">
        <v>222</v>
      </c>
      <c r="F446">
        <v>42</v>
      </c>
      <c r="G446">
        <v>12</v>
      </c>
    </row>
    <row r="447" spans="1:7">
      <c r="A447" s="21" t="s">
        <v>1534</v>
      </c>
      <c r="B447">
        <v>14</v>
      </c>
      <c r="C447">
        <v>44</v>
      </c>
      <c r="D447">
        <v>10.6</v>
      </c>
      <c r="E447">
        <v>60</v>
      </c>
      <c r="F447">
        <v>16</v>
      </c>
      <c r="G447">
        <v>0</v>
      </c>
    </row>
    <row r="448" spans="1:7">
      <c r="A448" s="21" t="s">
        <v>1553</v>
      </c>
      <c r="B448">
        <v>12</v>
      </c>
      <c r="C448">
        <v>49</v>
      </c>
      <c r="D448">
        <v>10.6</v>
      </c>
      <c r="E448">
        <v>78</v>
      </c>
      <c r="F448">
        <v>25</v>
      </c>
      <c r="G448">
        <v>12</v>
      </c>
    </row>
    <row r="449" spans="1:7">
      <c r="A449" s="21" t="s">
        <v>1565</v>
      </c>
      <c r="B449">
        <v>36</v>
      </c>
      <c r="C449">
        <v>120</v>
      </c>
      <c r="D449">
        <v>16.899999999999999</v>
      </c>
      <c r="E449">
        <v>86</v>
      </c>
      <c r="F449">
        <v>13</v>
      </c>
      <c r="G449">
        <v>17</v>
      </c>
    </row>
    <row r="450" spans="1:7">
      <c r="A450" s="21" t="s">
        <v>1597</v>
      </c>
      <c r="B450">
        <v>44</v>
      </c>
      <c r="C450">
        <v>101</v>
      </c>
      <c r="D450">
        <v>6.2</v>
      </c>
      <c r="E450">
        <v>70</v>
      </c>
      <c r="F450">
        <v>44</v>
      </c>
      <c r="G450">
        <v>18</v>
      </c>
    </row>
    <row r="451" spans="1:7">
      <c r="A451" s="21" t="s">
        <v>1610</v>
      </c>
      <c r="B451">
        <v>96</v>
      </c>
      <c r="C451">
        <v>270</v>
      </c>
      <c r="D451">
        <v>8.4</v>
      </c>
      <c r="E451">
        <v>108</v>
      </c>
      <c r="F451">
        <v>90</v>
      </c>
      <c r="G451">
        <v>30</v>
      </c>
    </row>
    <row r="452" spans="1:7">
      <c r="A452" s="21" t="s">
        <v>1638</v>
      </c>
      <c r="B452">
        <v>11</v>
      </c>
      <c r="C452">
        <v>56</v>
      </c>
      <c r="D452">
        <v>6.7</v>
      </c>
      <c r="E452">
        <v>95</v>
      </c>
      <c r="F452">
        <v>32</v>
      </c>
      <c r="G452">
        <v>11</v>
      </c>
    </row>
    <row r="453" spans="1:7">
      <c r="A453" s="21" t="s">
        <v>1652</v>
      </c>
      <c r="B453">
        <v>6</v>
      </c>
      <c r="C453">
        <v>58</v>
      </c>
      <c r="D453">
        <v>9.1</v>
      </c>
      <c r="E453">
        <v>50</v>
      </c>
      <c r="F453">
        <v>10</v>
      </c>
      <c r="G453">
        <v>6</v>
      </c>
    </row>
    <row r="454" spans="1:7">
      <c r="A454" s="21" t="s">
        <v>1667</v>
      </c>
      <c r="B454">
        <v>23</v>
      </c>
      <c r="C454">
        <v>47</v>
      </c>
      <c r="D454">
        <v>7.7</v>
      </c>
      <c r="E454">
        <v>10</v>
      </c>
      <c r="F454">
        <v>9</v>
      </c>
      <c r="G454">
        <v>12</v>
      </c>
    </row>
    <row r="455" spans="1:7">
      <c r="A455" s="21" t="s">
        <v>1724</v>
      </c>
      <c r="B455">
        <v>7</v>
      </c>
      <c r="C455">
        <v>15</v>
      </c>
      <c r="D455">
        <v>5</v>
      </c>
      <c r="E455">
        <v>4</v>
      </c>
      <c r="F455">
        <v>4</v>
      </c>
      <c r="G455">
        <v>3</v>
      </c>
    </row>
    <row r="456" spans="1:7">
      <c r="A456" s="21" t="s">
        <v>1737</v>
      </c>
      <c r="B456">
        <v>25</v>
      </c>
      <c r="C456">
        <v>197</v>
      </c>
      <c r="D456">
        <v>10.6</v>
      </c>
      <c r="E456">
        <v>176</v>
      </c>
      <c r="F456">
        <v>74</v>
      </c>
      <c r="G456">
        <v>21</v>
      </c>
    </row>
    <row r="457" spans="1:7">
      <c r="A457" s="21" t="s">
        <v>1743</v>
      </c>
      <c r="B457">
        <v>2</v>
      </c>
      <c r="C457">
        <v>6</v>
      </c>
      <c r="D457">
        <v>-0.5</v>
      </c>
      <c r="E457">
        <v>2</v>
      </c>
      <c r="F457">
        <v>1</v>
      </c>
      <c r="G457">
        <v>2</v>
      </c>
    </row>
    <row r="458" spans="1:7">
      <c r="A458" s="21" t="s">
        <v>1747</v>
      </c>
      <c r="B458">
        <v>60</v>
      </c>
      <c r="C458">
        <v>263</v>
      </c>
      <c r="D458">
        <v>10.5</v>
      </c>
      <c r="E458">
        <v>225</v>
      </c>
      <c r="F458">
        <v>75</v>
      </c>
      <c r="G458">
        <v>23</v>
      </c>
    </row>
    <row r="459" spans="1:7">
      <c r="A459" s="21" t="s">
        <v>1755</v>
      </c>
      <c r="B459">
        <v>9</v>
      </c>
      <c r="C459">
        <v>34</v>
      </c>
      <c r="D459">
        <v>6.7</v>
      </c>
      <c r="E459">
        <v>47</v>
      </c>
      <c r="F459">
        <v>16</v>
      </c>
      <c r="G459">
        <v>3</v>
      </c>
    </row>
    <row r="460" spans="1:7">
      <c r="A460" s="21" t="s">
        <v>1757</v>
      </c>
      <c r="B460">
        <v>51</v>
      </c>
      <c r="C460">
        <v>161</v>
      </c>
      <c r="D460">
        <v>8</v>
      </c>
      <c r="E460">
        <v>95</v>
      </c>
      <c r="F460">
        <v>29</v>
      </c>
      <c r="G460">
        <v>15</v>
      </c>
    </row>
    <row r="461" spans="1:7">
      <c r="A461" s="21" t="s">
        <v>1833</v>
      </c>
      <c r="B461">
        <v>16</v>
      </c>
      <c r="C461">
        <v>161</v>
      </c>
      <c r="D461">
        <v>12.7</v>
      </c>
      <c r="E461">
        <v>317</v>
      </c>
      <c r="F461">
        <v>94</v>
      </c>
      <c r="G461">
        <v>21</v>
      </c>
    </row>
    <row r="462" spans="1:7">
      <c r="A462" s="20" t="s">
        <v>1229</v>
      </c>
      <c r="B462">
        <v>821</v>
      </c>
      <c r="C462">
        <v>2797</v>
      </c>
      <c r="D462">
        <v>158.19999999999999</v>
      </c>
      <c r="E462">
        <v>2465</v>
      </c>
      <c r="F462">
        <v>615</v>
      </c>
      <c r="G462">
        <v>419</v>
      </c>
    </row>
    <row r="463" spans="1:7">
      <c r="A463" s="21" t="s">
        <v>1339</v>
      </c>
      <c r="B463">
        <v>22</v>
      </c>
      <c r="C463">
        <v>83</v>
      </c>
      <c r="D463">
        <v>11.4</v>
      </c>
      <c r="E463">
        <v>22</v>
      </c>
      <c r="F463">
        <v>11</v>
      </c>
      <c r="G463">
        <v>25</v>
      </c>
    </row>
    <row r="464" spans="1:7">
      <c r="A464" s="21" t="s">
        <v>1341</v>
      </c>
      <c r="B464">
        <v>32</v>
      </c>
      <c r="C464">
        <v>143</v>
      </c>
      <c r="D464">
        <v>9.3000000000000007</v>
      </c>
      <c r="E464">
        <v>196</v>
      </c>
      <c r="F464">
        <v>58</v>
      </c>
      <c r="G464">
        <v>27</v>
      </c>
    </row>
    <row r="465" spans="1:7">
      <c r="A465" s="21" t="s">
        <v>1382</v>
      </c>
      <c r="B465">
        <v>53</v>
      </c>
      <c r="C465">
        <v>170</v>
      </c>
      <c r="D465">
        <v>8</v>
      </c>
      <c r="E465">
        <v>106</v>
      </c>
      <c r="F465">
        <v>58</v>
      </c>
      <c r="G465">
        <v>32</v>
      </c>
    </row>
    <row r="466" spans="1:7">
      <c r="A466" s="21" t="s">
        <v>1388</v>
      </c>
      <c r="B466">
        <v>23</v>
      </c>
      <c r="C466">
        <v>56</v>
      </c>
      <c r="D466">
        <v>10.5</v>
      </c>
      <c r="E466">
        <v>79</v>
      </c>
      <c r="F466">
        <v>20</v>
      </c>
      <c r="G466">
        <v>7</v>
      </c>
    </row>
    <row r="467" spans="1:7">
      <c r="A467" s="21" t="s">
        <v>1402</v>
      </c>
      <c r="B467">
        <v>3</v>
      </c>
      <c r="C467">
        <v>18</v>
      </c>
      <c r="D467">
        <v>8.9</v>
      </c>
      <c r="E467">
        <v>10</v>
      </c>
      <c r="F467">
        <v>5</v>
      </c>
      <c r="G467">
        <v>0</v>
      </c>
    </row>
    <row r="468" spans="1:7">
      <c r="A468" s="21" t="s">
        <v>53</v>
      </c>
      <c r="B468">
        <v>75</v>
      </c>
      <c r="C468">
        <v>233</v>
      </c>
      <c r="D468">
        <v>12.2</v>
      </c>
      <c r="E468">
        <v>533</v>
      </c>
      <c r="F468">
        <v>68</v>
      </c>
      <c r="G468">
        <v>15</v>
      </c>
    </row>
    <row r="469" spans="1:7">
      <c r="A469" s="21" t="s">
        <v>1473</v>
      </c>
      <c r="B469">
        <v>32</v>
      </c>
      <c r="C469">
        <v>160</v>
      </c>
      <c r="D469">
        <v>8.4</v>
      </c>
      <c r="E469">
        <v>134</v>
      </c>
      <c r="F469">
        <v>51</v>
      </c>
      <c r="G469">
        <v>19</v>
      </c>
    </row>
    <row r="470" spans="1:7">
      <c r="A470" s="21" t="s">
        <v>1512</v>
      </c>
      <c r="B470">
        <v>0</v>
      </c>
      <c r="C470">
        <v>4</v>
      </c>
      <c r="D470">
        <v>2.6</v>
      </c>
      <c r="E470">
        <v>0</v>
      </c>
      <c r="F470">
        <v>0</v>
      </c>
      <c r="G470">
        <v>0</v>
      </c>
    </row>
    <row r="471" spans="1:7">
      <c r="A471" s="21" t="s">
        <v>1617</v>
      </c>
      <c r="B471">
        <v>25</v>
      </c>
      <c r="C471">
        <v>353</v>
      </c>
      <c r="D471">
        <v>14.2</v>
      </c>
      <c r="E471">
        <v>260</v>
      </c>
      <c r="F471">
        <v>50</v>
      </c>
      <c r="G471">
        <v>74</v>
      </c>
    </row>
    <row r="472" spans="1:7">
      <c r="A472" s="21" t="s">
        <v>1677</v>
      </c>
      <c r="B472">
        <v>118</v>
      </c>
      <c r="C472">
        <v>340</v>
      </c>
      <c r="D472">
        <v>9.8000000000000007</v>
      </c>
      <c r="E472">
        <v>133</v>
      </c>
      <c r="F472">
        <v>30</v>
      </c>
      <c r="G472">
        <v>44</v>
      </c>
    </row>
    <row r="473" spans="1:7">
      <c r="A473" s="21" t="s">
        <v>1694</v>
      </c>
      <c r="B473">
        <v>14</v>
      </c>
      <c r="C473">
        <v>54</v>
      </c>
      <c r="D473">
        <v>9.6</v>
      </c>
      <c r="E473">
        <v>72</v>
      </c>
      <c r="F473">
        <v>18</v>
      </c>
      <c r="G473">
        <v>5</v>
      </c>
    </row>
    <row r="474" spans="1:7">
      <c r="A474" s="21" t="s">
        <v>1708</v>
      </c>
      <c r="B474">
        <v>148</v>
      </c>
      <c r="C474">
        <v>319</v>
      </c>
      <c r="D474">
        <v>10.7</v>
      </c>
      <c r="E474">
        <v>51</v>
      </c>
      <c r="F474">
        <v>11</v>
      </c>
      <c r="G474">
        <v>57</v>
      </c>
    </row>
    <row r="475" spans="1:7">
      <c r="A475" s="21" t="s">
        <v>1725</v>
      </c>
      <c r="B475">
        <v>67</v>
      </c>
      <c r="C475">
        <v>159</v>
      </c>
      <c r="D475">
        <v>7.3</v>
      </c>
      <c r="E475">
        <v>73</v>
      </c>
      <c r="F475">
        <v>31</v>
      </c>
      <c r="G475">
        <v>31</v>
      </c>
    </row>
    <row r="476" spans="1:7">
      <c r="A476" s="21" t="s">
        <v>1764</v>
      </c>
      <c r="B476">
        <v>53</v>
      </c>
      <c r="C476">
        <v>293</v>
      </c>
      <c r="D476">
        <v>8.5</v>
      </c>
      <c r="E476">
        <v>165</v>
      </c>
      <c r="F476">
        <v>68</v>
      </c>
      <c r="G476">
        <v>38</v>
      </c>
    </row>
    <row r="477" spans="1:7">
      <c r="A477" s="21" t="s">
        <v>1768</v>
      </c>
      <c r="B477">
        <v>89</v>
      </c>
      <c r="C477">
        <v>178</v>
      </c>
      <c r="D477">
        <v>5.9</v>
      </c>
      <c r="E477">
        <v>59</v>
      </c>
      <c r="F477">
        <v>44</v>
      </c>
      <c r="G477">
        <v>37</v>
      </c>
    </row>
    <row r="478" spans="1:7">
      <c r="A478" s="21" t="s">
        <v>1835</v>
      </c>
      <c r="B478">
        <v>5</v>
      </c>
      <c r="C478">
        <v>10</v>
      </c>
      <c r="D478">
        <v>4.9000000000000004</v>
      </c>
      <c r="E478">
        <v>16</v>
      </c>
      <c r="F478">
        <v>3</v>
      </c>
      <c r="G478">
        <v>0</v>
      </c>
    </row>
    <row r="479" spans="1:7">
      <c r="A479" s="21" t="s">
        <v>1836</v>
      </c>
      <c r="B479">
        <v>41</v>
      </c>
      <c r="C479">
        <v>154</v>
      </c>
      <c r="D479">
        <v>9.9</v>
      </c>
      <c r="E479">
        <v>429</v>
      </c>
      <c r="F479">
        <v>73</v>
      </c>
      <c r="G479">
        <v>8</v>
      </c>
    </row>
    <row r="480" spans="1:7">
      <c r="A480" s="21" t="s">
        <v>1838</v>
      </c>
      <c r="B480">
        <v>21</v>
      </c>
      <c r="C480">
        <v>70</v>
      </c>
      <c r="D480">
        <v>6.1</v>
      </c>
      <c r="E480">
        <v>127</v>
      </c>
      <c r="F480">
        <v>16</v>
      </c>
      <c r="G480">
        <v>0</v>
      </c>
    </row>
    <row r="481" spans="1:7">
      <c r="A481" s="20" t="s">
        <v>1231</v>
      </c>
      <c r="B481">
        <v>1099</v>
      </c>
      <c r="C481">
        <v>2579</v>
      </c>
      <c r="D481">
        <v>161.6</v>
      </c>
      <c r="E481">
        <v>1963</v>
      </c>
      <c r="F481">
        <v>690</v>
      </c>
      <c r="G481">
        <v>429</v>
      </c>
    </row>
    <row r="482" spans="1:7">
      <c r="A482" s="21" t="s">
        <v>1316</v>
      </c>
      <c r="B482">
        <v>28</v>
      </c>
      <c r="C482">
        <v>161</v>
      </c>
      <c r="D482">
        <v>10.6</v>
      </c>
      <c r="E482">
        <v>336</v>
      </c>
      <c r="F482">
        <v>63</v>
      </c>
      <c r="G482">
        <v>7</v>
      </c>
    </row>
    <row r="483" spans="1:7">
      <c r="A483" s="21" t="s">
        <v>1355</v>
      </c>
      <c r="B483">
        <v>3</v>
      </c>
      <c r="C483">
        <v>1</v>
      </c>
      <c r="D483">
        <v>0</v>
      </c>
      <c r="E483">
        <v>3</v>
      </c>
      <c r="F483">
        <v>1</v>
      </c>
      <c r="G483">
        <v>0</v>
      </c>
    </row>
    <row r="484" spans="1:7">
      <c r="A484" s="21" t="s">
        <v>1397</v>
      </c>
      <c r="B484">
        <v>27</v>
      </c>
      <c r="C484">
        <v>107</v>
      </c>
      <c r="D484">
        <v>8.9</v>
      </c>
      <c r="E484">
        <v>161</v>
      </c>
      <c r="F484">
        <v>40</v>
      </c>
      <c r="G484">
        <v>34</v>
      </c>
    </row>
    <row r="485" spans="1:7">
      <c r="A485" s="21" t="s">
        <v>1418</v>
      </c>
      <c r="B485">
        <v>124</v>
      </c>
      <c r="C485">
        <v>284</v>
      </c>
      <c r="D485">
        <v>12.5</v>
      </c>
      <c r="E485">
        <v>64</v>
      </c>
      <c r="F485">
        <v>32</v>
      </c>
      <c r="G485">
        <v>40</v>
      </c>
    </row>
    <row r="486" spans="1:7">
      <c r="A486" s="21" t="s">
        <v>1425</v>
      </c>
      <c r="B486">
        <v>108</v>
      </c>
      <c r="C486">
        <v>410</v>
      </c>
      <c r="D486">
        <v>12.6</v>
      </c>
      <c r="E486">
        <v>281</v>
      </c>
      <c r="F486">
        <v>72</v>
      </c>
      <c r="G486">
        <v>36</v>
      </c>
    </row>
    <row r="487" spans="1:7">
      <c r="A487" s="21" t="s">
        <v>1437</v>
      </c>
      <c r="B487">
        <v>214</v>
      </c>
      <c r="C487">
        <v>308</v>
      </c>
      <c r="D487">
        <v>10.5</v>
      </c>
      <c r="E487">
        <v>74</v>
      </c>
      <c r="F487">
        <v>34</v>
      </c>
      <c r="G487">
        <v>107</v>
      </c>
    </row>
    <row r="488" spans="1:7">
      <c r="A488" s="21" t="s">
        <v>1448</v>
      </c>
      <c r="B488">
        <v>46</v>
      </c>
      <c r="C488">
        <v>46</v>
      </c>
      <c r="D488">
        <v>7.7</v>
      </c>
      <c r="E488">
        <v>28</v>
      </c>
      <c r="F488">
        <v>14</v>
      </c>
      <c r="G488">
        <v>14</v>
      </c>
    </row>
    <row r="489" spans="1:7">
      <c r="A489" s="21" t="s">
        <v>1496</v>
      </c>
      <c r="B489">
        <v>60</v>
      </c>
      <c r="C489">
        <v>150</v>
      </c>
      <c r="D489">
        <v>10.7</v>
      </c>
      <c r="E489">
        <v>36</v>
      </c>
      <c r="F489">
        <v>36</v>
      </c>
      <c r="G489">
        <v>6</v>
      </c>
    </row>
    <row r="490" spans="1:7">
      <c r="A490" s="21" t="s">
        <v>1555</v>
      </c>
      <c r="B490">
        <v>28</v>
      </c>
      <c r="C490">
        <v>136</v>
      </c>
      <c r="D490">
        <v>7</v>
      </c>
      <c r="E490">
        <v>99</v>
      </c>
      <c r="F490">
        <v>42</v>
      </c>
      <c r="G490">
        <v>47</v>
      </c>
    </row>
    <row r="491" spans="1:7">
      <c r="A491" s="21" t="s">
        <v>1598</v>
      </c>
      <c r="B491">
        <v>6</v>
      </c>
      <c r="C491">
        <v>6</v>
      </c>
      <c r="D491">
        <v>2</v>
      </c>
      <c r="E491">
        <v>8</v>
      </c>
      <c r="F491">
        <v>6</v>
      </c>
      <c r="G491">
        <v>2</v>
      </c>
    </row>
    <row r="492" spans="1:7">
      <c r="A492" s="21" t="s">
        <v>1633</v>
      </c>
      <c r="B492">
        <v>76</v>
      </c>
      <c r="C492">
        <v>104</v>
      </c>
      <c r="D492">
        <v>6.1</v>
      </c>
      <c r="E492">
        <v>69</v>
      </c>
      <c r="F492">
        <v>35</v>
      </c>
      <c r="G492">
        <v>14</v>
      </c>
    </row>
    <row r="493" spans="1:7">
      <c r="A493" s="21" t="s">
        <v>1679</v>
      </c>
      <c r="B493">
        <v>14</v>
      </c>
      <c r="C493">
        <v>38</v>
      </c>
      <c r="D493">
        <v>11.4</v>
      </c>
      <c r="E493">
        <v>29</v>
      </c>
      <c r="F493">
        <v>33</v>
      </c>
      <c r="G493">
        <v>9</v>
      </c>
    </row>
    <row r="494" spans="1:7">
      <c r="A494" s="21" t="s">
        <v>1751</v>
      </c>
      <c r="B494">
        <v>26</v>
      </c>
      <c r="C494">
        <v>42</v>
      </c>
      <c r="D494">
        <v>5.5</v>
      </c>
      <c r="E494">
        <v>26</v>
      </c>
      <c r="F494">
        <v>16</v>
      </c>
      <c r="G494">
        <v>5</v>
      </c>
    </row>
    <row r="495" spans="1:7">
      <c r="A495" s="21" t="s">
        <v>1761</v>
      </c>
      <c r="B495">
        <v>36</v>
      </c>
      <c r="C495">
        <v>84</v>
      </c>
      <c r="D495">
        <v>13.7</v>
      </c>
      <c r="E495">
        <v>22</v>
      </c>
      <c r="F495">
        <v>14</v>
      </c>
      <c r="G495">
        <v>34</v>
      </c>
    </row>
    <row r="496" spans="1:7">
      <c r="A496" s="21" t="s">
        <v>1774</v>
      </c>
      <c r="B496">
        <v>53</v>
      </c>
      <c r="C496">
        <v>145</v>
      </c>
      <c r="D496">
        <v>8.4</v>
      </c>
      <c r="E496">
        <v>337</v>
      </c>
      <c r="F496">
        <v>66</v>
      </c>
      <c r="G496">
        <v>13</v>
      </c>
    </row>
    <row r="497" spans="1:7">
      <c r="A497" s="21" t="s">
        <v>1778</v>
      </c>
      <c r="B497">
        <v>65</v>
      </c>
      <c r="C497">
        <v>259</v>
      </c>
      <c r="D497">
        <v>10.199999999999999</v>
      </c>
      <c r="E497">
        <v>202</v>
      </c>
      <c r="F497">
        <v>65</v>
      </c>
      <c r="G497">
        <v>14</v>
      </c>
    </row>
    <row r="498" spans="1:7">
      <c r="A498" s="21" t="s">
        <v>1781</v>
      </c>
      <c r="B498">
        <v>9</v>
      </c>
      <c r="C498">
        <v>13</v>
      </c>
      <c r="D498">
        <v>5.7</v>
      </c>
      <c r="E498">
        <v>15</v>
      </c>
      <c r="F498">
        <v>2</v>
      </c>
      <c r="G498">
        <v>0</v>
      </c>
    </row>
    <row r="499" spans="1:7">
      <c r="A499" s="21" t="s">
        <v>1797</v>
      </c>
      <c r="B499">
        <v>4</v>
      </c>
      <c r="C499">
        <v>4</v>
      </c>
      <c r="D499">
        <v>10.5</v>
      </c>
      <c r="E499">
        <v>1</v>
      </c>
      <c r="F499">
        <v>2</v>
      </c>
      <c r="G499">
        <v>0</v>
      </c>
    </row>
    <row r="500" spans="1:7">
      <c r="A500" s="21" t="s">
        <v>1811</v>
      </c>
      <c r="B500">
        <v>172</v>
      </c>
      <c r="C500">
        <v>281</v>
      </c>
      <c r="D500">
        <v>7.6</v>
      </c>
      <c r="E500">
        <v>172</v>
      </c>
      <c r="F500">
        <v>117</v>
      </c>
      <c r="G500">
        <v>47</v>
      </c>
    </row>
    <row r="501" spans="1:7">
      <c r="A501" s="20" t="s">
        <v>1233</v>
      </c>
      <c r="B501">
        <v>1000</v>
      </c>
      <c r="C501">
        <v>2987</v>
      </c>
      <c r="D501">
        <v>163.79999999999998</v>
      </c>
      <c r="E501">
        <v>2173</v>
      </c>
      <c r="F501">
        <v>597</v>
      </c>
      <c r="G501">
        <v>356</v>
      </c>
    </row>
    <row r="502" spans="1:7">
      <c r="A502" s="21" t="s">
        <v>1424</v>
      </c>
      <c r="B502">
        <v>46</v>
      </c>
      <c r="C502">
        <v>246</v>
      </c>
      <c r="D502">
        <v>11.2</v>
      </c>
      <c r="E502">
        <v>339</v>
      </c>
      <c r="F502">
        <v>62</v>
      </c>
      <c r="G502">
        <v>31</v>
      </c>
    </row>
    <row r="503" spans="1:7">
      <c r="A503" s="21" t="s">
        <v>1431</v>
      </c>
      <c r="B503">
        <v>18</v>
      </c>
      <c r="C503">
        <v>58</v>
      </c>
      <c r="D503">
        <v>7</v>
      </c>
      <c r="E503">
        <v>40</v>
      </c>
      <c r="F503">
        <v>22</v>
      </c>
      <c r="G503">
        <v>4</v>
      </c>
    </row>
    <row r="504" spans="1:7">
      <c r="A504" s="21" t="s">
        <v>1435</v>
      </c>
      <c r="B504">
        <v>266</v>
      </c>
      <c r="C504">
        <v>707</v>
      </c>
      <c r="D504">
        <v>16.399999999999999</v>
      </c>
      <c r="E504">
        <v>420</v>
      </c>
      <c r="F504">
        <v>49</v>
      </c>
      <c r="G504">
        <v>28</v>
      </c>
    </row>
    <row r="505" spans="1:7">
      <c r="A505" s="21" t="s">
        <v>1441</v>
      </c>
      <c r="B505">
        <v>4</v>
      </c>
      <c r="C505">
        <v>21</v>
      </c>
      <c r="D505">
        <v>5.0999999999999996</v>
      </c>
      <c r="E505">
        <v>8</v>
      </c>
      <c r="F505">
        <v>4</v>
      </c>
      <c r="G505">
        <v>0</v>
      </c>
    </row>
    <row r="506" spans="1:7">
      <c r="A506" s="21" t="s">
        <v>1482</v>
      </c>
      <c r="B506">
        <v>24</v>
      </c>
      <c r="C506">
        <v>36</v>
      </c>
      <c r="D506">
        <v>8.6999999999999993</v>
      </c>
      <c r="E506">
        <v>12</v>
      </c>
      <c r="F506">
        <v>4</v>
      </c>
      <c r="G506">
        <v>12</v>
      </c>
    </row>
    <row r="507" spans="1:7">
      <c r="A507" s="21" t="s">
        <v>1485</v>
      </c>
      <c r="B507">
        <v>2</v>
      </c>
      <c r="C507">
        <v>8</v>
      </c>
      <c r="D507">
        <v>7</v>
      </c>
      <c r="E507">
        <v>2</v>
      </c>
      <c r="F507">
        <v>2</v>
      </c>
      <c r="G507">
        <v>2</v>
      </c>
    </row>
    <row r="508" spans="1:7">
      <c r="A508" s="21" t="s">
        <v>1504</v>
      </c>
      <c r="B508">
        <v>6</v>
      </c>
      <c r="C508">
        <v>14</v>
      </c>
      <c r="D508">
        <v>4.8</v>
      </c>
      <c r="E508">
        <v>6</v>
      </c>
      <c r="F508">
        <v>3</v>
      </c>
      <c r="G508">
        <v>0</v>
      </c>
    </row>
    <row r="509" spans="1:7">
      <c r="A509" s="21" t="s">
        <v>1509</v>
      </c>
      <c r="B509">
        <v>92</v>
      </c>
      <c r="C509">
        <v>172</v>
      </c>
      <c r="D509">
        <v>8.1</v>
      </c>
      <c r="E509">
        <v>158</v>
      </c>
      <c r="F509">
        <v>59</v>
      </c>
      <c r="G509">
        <v>20</v>
      </c>
    </row>
    <row r="510" spans="1:7">
      <c r="A510" s="21" t="s">
        <v>1571</v>
      </c>
      <c r="B510">
        <v>186</v>
      </c>
      <c r="C510">
        <v>437</v>
      </c>
      <c r="D510">
        <v>14.7</v>
      </c>
      <c r="E510">
        <v>162</v>
      </c>
      <c r="F510">
        <v>41</v>
      </c>
      <c r="G510">
        <v>49</v>
      </c>
    </row>
    <row r="511" spans="1:7">
      <c r="A511" s="21" t="s">
        <v>1605</v>
      </c>
      <c r="B511">
        <v>144</v>
      </c>
      <c r="C511">
        <v>365</v>
      </c>
      <c r="D511">
        <v>7.5</v>
      </c>
      <c r="E511">
        <v>106</v>
      </c>
      <c r="F511">
        <v>61</v>
      </c>
      <c r="G511">
        <v>68</v>
      </c>
    </row>
    <row r="512" spans="1:7">
      <c r="A512" s="21" t="s">
        <v>1613</v>
      </c>
      <c r="B512">
        <v>64</v>
      </c>
      <c r="C512">
        <v>152</v>
      </c>
      <c r="D512">
        <v>7.3</v>
      </c>
      <c r="E512">
        <v>120</v>
      </c>
      <c r="F512">
        <v>120</v>
      </c>
      <c r="G512">
        <v>64</v>
      </c>
    </row>
    <row r="513" spans="1:7">
      <c r="A513" s="21" t="s">
        <v>1666</v>
      </c>
      <c r="B513">
        <v>33</v>
      </c>
      <c r="C513">
        <v>215</v>
      </c>
      <c r="D513">
        <v>9.9</v>
      </c>
      <c r="E513">
        <v>364</v>
      </c>
      <c r="F513">
        <v>59</v>
      </c>
      <c r="G513">
        <v>39</v>
      </c>
    </row>
    <row r="514" spans="1:7">
      <c r="A514" s="21" t="s">
        <v>1673</v>
      </c>
      <c r="B514">
        <v>6</v>
      </c>
      <c r="C514">
        <v>15</v>
      </c>
      <c r="D514">
        <v>6.5</v>
      </c>
      <c r="E514">
        <v>27</v>
      </c>
      <c r="F514">
        <v>11</v>
      </c>
      <c r="G514">
        <v>2</v>
      </c>
    </row>
    <row r="515" spans="1:7">
      <c r="A515" s="21" t="s">
        <v>1676</v>
      </c>
      <c r="B515">
        <v>2</v>
      </c>
      <c r="C515">
        <v>7</v>
      </c>
      <c r="D515">
        <v>15.9</v>
      </c>
      <c r="E515">
        <v>11</v>
      </c>
      <c r="F515">
        <v>0</v>
      </c>
      <c r="G515">
        <v>1</v>
      </c>
    </row>
    <row r="516" spans="1:7">
      <c r="A516" s="21" t="s">
        <v>1783</v>
      </c>
      <c r="B516">
        <v>1</v>
      </c>
      <c r="C516">
        <v>2</v>
      </c>
      <c r="D516">
        <v>9.1999999999999993</v>
      </c>
      <c r="E516">
        <v>1</v>
      </c>
      <c r="F516">
        <v>0</v>
      </c>
      <c r="G516">
        <v>0</v>
      </c>
    </row>
    <row r="517" spans="1:7">
      <c r="A517" s="21" t="s">
        <v>1799</v>
      </c>
      <c r="B517">
        <v>0</v>
      </c>
      <c r="C517">
        <v>1</v>
      </c>
      <c r="D517">
        <v>0</v>
      </c>
      <c r="E517">
        <v>1</v>
      </c>
      <c r="F517">
        <v>0</v>
      </c>
      <c r="G517">
        <v>0</v>
      </c>
    </row>
    <row r="518" spans="1:7">
      <c r="A518" s="21" t="s">
        <v>1802</v>
      </c>
      <c r="B518">
        <v>1</v>
      </c>
      <c r="C518">
        <v>0</v>
      </c>
      <c r="D518">
        <v>4.3</v>
      </c>
      <c r="E518">
        <v>2</v>
      </c>
      <c r="F518">
        <v>0</v>
      </c>
      <c r="G518">
        <v>0</v>
      </c>
    </row>
    <row r="519" spans="1:7">
      <c r="A519" s="21" t="s">
        <v>1821</v>
      </c>
      <c r="B519">
        <v>83</v>
      </c>
      <c r="C519">
        <v>235</v>
      </c>
      <c r="D519">
        <v>8.6999999999999993</v>
      </c>
      <c r="E519">
        <v>83</v>
      </c>
      <c r="F519">
        <v>41</v>
      </c>
      <c r="G519">
        <v>21</v>
      </c>
    </row>
    <row r="520" spans="1:7">
      <c r="A520" s="21" t="s">
        <v>1853</v>
      </c>
      <c r="B520">
        <v>22</v>
      </c>
      <c r="C520">
        <v>296</v>
      </c>
      <c r="D520">
        <v>11.5</v>
      </c>
      <c r="E520">
        <v>311</v>
      </c>
      <c r="F520">
        <v>59</v>
      </c>
      <c r="G520">
        <v>15</v>
      </c>
    </row>
    <row r="521" spans="1:7">
      <c r="A521" s="20" t="s">
        <v>1235</v>
      </c>
      <c r="B521">
        <v>894</v>
      </c>
      <c r="C521">
        <v>2776</v>
      </c>
      <c r="D521">
        <v>170.2</v>
      </c>
      <c r="E521">
        <v>2503</v>
      </c>
      <c r="F521">
        <v>705</v>
      </c>
      <c r="G521">
        <v>455</v>
      </c>
    </row>
    <row r="522" spans="1:7">
      <c r="A522" s="21" t="s">
        <v>1334</v>
      </c>
      <c r="B522">
        <v>42</v>
      </c>
      <c r="C522">
        <v>115</v>
      </c>
      <c r="D522">
        <v>8</v>
      </c>
      <c r="E522">
        <v>31</v>
      </c>
      <c r="F522">
        <v>17</v>
      </c>
      <c r="G522">
        <v>22</v>
      </c>
    </row>
    <row r="523" spans="1:7">
      <c r="A523" s="21" t="s">
        <v>1335</v>
      </c>
      <c r="B523">
        <v>17</v>
      </c>
      <c r="C523">
        <v>46</v>
      </c>
      <c r="D523">
        <v>6.6</v>
      </c>
      <c r="E523">
        <v>116</v>
      </c>
      <c r="F523">
        <v>35</v>
      </c>
      <c r="G523">
        <v>6</v>
      </c>
    </row>
    <row r="524" spans="1:7">
      <c r="A524" s="21" t="s">
        <v>1370</v>
      </c>
      <c r="B524">
        <v>58</v>
      </c>
      <c r="C524">
        <v>97</v>
      </c>
      <c r="D524">
        <v>11.3</v>
      </c>
      <c r="E524">
        <v>18</v>
      </c>
      <c r="F524">
        <v>14</v>
      </c>
      <c r="G524">
        <v>29</v>
      </c>
    </row>
    <row r="525" spans="1:7">
      <c r="A525" s="21" t="s">
        <v>1375</v>
      </c>
      <c r="B525">
        <v>33</v>
      </c>
      <c r="C525">
        <v>262</v>
      </c>
      <c r="D525">
        <v>10.199999999999999</v>
      </c>
      <c r="E525">
        <v>607</v>
      </c>
      <c r="F525">
        <v>107</v>
      </c>
      <c r="G525">
        <v>25</v>
      </c>
    </row>
    <row r="526" spans="1:7">
      <c r="A526" s="21" t="s">
        <v>1412</v>
      </c>
      <c r="B526">
        <v>1</v>
      </c>
      <c r="C526">
        <v>4</v>
      </c>
      <c r="D526">
        <v>8.6999999999999993</v>
      </c>
      <c r="E526">
        <v>4</v>
      </c>
      <c r="F526">
        <v>1</v>
      </c>
      <c r="G526">
        <v>0</v>
      </c>
    </row>
    <row r="527" spans="1:7">
      <c r="A527" s="21" t="s">
        <v>1416</v>
      </c>
      <c r="B527">
        <v>56</v>
      </c>
      <c r="C527">
        <v>242</v>
      </c>
      <c r="D527">
        <v>11.9</v>
      </c>
      <c r="E527">
        <v>391</v>
      </c>
      <c r="F527">
        <v>93</v>
      </c>
      <c r="G527">
        <v>25</v>
      </c>
    </row>
    <row r="528" spans="1:7">
      <c r="A528" s="21" t="s">
        <v>1432</v>
      </c>
      <c r="B528">
        <v>32</v>
      </c>
      <c r="C528">
        <v>224</v>
      </c>
      <c r="D528">
        <v>9.1999999999999993</v>
      </c>
      <c r="E528">
        <v>186</v>
      </c>
      <c r="F528">
        <v>83</v>
      </c>
      <c r="G528">
        <v>32</v>
      </c>
    </row>
    <row r="529" spans="1:7">
      <c r="A529" s="21" t="s">
        <v>1476</v>
      </c>
      <c r="B529">
        <v>98</v>
      </c>
      <c r="C529">
        <v>213</v>
      </c>
      <c r="D529">
        <v>9.1999999999999993</v>
      </c>
      <c r="E529">
        <v>139</v>
      </c>
      <c r="F529">
        <v>41</v>
      </c>
      <c r="G529">
        <v>16</v>
      </c>
    </row>
    <row r="530" spans="1:7">
      <c r="A530" s="21" t="s">
        <v>1477</v>
      </c>
      <c r="B530">
        <v>2</v>
      </c>
      <c r="C530">
        <v>7</v>
      </c>
      <c r="D530">
        <v>8</v>
      </c>
      <c r="E530">
        <v>3</v>
      </c>
      <c r="F530">
        <v>3</v>
      </c>
      <c r="G530">
        <v>0</v>
      </c>
    </row>
    <row r="531" spans="1:7">
      <c r="A531" s="21" t="s">
        <v>1557</v>
      </c>
      <c r="B531">
        <v>130</v>
      </c>
      <c r="C531">
        <v>227</v>
      </c>
      <c r="D531">
        <v>10.1</v>
      </c>
      <c r="E531">
        <v>130</v>
      </c>
      <c r="F531">
        <v>43</v>
      </c>
      <c r="G531">
        <v>27</v>
      </c>
    </row>
    <row r="532" spans="1:7">
      <c r="A532" s="21" t="s">
        <v>1578</v>
      </c>
      <c r="B532">
        <v>5</v>
      </c>
      <c r="C532">
        <v>23</v>
      </c>
      <c r="D532">
        <v>8.3000000000000007</v>
      </c>
      <c r="E532">
        <v>51</v>
      </c>
      <c r="F532">
        <v>14</v>
      </c>
      <c r="G532">
        <v>0</v>
      </c>
    </row>
    <row r="533" spans="1:7">
      <c r="A533" s="21" t="s">
        <v>1592</v>
      </c>
      <c r="B533">
        <v>66</v>
      </c>
      <c r="C533">
        <v>254</v>
      </c>
      <c r="D533">
        <v>7.9</v>
      </c>
      <c r="E533">
        <v>115</v>
      </c>
      <c r="F533">
        <v>57</v>
      </c>
      <c r="G533">
        <v>33</v>
      </c>
    </row>
    <row r="534" spans="1:7">
      <c r="A534" s="21" t="s">
        <v>1607</v>
      </c>
      <c r="B534">
        <v>116</v>
      </c>
      <c r="C534">
        <v>262</v>
      </c>
      <c r="D534">
        <v>10.3</v>
      </c>
      <c r="E534">
        <v>123</v>
      </c>
      <c r="F534">
        <v>46</v>
      </c>
      <c r="G534">
        <v>23</v>
      </c>
    </row>
    <row r="535" spans="1:7">
      <c r="A535" s="21" t="s">
        <v>1662</v>
      </c>
      <c r="B535">
        <v>5</v>
      </c>
      <c r="C535">
        <v>42</v>
      </c>
      <c r="D535">
        <v>8.6999999999999993</v>
      </c>
      <c r="E535">
        <v>38</v>
      </c>
      <c r="F535">
        <v>9</v>
      </c>
      <c r="G535">
        <v>0</v>
      </c>
    </row>
    <row r="536" spans="1:7">
      <c r="A536" s="21" t="s">
        <v>1758</v>
      </c>
      <c r="B536">
        <v>0</v>
      </c>
      <c r="C536">
        <v>2</v>
      </c>
      <c r="D536">
        <v>3.9</v>
      </c>
      <c r="E536">
        <v>0</v>
      </c>
      <c r="F536">
        <v>0</v>
      </c>
      <c r="G536">
        <v>0</v>
      </c>
    </row>
    <row r="537" spans="1:7">
      <c r="A537" s="21" t="s">
        <v>1772</v>
      </c>
      <c r="B537">
        <v>61</v>
      </c>
      <c r="C537">
        <v>122</v>
      </c>
      <c r="D537">
        <v>12.4</v>
      </c>
      <c r="E537">
        <v>49</v>
      </c>
      <c r="F537">
        <v>18</v>
      </c>
      <c r="G537">
        <v>18</v>
      </c>
    </row>
    <row r="538" spans="1:7">
      <c r="A538" s="21" t="s">
        <v>1788</v>
      </c>
      <c r="B538">
        <v>89</v>
      </c>
      <c r="C538">
        <v>211</v>
      </c>
      <c r="D538">
        <v>8.6999999999999993</v>
      </c>
      <c r="E538">
        <v>332</v>
      </c>
      <c r="F538">
        <v>73</v>
      </c>
      <c r="G538">
        <v>24</v>
      </c>
    </row>
    <row r="539" spans="1:7">
      <c r="A539" s="21" t="s">
        <v>1839</v>
      </c>
      <c r="B539">
        <v>83</v>
      </c>
      <c r="C539">
        <v>423</v>
      </c>
      <c r="D539">
        <v>16.8</v>
      </c>
      <c r="E539">
        <v>170</v>
      </c>
      <c r="F539">
        <v>51</v>
      </c>
      <c r="G539">
        <v>175</v>
      </c>
    </row>
    <row r="540" spans="1:7">
      <c r="A540" s="20" t="s">
        <v>1237</v>
      </c>
      <c r="B540">
        <v>1014</v>
      </c>
      <c r="C540">
        <v>2610</v>
      </c>
      <c r="D540">
        <v>178.8</v>
      </c>
      <c r="E540">
        <v>2171</v>
      </c>
      <c r="F540">
        <v>628</v>
      </c>
      <c r="G540">
        <v>343</v>
      </c>
    </row>
    <row r="541" spans="1:7">
      <c r="A541" s="21" t="s">
        <v>1290</v>
      </c>
      <c r="B541">
        <v>21</v>
      </c>
      <c r="C541">
        <v>65</v>
      </c>
      <c r="D541">
        <v>8.1999999999999993</v>
      </c>
      <c r="E541">
        <v>31</v>
      </c>
      <c r="F541">
        <v>13</v>
      </c>
      <c r="G541">
        <v>5</v>
      </c>
    </row>
    <row r="542" spans="1:7">
      <c r="A542" s="21" t="s">
        <v>1346</v>
      </c>
      <c r="B542">
        <v>16</v>
      </c>
      <c r="C542">
        <v>83</v>
      </c>
      <c r="D542">
        <v>12.2</v>
      </c>
      <c r="E542">
        <v>94</v>
      </c>
      <c r="F542">
        <v>16</v>
      </c>
      <c r="G542">
        <v>11</v>
      </c>
    </row>
    <row r="543" spans="1:7">
      <c r="A543" s="21" t="s">
        <v>1354</v>
      </c>
      <c r="B543">
        <v>20</v>
      </c>
      <c r="C543">
        <v>31</v>
      </c>
      <c r="D543">
        <v>10</v>
      </c>
      <c r="E543">
        <v>19</v>
      </c>
      <c r="F543">
        <v>3</v>
      </c>
      <c r="G543">
        <v>9</v>
      </c>
    </row>
    <row r="544" spans="1:7">
      <c r="A544" s="21" t="s">
        <v>1372</v>
      </c>
      <c r="B544">
        <v>70</v>
      </c>
      <c r="C544">
        <v>155</v>
      </c>
      <c r="D544">
        <v>12.6</v>
      </c>
      <c r="E544">
        <v>35</v>
      </c>
      <c r="F544">
        <v>25</v>
      </c>
      <c r="G544">
        <v>25</v>
      </c>
    </row>
    <row r="545" spans="1:7">
      <c r="A545" s="21" t="s">
        <v>1386</v>
      </c>
      <c r="B545">
        <v>5</v>
      </c>
      <c r="C545">
        <v>22</v>
      </c>
      <c r="D545">
        <v>4.5999999999999996</v>
      </c>
      <c r="E545">
        <v>3</v>
      </c>
      <c r="F545">
        <v>4</v>
      </c>
      <c r="G545">
        <v>2</v>
      </c>
    </row>
    <row r="546" spans="1:7">
      <c r="A546" s="21" t="s">
        <v>1387</v>
      </c>
      <c r="B546">
        <v>52</v>
      </c>
      <c r="C546">
        <v>70</v>
      </c>
      <c r="D546">
        <v>7.4</v>
      </c>
      <c r="E546">
        <v>29</v>
      </c>
      <c r="F546">
        <v>8</v>
      </c>
      <c r="G546">
        <v>10</v>
      </c>
    </row>
    <row r="547" spans="1:7">
      <c r="A547" s="21" t="s">
        <v>1394</v>
      </c>
      <c r="B547">
        <v>0</v>
      </c>
      <c r="C547">
        <v>4</v>
      </c>
      <c r="D547">
        <v>0.7</v>
      </c>
      <c r="E547">
        <v>3</v>
      </c>
      <c r="F547">
        <v>2</v>
      </c>
      <c r="G547">
        <v>0</v>
      </c>
    </row>
    <row r="548" spans="1:7">
      <c r="A548" s="21" t="s">
        <v>1462</v>
      </c>
      <c r="B548">
        <v>8</v>
      </c>
      <c r="C548">
        <v>20</v>
      </c>
      <c r="D548">
        <v>5.0999999999999996</v>
      </c>
      <c r="E548">
        <v>31</v>
      </c>
      <c r="F548">
        <v>17</v>
      </c>
      <c r="G548">
        <v>3</v>
      </c>
    </row>
    <row r="549" spans="1:7">
      <c r="A549" s="21" t="s">
        <v>1471</v>
      </c>
      <c r="B549">
        <v>43</v>
      </c>
      <c r="C549">
        <v>151</v>
      </c>
      <c r="D549">
        <v>7.1</v>
      </c>
      <c r="E549">
        <v>97</v>
      </c>
      <c r="F549">
        <v>49</v>
      </c>
      <c r="G549">
        <v>11</v>
      </c>
    </row>
    <row r="550" spans="1:7">
      <c r="A550" s="21" t="s">
        <v>1481</v>
      </c>
      <c r="B550">
        <v>17</v>
      </c>
      <c r="C550">
        <v>102</v>
      </c>
      <c r="D550">
        <v>12.8</v>
      </c>
      <c r="E550">
        <v>191</v>
      </c>
      <c r="F550">
        <v>23</v>
      </c>
      <c r="G550">
        <v>3</v>
      </c>
    </row>
    <row r="551" spans="1:7">
      <c r="A551" s="21" t="s">
        <v>1510</v>
      </c>
      <c r="B551">
        <v>188</v>
      </c>
      <c r="C551">
        <v>359</v>
      </c>
      <c r="D551">
        <v>13.3</v>
      </c>
      <c r="E551">
        <v>160</v>
      </c>
      <c r="F551">
        <v>68</v>
      </c>
      <c r="G551">
        <v>68</v>
      </c>
    </row>
    <row r="552" spans="1:7">
      <c r="A552" s="21" t="s">
        <v>1511</v>
      </c>
      <c r="B552">
        <v>57</v>
      </c>
      <c r="C552">
        <v>99</v>
      </c>
      <c r="D552">
        <v>6.8</v>
      </c>
      <c r="E552">
        <v>83</v>
      </c>
      <c r="F552">
        <v>42</v>
      </c>
      <c r="G552">
        <v>10</v>
      </c>
    </row>
    <row r="553" spans="1:7">
      <c r="A553" s="21" t="s">
        <v>1526</v>
      </c>
      <c r="B553">
        <v>30</v>
      </c>
      <c r="C553">
        <v>83</v>
      </c>
      <c r="D553">
        <v>7</v>
      </c>
      <c r="E553">
        <v>315</v>
      </c>
      <c r="F553">
        <v>60</v>
      </c>
      <c r="G553">
        <v>8</v>
      </c>
    </row>
    <row r="554" spans="1:7">
      <c r="A554" s="21" t="s">
        <v>1531</v>
      </c>
      <c r="B554">
        <v>35</v>
      </c>
      <c r="C554">
        <v>124</v>
      </c>
      <c r="D554">
        <v>7.2</v>
      </c>
      <c r="E554">
        <v>53</v>
      </c>
      <c r="F554">
        <v>18</v>
      </c>
      <c r="G554">
        <v>12</v>
      </c>
    </row>
    <row r="555" spans="1:7">
      <c r="A555" s="21" t="s">
        <v>1535</v>
      </c>
      <c r="B555">
        <v>14</v>
      </c>
      <c r="C555">
        <v>28</v>
      </c>
      <c r="D555">
        <v>10.6</v>
      </c>
      <c r="E555">
        <v>15</v>
      </c>
      <c r="F555">
        <v>10</v>
      </c>
      <c r="G555">
        <v>1</v>
      </c>
    </row>
    <row r="556" spans="1:7">
      <c r="A556" s="21" t="s">
        <v>1574</v>
      </c>
      <c r="B556">
        <v>107</v>
      </c>
      <c r="C556">
        <v>202</v>
      </c>
      <c r="D556">
        <v>8.3000000000000007</v>
      </c>
      <c r="E556">
        <v>145</v>
      </c>
      <c r="F556">
        <v>57</v>
      </c>
      <c r="G556">
        <v>32</v>
      </c>
    </row>
    <row r="557" spans="1:7">
      <c r="A557" s="21" t="s">
        <v>1718</v>
      </c>
      <c r="B557">
        <v>64</v>
      </c>
      <c r="C557">
        <v>179</v>
      </c>
      <c r="D557">
        <v>8.1</v>
      </c>
      <c r="E557">
        <v>96</v>
      </c>
      <c r="F557">
        <v>58</v>
      </c>
      <c r="G557">
        <v>32</v>
      </c>
    </row>
    <row r="558" spans="1:7">
      <c r="A558" s="21" t="s">
        <v>1722</v>
      </c>
      <c r="B558">
        <v>88</v>
      </c>
      <c r="C558">
        <v>132</v>
      </c>
      <c r="D558">
        <v>8.8000000000000007</v>
      </c>
      <c r="E558">
        <v>79</v>
      </c>
      <c r="F558">
        <v>18</v>
      </c>
      <c r="G558">
        <v>18</v>
      </c>
    </row>
    <row r="559" spans="1:7">
      <c r="A559" s="21" t="s">
        <v>1759</v>
      </c>
      <c r="B559">
        <v>64</v>
      </c>
      <c r="C559">
        <v>307</v>
      </c>
      <c r="D559">
        <v>12.1</v>
      </c>
      <c r="E559">
        <v>313</v>
      </c>
      <c r="F559">
        <v>46</v>
      </c>
      <c r="G559">
        <v>17</v>
      </c>
    </row>
    <row r="560" spans="1:7">
      <c r="A560" s="21" t="s">
        <v>1775</v>
      </c>
      <c r="B560">
        <v>111</v>
      </c>
      <c r="C560">
        <v>390</v>
      </c>
      <c r="D560">
        <v>13.9</v>
      </c>
      <c r="E560">
        <v>377</v>
      </c>
      <c r="F560">
        <v>91</v>
      </c>
      <c r="G560">
        <v>65</v>
      </c>
    </row>
    <row r="561" spans="1:7">
      <c r="A561" s="21" t="s">
        <v>1837</v>
      </c>
      <c r="B561">
        <v>4</v>
      </c>
      <c r="C561">
        <v>4</v>
      </c>
      <c r="D561">
        <v>2</v>
      </c>
      <c r="E561">
        <v>2</v>
      </c>
      <c r="F561">
        <v>0</v>
      </c>
      <c r="G561">
        <v>1</v>
      </c>
    </row>
    <row r="562" spans="1:7">
      <c r="A562" s="20" t="s">
        <v>1239</v>
      </c>
      <c r="B562">
        <v>978</v>
      </c>
      <c r="C562">
        <v>2681</v>
      </c>
      <c r="D562">
        <v>148.59999999999997</v>
      </c>
      <c r="E562">
        <v>2053</v>
      </c>
      <c r="F562">
        <v>554</v>
      </c>
      <c r="G562">
        <v>337</v>
      </c>
    </row>
    <row r="563" spans="1:7">
      <c r="A563" s="21" t="s">
        <v>1350</v>
      </c>
      <c r="B563">
        <v>43</v>
      </c>
      <c r="C563">
        <v>170</v>
      </c>
      <c r="D563">
        <v>8.6999999999999993</v>
      </c>
      <c r="E563">
        <v>107</v>
      </c>
      <c r="F563">
        <v>43</v>
      </c>
      <c r="G563">
        <v>7</v>
      </c>
    </row>
    <row r="564" spans="1:7">
      <c r="A564" s="21" t="s">
        <v>1383</v>
      </c>
      <c r="B564">
        <v>25</v>
      </c>
      <c r="C564">
        <v>85</v>
      </c>
      <c r="D564">
        <v>2.1</v>
      </c>
      <c r="E564">
        <v>60</v>
      </c>
      <c r="F564">
        <v>25</v>
      </c>
      <c r="G564">
        <v>15</v>
      </c>
    </row>
    <row r="565" spans="1:7">
      <c r="A565" s="21" t="s">
        <v>1389</v>
      </c>
      <c r="B565">
        <v>63</v>
      </c>
      <c r="C565">
        <v>113</v>
      </c>
      <c r="D565">
        <v>10.6</v>
      </c>
      <c r="E565">
        <v>265</v>
      </c>
      <c r="F565">
        <v>44</v>
      </c>
      <c r="G565">
        <v>6</v>
      </c>
    </row>
    <row r="566" spans="1:7">
      <c r="A566" s="21" t="s">
        <v>1453</v>
      </c>
      <c r="B566">
        <v>9</v>
      </c>
      <c r="C566">
        <v>12</v>
      </c>
      <c r="D566">
        <v>3.7</v>
      </c>
      <c r="E566">
        <v>8</v>
      </c>
      <c r="F566">
        <v>10</v>
      </c>
      <c r="G566">
        <v>1</v>
      </c>
    </row>
    <row r="567" spans="1:7">
      <c r="A567" s="21" t="s">
        <v>1484</v>
      </c>
      <c r="B567">
        <v>36</v>
      </c>
      <c r="C567">
        <v>206</v>
      </c>
      <c r="D567">
        <v>7.7</v>
      </c>
      <c r="E567">
        <v>447</v>
      </c>
      <c r="F567">
        <v>64</v>
      </c>
      <c r="G567">
        <v>14</v>
      </c>
    </row>
    <row r="568" spans="1:7">
      <c r="A568" s="21" t="s">
        <v>1503</v>
      </c>
      <c r="B568">
        <v>17</v>
      </c>
      <c r="C568">
        <v>43</v>
      </c>
      <c r="D568">
        <v>6.3</v>
      </c>
      <c r="E568">
        <v>34</v>
      </c>
      <c r="F568">
        <v>26</v>
      </c>
      <c r="G568">
        <v>4</v>
      </c>
    </row>
    <row r="569" spans="1:7">
      <c r="A569" s="21" t="s">
        <v>1566</v>
      </c>
      <c r="B569">
        <v>88</v>
      </c>
      <c r="C569">
        <v>240</v>
      </c>
      <c r="D569">
        <v>12.9</v>
      </c>
      <c r="E569">
        <v>80</v>
      </c>
      <c r="F569">
        <v>40</v>
      </c>
      <c r="G569">
        <v>40</v>
      </c>
    </row>
    <row r="570" spans="1:7">
      <c r="A570" s="21" t="s">
        <v>1570</v>
      </c>
      <c r="B570">
        <v>45</v>
      </c>
      <c r="C570">
        <v>141</v>
      </c>
      <c r="D570">
        <v>7.1</v>
      </c>
      <c r="E570">
        <v>70</v>
      </c>
      <c r="F570">
        <v>38</v>
      </c>
      <c r="G570">
        <v>6</v>
      </c>
    </row>
    <row r="571" spans="1:7">
      <c r="A571" s="21" t="s">
        <v>1575</v>
      </c>
      <c r="B571">
        <v>26</v>
      </c>
      <c r="C571">
        <v>93</v>
      </c>
      <c r="D571">
        <v>10.199999999999999</v>
      </c>
      <c r="E571">
        <v>137</v>
      </c>
      <c r="F571">
        <v>30</v>
      </c>
      <c r="G571">
        <v>7</v>
      </c>
    </row>
    <row r="572" spans="1:7">
      <c r="A572" s="21" t="s">
        <v>1624</v>
      </c>
      <c r="B572">
        <v>27</v>
      </c>
      <c r="C572">
        <v>228</v>
      </c>
      <c r="D572">
        <v>9.3000000000000007</v>
      </c>
      <c r="E572">
        <v>375</v>
      </c>
      <c r="F572">
        <v>47</v>
      </c>
      <c r="G572">
        <v>7</v>
      </c>
    </row>
    <row r="573" spans="1:7">
      <c r="A573" s="21" t="s">
        <v>1627</v>
      </c>
      <c r="B573">
        <v>30</v>
      </c>
      <c r="C573">
        <v>95</v>
      </c>
      <c r="D573">
        <v>6.1</v>
      </c>
      <c r="E573">
        <v>47</v>
      </c>
      <c r="F573">
        <v>17</v>
      </c>
      <c r="G573">
        <v>22</v>
      </c>
    </row>
    <row r="574" spans="1:7">
      <c r="A574" s="21" t="s">
        <v>1636</v>
      </c>
      <c r="B574">
        <v>115</v>
      </c>
      <c r="C574">
        <v>331</v>
      </c>
      <c r="D574">
        <v>10.3</v>
      </c>
      <c r="E574">
        <v>137</v>
      </c>
      <c r="F574">
        <v>50</v>
      </c>
      <c r="G574">
        <v>22</v>
      </c>
    </row>
    <row r="575" spans="1:7">
      <c r="A575" s="21" t="s">
        <v>1646</v>
      </c>
      <c r="B575">
        <v>71</v>
      </c>
      <c r="C575">
        <v>207</v>
      </c>
      <c r="D575">
        <v>10.3</v>
      </c>
      <c r="E575">
        <v>71</v>
      </c>
      <c r="F575">
        <v>33</v>
      </c>
      <c r="G575">
        <v>19</v>
      </c>
    </row>
    <row r="576" spans="1:7">
      <c r="A576" s="21" t="s">
        <v>1685</v>
      </c>
      <c r="B576">
        <v>42</v>
      </c>
      <c r="C576">
        <v>122</v>
      </c>
      <c r="D576">
        <v>6.3</v>
      </c>
      <c r="E576">
        <v>30</v>
      </c>
      <c r="F576">
        <v>15</v>
      </c>
      <c r="G576">
        <v>15</v>
      </c>
    </row>
    <row r="577" spans="1:7">
      <c r="A577" s="21" t="s">
        <v>1723</v>
      </c>
      <c r="B577">
        <v>46</v>
      </c>
      <c r="C577">
        <v>76</v>
      </c>
      <c r="D577">
        <v>14</v>
      </c>
      <c r="E577">
        <v>8</v>
      </c>
      <c r="F577">
        <v>13</v>
      </c>
      <c r="G577">
        <v>1</v>
      </c>
    </row>
    <row r="578" spans="1:7">
      <c r="A578" s="21" t="s">
        <v>1790</v>
      </c>
      <c r="B578">
        <v>23</v>
      </c>
      <c r="C578">
        <v>68</v>
      </c>
      <c r="D578">
        <v>6.7</v>
      </c>
      <c r="E578">
        <v>76</v>
      </c>
      <c r="F578">
        <v>19</v>
      </c>
      <c r="G578">
        <v>8</v>
      </c>
    </row>
    <row r="579" spans="1:7">
      <c r="A579" s="21" t="s">
        <v>1796</v>
      </c>
      <c r="B579">
        <v>5</v>
      </c>
      <c r="C579">
        <v>10</v>
      </c>
      <c r="D579">
        <v>3.6</v>
      </c>
      <c r="E579">
        <v>2</v>
      </c>
      <c r="F579">
        <v>5</v>
      </c>
      <c r="G579">
        <v>4</v>
      </c>
    </row>
    <row r="580" spans="1:7">
      <c r="A580" s="21" t="s">
        <v>1843</v>
      </c>
      <c r="B580">
        <v>267</v>
      </c>
      <c r="C580">
        <v>441</v>
      </c>
      <c r="D580">
        <v>12.7</v>
      </c>
      <c r="E580">
        <v>99</v>
      </c>
      <c r="F580">
        <v>35</v>
      </c>
      <c r="G580">
        <v>139</v>
      </c>
    </row>
    <row r="581" spans="1:7">
      <c r="A581" s="20" t="s">
        <v>1241</v>
      </c>
      <c r="B581">
        <v>711</v>
      </c>
      <c r="C581">
        <v>2340</v>
      </c>
      <c r="D581">
        <v>166.2</v>
      </c>
      <c r="E581">
        <v>1974</v>
      </c>
      <c r="F581">
        <v>607</v>
      </c>
      <c r="G581">
        <v>392</v>
      </c>
    </row>
    <row r="582" spans="1:7">
      <c r="A582" s="21" t="s">
        <v>1299</v>
      </c>
      <c r="B582">
        <v>9</v>
      </c>
      <c r="C582">
        <v>52</v>
      </c>
      <c r="D582">
        <v>5.3</v>
      </c>
      <c r="E582">
        <v>75</v>
      </c>
      <c r="F582">
        <v>12</v>
      </c>
      <c r="G582">
        <v>3</v>
      </c>
    </row>
    <row r="583" spans="1:7">
      <c r="A583" s="21" t="s">
        <v>1307</v>
      </c>
      <c r="B583">
        <v>127</v>
      </c>
      <c r="C583">
        <v>308</v>
      </c>
      <c r="D583">
        <v>8.4</v>
      </c>
      <c r="E583">
        <v>161</v>
      </c>
      <c r="F583">
        <v>47</v>
      </c>
      <c r="G583">
        <v>101</v>
      </c>
    </row>
    <row r="584" spans="1:7">
      <c r="A584" s="21" t="s">
        <v>1320</v>
      </c>
      <c r="B584">
        <v>20</v>
      </c>
      <c r="C584">
        <v>46</v>
      </c>
      <c r="D584">
        <v>7.1</v>
      </c>
      <c r="E584">
        <v>15</v>
      </c>
      <c r="F584">
        <v>10</v>
      </c>
      <c r="G584">
        <v>0</v>
      </c>
    </row>
    <row r="585" spans="1:7">
      <c r="A585" s="21" t="s">
        <v>1333</v>
      </c>
      <c r="B585">
        <v>89</v>
      </c>
      <c r="C585">
        <v>201</v>
      </c>
      <c r="D585">
        <v>7</v>
      </c>
      <c r="E585">
        <v>201</v>
      </c>
      <c r="F585">
        <v>77</v>
      </c>
      <c r="G585">
        <v>41</v>
      </c>
    </row>
    <row r="586" spans="1:7">
      <c r="A586" s="21" t="s">
        <v>1356</v>
      </c>
      <c r="B586">
        <v>33</v>
      </c>
      <c r="C586">
        <v>312</v>
      </c>
      <c r="D586">
        <v>7.1</v>
      </c>
      <c r="E586">
        <v>361</v>
      </c>
      <c r="F586">
        <v>57</v>
      </c>
      <c r="G586">
        <v>25</v>
      </c>
    </row>
    <row r="587" spans="1:7">
      <c r="A587" s="21" t="s">
        <v>1384</v>
      </c>
      <c r="B587">
        <v>20</v>
      </c>
      <c r="C587">
        <v>66</v>
      </c>
      <c r="D587">
        <v>7.8</v>
      </c>
      <c r="E587">
        <v>43</v>
      </c>
      <c r="F587">
        <v>27</v>
      </c>
      <c r="G587">
        <v>12</v>
      </c>
    </row>
    <row r="588" spans="1:7">
      <c r="A588" s="21" t="s">
        <v>1390</v>
      </c>
      <c r="B588">
        <v>37</v>
      </c>
      <c r="C588">
        <v>146</v>
      </c>
      <c r="D588">
        <v>7.4</v>
      </c>
      <c r="E588">
        <v>104</v>
      </c>
      <c r="F588">
        <v>24</v>
      </c>
      <c r="G588">
        <v>12</v>
      </c>
    </row>
    <row r="589" spans="1:7">
      <c r="A589" s="21" t="s">
        <v>1518</v>
      </c>
      <c r="B589">
        <v>0</v>
      </c>
      <c r="C589">
        <v>0</v>
      </c>
      <c r="D589">
        <v>11.4</v>
      </c>
      <c r="E589">
        <v>1</v>
      </c>
      <c r="F589">
        <v>1</v>
      </c>
      <c r="G589">
        <v>0</v>
      </c>
    </row>
    <row r="590" spans="1:7">
      <c r="A590" s="21" t="s">
        <v>1544</v>
      </c>
      <c r="B590">
        <v>11</v>
      </c>
      <c r="C590">
        <v>34</v>
      </c>
      <c r="D590">
        <v>7.4</v>
      </c>
      <c r="E590">
        <v>18</v>
      </c>
      <c r="F590">
        <v>10</v>
      </c>
      <c r="G590">
        <v>0</v>
      </c>
    </row>
    <row r="591" spans="1:7">
      <c r="A591" s="21" t="s">
        <v>1568</v>
      </c>
      <c r="B591">
        <v>10</v>
      </c>
      <c r="C591">
        <v>27</v>
      </c>
      <c r="D591">
        <v>6.7</v>
      </c>
      <c r="E591">
        <v>10</v>
      </c>
      <c r="F591">
        <v>14</v>
      </c>
      <c r="G591">
        <v>7</v>
      </c>
    </row>
    <row r="592" spans="1:7">
      <c r="A592" s="21" t="s">
        <v>1580</v>
      </c>
      <c r="B592">
        <v>34</v>
      </c>
      <c r="C592">
        <v>170</v>
      </c>
      <c r="D592">
        <v>10.7</v>
      </c>
      <c r="E592">
        <v>306</v>
      </c>
      <c r="F592">
        <v>88</v>
      </c>
      <c r="G592">
        <v>27</v>
      </c>
    </row>
    <row r="593" spans="1:7">
      <c r="A593" s="21" t="s">
        <v>1591</v>
      </c>
      <c r="B593">
        <v>20</v>
      </c>
      <c r="C593">
        <v>28</v>
      </c>
      <c r="D593">
        <v>6.5</v>
      </c>
      <c r="E593">
        <v>6</v>
      </c>
      <c r="F593">
        <v>8</v>
      </c>
      <c r="G593">
        <v>10</v>
      </c>
    </row>
    <row r="594" spans="1:7">
      <c r="A594" s="21" t="s">
        <v>1596</v>
      </c>
      <c r="B594">
        <v>112</v>
      </c>
      <c r="C594">
        <v>242</v>
      </c>
      <c r="D594">
        <v>10.1</v>
      </c>
      <c r="E594">
        <v>62</v>
      </c>
      <c r="F594">
        <v>62</v>
      </c>
      <c r="G594">
        <v>37</v>
      </c>
    </row>
    <row r="595" spans="1:7">
      <c r="A595" s="21" t="s">
        <v>1625</v>
      </c>
      <c r="B595">
        <v>15</v>
      </c>
      <c r="C595">
        <v>126</v>
      </c>
      <c r="D595">
        <v>11.4</v>
      </c>
      <c r="E595">
        <v>152</v>
      </c>
      <c r="F595">
        <v>33</v>
      </c>
      <c r="G595">
        <v>7</v>
      </c>
    </row>
    <row r="596" spans="1:7">
      <c r="A596" s="21" t="s">
        <v>1641</v>
      </c>
      <c r="B596">
        <v>48</v>
      </c>
      <c r="C596">
        <v>238</v>
      </c>
      <c r="D596">
        <v>5.8</v>
      </c>
      <c r="E596">
        <v>170</v>
      </c>
      <c r="F596">
        <v>68</v>
      </c>
      <c r="G596">
        <v>48</v>
      </c>
    </row>
    <row r="597" spans="1:7">
      <c r="A597" s="21" t="s">
        <v>1663</v>
      </c>
      <c r="B597">
        <v>22</v>
      </c>
      <c r="C597">
        <v>70</v>
      </c>
      <c r="D597">
        <v>11.3</v>
      </c>
      <c r="E597">
        <v>98</v>
      </c>
      <c r="F597">
        <v>12</v>
      </c>
      <c r="G597">
        <v>5</v>
      </c>
    </row>
    <row r="598" spans="1:7">
      <c r="A598" s="21" t="s">
        <v>1670</v>
      </c>
      <c r="B598">
        <v>17</v>
      </c>
      <c r="C598">
        <v>54</v>
      </c>
      <c r="D598">
        <v>8.6</v>
      </c>
      <c r="E598">
        <v>109</v>
      </c>
      <c r="F598">
        <v>37</v>
      </c>
      <c r="G598">
        <v>10</v>
      </c>
    </row>
    <row r="599" spans="1:7">
      <c r="A599" s="21" t="s">
        <v>1756</v>
      </c>
      <c r="B599">
        <v>62</v>
      </c>
      <c r="C599">
        <v>115</v>
      </c>
      <c r="D599">
        <v>13.5</v>
      </c>
      <c r="E599">
        <v>43</v>
      </c>
      <c r="F599">
        <v>9</v>
      </c>
      <c r="G599">
        <v>22</v>
      </c>
    </row>
    <row r="600" spans="1:7">
      <c r="A600" s="21" t="s">
        <v>1825</v>
      </c>
      <c r="B600">
        <v>25</v>
      </c>
      <c r="C600">
        <v>105</v>
      </c>
      <c r="D600">
        <v>12.7</v>
      </c>
      <c r="E600">
        <v>39</v>
      </c>
      <c r="F600">
        <v>11</v>
      </c>
      <c r="G600">
        <v>25</v>
      </c>
    </row>
    <row r="601" spans="1:7">
      <c r="A601" s="20" t="s">
        <v>1858</v>
      </c>
      <c r="B601">
        <v>27416</v>
      </c>
      <c r="C601">
        <v>81251</v>
      </c>
      <c r="D601">
        <v>5047.3999999999996</v>
      </c>
      <c r="E601">
        <v>65341</v>
      </c>
      <c r="F601">
        <v>20230</v>
      </c>
      <c r="G601">
        <v>12066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6792-D364-2940-B2DC-EB9BABD1E65C}">
  <dimension ref="A1:AL570"/>
  <sheetViews>
    <sheetView zoomScale="107" workbookViewId="0">
      <selection activeCell="AE15" sqref="AE15"/>
    </sheetView>
  </sheetViews>
  <sheetFormatPr baseColWidth="10" defaultColWidth="12.6640625" defaultRowHeight="15.75" customHeight="1"/>
  <cols>
    <col min="1" max="1" width="27.1640625" customWidth="1"/>
    <col min="2" max="2" width="6.83203125" customWidth="1"/>
    <col min="3" max="3" width="6.5" style="32" customWidth="1"/>
    <col min="4" max="4" width="6.5" style="26" customWidth="1"/>
    <col min="5" max="5" width="6.5" style="26" hidden="1" customWidth="1"/>
    <col min="6" max="6" width="6.5" customWidth="1"/>
    <col min="7" max="7" width="6.5" hidden="1" customWidth="1"/>
    <col min="8" max="8" width="6.5" customWidth="1"/>
    <col min="9" max="10" width="6.5" hidden="1" customWidth="1"/>
    <col min="11" max="11" width="6.5" customWidth="1"/>
    <col min="12" max="12" width="7.33203125" customWidth="1"/>
    <col min="13" max="38" width="6.5" customWidth="1"/>
  </cols>
  <sheetData>
    <row r="1" spans="1:38" ht="15.75" customHeight="1">
      <c r="A1" s="27" t="s">
        <v>0</v>
      </c>
      <c r="B1" s="29" t="s">
        <v>1</v>
      </c>
      <c r="C1" s="27" t="s">
        <v>7</v>
      </c>
      <c r="D1" s="27" t="s">
        <v>8</v>
      </c>
      <c r="E1" s="27" t="s">
        <v>9</v>
      </c>
      <c r="F1" s="27" t="s">
        <v>10</v>
      </c>
      <c r="G1" s="27" t="s">
        <v>11</v>
      </c>
      <c r="H1" s="27" t="s">
        <v>12</v>
      </c>
      <c r="I1" s="27" t="s">
        <v>13</v>
      </c>
      <c r="J1" s="27" t="s">
        <v>14</v>
      </c>
      <c r="K1" s="27" t="s">
        <v>15</v>
      </c>
      <c r="L1" s="27" t="s">
        <v>16</v>
      </c>
      <c r="M1" s="27" t="s">
        <v>41</v>
      </c>
      <c r="N1" s="4"/>
      <c r="O1" s="4"/>
      <c r="P1" s="4"/>
      <c r="Q1" s="4"/>
      <c r="R1" s="4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/>
    </row>
    <row r="2" spans="1:38" ht="15.75" customHeight="1">
      <c r="A2" s="8" t="s">
        <v>43</v>
      </c>
      <c r="B2" s="9" t="s">
        <v>44</v>
      </c>
      <c r="C2" s="9">
        <v>2485</v>
      </c>
      <c r="D2" s="9">
        <v>859</v>
      </c>
      <c r="E2" s="9">
        <v>1657</v>
      </c>
      <c r="F2" s="9">
        <v>51.9</v>
      </c>
      <c r="G2" s="9">
        <v>433</v>
      </c>
      <c r="H2" s="8">
        <v>37.5</v>
      </c>
      <c r="I2" s="8">
        <v>600</v>
      </c>
      <c r="J2" s="8">
        <v>669</v>
      </c>
      <c r="K2" s="8">
        <v>89.8</v>
      </c>
      <c r="L2" s="9">
        <v>68</v>
      </c>
      <c r="M2" s="8">
        <v>19.899999999999999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</row>
    <row r="3" spans="1:38" ht="15.75" customHeight="1">
      <c r="A3" s="8" t="s">
        <v>45</v>
      </c>
      <c r="B3" s="9" t="s">
        <v>46</v>
      </c>
      <c r="C3" s="9">
        <v>2180</v>
      </c>
      <c r="D3" s="9">
        <v>719</v>
      </c>
      <c r="E3" s="9">
        <v>1612</v>
      </c>
      <c r="F3" s="9">
        <v>44.7</v>
      </c>
      <c r="G3" s="9">
        <v>814</v>
      </c>
      <c r="H3" s="8">
        <v>39.5</v>
      </c>
      <c r="I3" s="8">
        <v>419</v>
      </c>
      <c r="J3" s="8">
        <v>498</v>
      </c>
      <c r="K3" s="8">
        <v>83.7</v>
      </c>
      <c r="L3" s="9">
        <v>63</v>
      </c>
      <c r="M3" s="8">
        <v>14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.75" customHeight="1">
      <c r="A4" s="8" t="s">
        <v>47</v>
      </c>
      <c r="B4" s="9" t="s">
        <v>48</v>
      </c>
      <c r="C4" s="9">
        <v>2072</v>
      </c>
      <c r="D4" s="9">
        <v>784</v>
      </c>
      <c r="E4" s="9">
        <v>1365</v>
      </c>
      <c r="F4" s="9">
        <v>57.6</v>
      </c>
      <c r="G4" s="9">
        <v>329</v>
      </c>
      <c r="H4" s="8">
        <v>41.7</v>
      </c>
      <c r="I4" s="8">
        <v>364</v>
      </c>
      <c r="J4" s="8">
        <v>448</v>
      </c>
      <c r="K4" s="8">
        <v>80</v>
      </c>
      <c r="L4" s="9">
        <v>203</v>
      </c>
      <c r="M4" s="8">
        <v>20.6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</row>
    <row r="5" spans="1:38" ht="15.75" customHeight="1">
      <c r="A5" s="8" t="s">
        <v>49</v>
      </c>
      <c r="B5" s="9" t="s">
        <v>50</v>
      </c>
      <c r="C5" s="9">
        <v>2037</v>
      </c>
      <c r="D5" s="9">
        <v>791</v>
      </c>
      <c r="E5" s="9">
        <v>1320</v>
      </c>
      <c r="F5" s="9">
        <v>60.1</v>
      </c>
      <c r="G5" s="9">
        <v>60</v>
      </c>
      <c r="H5" s="8">
        <v>22.2</v>
      </c>
      <c r="I5" s="8">
        <v>436</v>
      </c>
      <c r="J5" s="8">
        <v>710</v>
      </c>
      <c r="K5" s="8">
        <v>61.7</v>
      </c>
      <c r="L5" s="9">
        <v>147</v>
      </c>
      <c r="M5" s="8">
        <v>21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</row>
    <row r="6" spans="1:38" ht="15.75" customHeight="1">
      <c r="A6" s="8" t="s">
        <v>51</v>
      </c>
      <c r="B6" s="9" t="s">
        <v>52</v>
      </c>
      <c r="C6" s="9">
        <v>1930</v>
      </c>
      <c r="D6" s="9">
        <v>662</v>
      </c>
      <c r="E6" s="9">
        <v>1462</v>
      </c>
      <c r="F6" s="9">
        <v>45.2</v>
      </c>
      <c r="G6" s="9">
        <v>727</v>
      </c>
      <c r="H6" s="8">
        <v>34.299999999999997</v>
      </c>
      <c r="I6" s="8">
        <v>360</v>
      </c>
      <c r="J6" s="8">
        <v>439</v>
      </c>
      <c r="K6" s="8">
        <v>81.400000000000006</v>
      </c>
      <c r="L6" s="9">
        <v>50</v>
      </c>
      <c r="M6" s="8">
        <v>15.8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1"/>
    </row>
    <row r="7" spans="1:38" ht="15.75" customHeight="1">
      <c r="A7" s="8" t="s">
        <v>53</v>
      </c>
      <c r="B7" s="9" t="s">
        <v>54</v>
      </c>
      <c r="C7" s="9">
        <v>1920</v>
      </c>
      <c r="D7" s="9">
        <v>653</v>
      </c>
      <c r="E7" s="9">
        <v>1418</v>
      </c>
      <c r="F7" s="9">
        <v>46.1</v>
      </c>
      <c r="G7" s="9">
        <v>548</v>
      </c>
      <c r="H7" s="8">
        <v>33.200000000000003</v>
      </c>
      <c r="I7" s="8">
        <v>435</v>
      </c>
      <c r="J7" s="8">
        <v>480</v>
      </c>
      <c r="K7" s="8">
        <v>89.4</v>
      </c>
      <c r="L7" s="9">
        <v>75</v>
      </c>
      <c r="M7" s="8">
        <v>12.2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</row>
    <row r="8" spans="1:38" ht="15.75" customHeight="1">
      <c r="A8" s="8" t="s">
        <v>55</v>
      </c>
      <c r="B8" s="9" t="s">
        <v>56</v>
      </c>
      <c r="C8" s="9">
        <v>1840</v>
      </c>
      <c r="D8" s="9">
        <v>655</v>
      </c>
      <c r="E8" s="9">
        <v>1378</v>
      </c>
      <c r="F8" s="9">
        <v>47.2</v>
      </c>
      <c r="G8" s="9">
        <v>670</v>
      </c>
      <c r="H8" s="8">
        <v>37.5</v>
      </c>
      <c r="I8" s="8">
        <v>285</v>
      </c>
      <c r="J8" s="8">
        <v>323</v>
      </c>
      <c r="K8" s="8">
        <v>87.8</v>
      </c>
      <c r="L8" s="9">
        <v>39</v>
      </c>
      <c r="M8" s="8">
        <v>13.9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</row>
    <row r="9" spans="1:38" ht="15.75" customHeight="1">
      <c r="A9" s="8" t="s">
        <v>57</v>
      </c>
      <c r="B9" s="9" t="s">
        <v>58</v>
      </c>
      <c r="C9" s="9">
        <v>1839</v>
      </c>
      <c r="D9" s="9">
        <v>562</v>
      </c>
      <c r="E9" s="9">
        <v>1376</v>
      </c>
      <c r="F9" s="9">
        <v>41.1</v>
      </c>
      <c r="G9" s="9">
        <v>638</v>
      </c>
      <c r="H9" s="8">
        <v>34</v>
      </c>
      <c r="I9" s="8">
        <v>494</v>
      </c>
      <c r="J9" s="8">
        <v>562</v>
      </c>
      <c r="K9" s="8">
        <v>87.5</v>
      </c>
      <c r="L9" s="9">
        <v>38</v>
      </c>
      <c r="M9" s="8">
        <v>12.9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/>
    </row>
    <row r="10" spans="1:38" ht="15.75" customHeight="1">
      <c r="A10" s="8" t="s">
        <v>59</v>
      </c>
      <c r="B10" s="9" t="s">
        <v>60</v>
      </c>
      <c r="C10" s="9">
        <v>1827</v>
      </c>
      <c r="D10" s="9">
        <v>686</v>
      </c>
      <c r="E10" s="9">
        <v>1456</v>
      </c>
      <c r="F10" s="9">
        <v>46.9</v>
      </c>
      <c r="G10" s="9">
        <v>420</v>
      </c>
      <c r="H10" s="8">
        <v>35.6</v>
      </c>
      <c r="I10" s="8">
        <v>315</v>
      </c>
      <c r="J10" s="8">
        <v>371</v>
      </c>
      <c r="K10" s="8">
        <v>84.6</v>
      </c>
      <c r="L10" s="9">
        <v>56</v>
      </c>
      <c r="M10" s="8">
        <v>15.2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1"/>
    </row>
    <row r="11" spans="1:38" ht="15.75" customHeight="1">
      <c r="A11" s="8" t="s">
        <v>61</v>
      </c>
      <c r="B11" s="9" t="s">
        <v>62</v>
      </c>
      <c r="C11" s="9">
        <v>1801</v>
      </c>
      <c r="D11" s="9">
        <v>529</v>
      </c>
      <c r="E11" s="9">
        <v>1296</v>
      </c>
      <c r="F11" s="9">
        <v>41</v>
      </c>
      <c r="G11" s="9">
        <v>672</v>
      </c>
      <c r="H11" s="8">
        <v>35.200000000000003</v>
      </c>
      <c r="I11" s="8">
        <v>506</v>
      </c>
      <c r="J11" s="8">
        <v>577</v>
      </c>
      <c r="K11" s="8">
        <v>87.4</v>
      </c>
      <c r="L11" s="9">
        <v>55</v>
      </c>
      <c r="M11" s="8">
        <v>14.5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1"/>
    </row>
    <row r="12" spans="1:38" ht="15.75" customHeight="1">
      <c r="A12" s="8" t="s">
        <v>63</v>
      </c>
      <c r="B12" s="9" t="s">
        <v>64</v>
      </c>
      <c r="C12" s="9">
        <v>1757</v>
      </c>
      <c r="D12" s="9">
        <v>641</v>
      </c>
      <c r="E12" s="9">
        <v>1217</v>
      </c>
      <c r="F12" s="9">
        <v>52.6</v>
      </c>
      <c r="G12" s="9">
        <v>338</v>
      </c>
      <c r="H12" s="8">
        <v>42</v>
      </c>
      <c r="I12" s="8">
        <v>338</v>
      </c>
      <c r="J12" s="8">
        <v>410</v>
      </c>
      <c r="K12" s="8">
        <v>82.9</v>
      </c>
      <c r="L12" s="9">
        <v>209</v>
      </c>
      <c r="M12" s="8">
        <v>16.100000000000001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1"/>
    </row>
    <row r="13" spans="1:38" ht="15.75" customHeight="1">
      <c r="A13" s="8" t="s">
        <v>65</v>
      </c>
      <c r="B13" s="9" t="s">
        <v>66</v>
      </c>
      <c r="C13" s="9">
        <v>1724</v>
      </c>
      <c r="D13" s="9">
        <v>622</v>
      </c>
      <c r="E13" s="9">
        <v>1221</v>
      </c>
      <c r="F13" s="9">
        <v>51.1</v>
      </c>
      <c r="G13" s="9">
        <v>533</v>
      </c>
      <c r="H13" s="8">
        <v>44.6</v>
      </c>
      <c r="I13" s="8">
        <v>237</v>
      </c>
      <c r="J13" s="8">
        <v>289</v>
      </c>
      <c r="K13" s="8">
        <v>82.5</v>
      </c>
      <c r="L13" s="9">
        <v>22</v>
      </c>
      <c r="M13" s="8">
        <v>11.5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1"/>
    </row>
    <row r="14" spans="1:38" ht="15.75" customHeight="1">
      <c r="A14" s="8" t="s">
        <v>67</v>
      </c>
      <c r="B14" s="9" t="s">
        <v>68</v>
      </c>
      <c r="C14" s="9">
        <v>1722</v>
      </c>
      <c r="D14" s="9">
        <v>607</v>
      </c>
      <c r="E14" s="9">
        <v>1435</v>
      </c>
      <c r="F14" s="9">
        <v>42.3</v>
      </c>
      <c r="G14" s="9">
        <v>664</v>
      </c>
      <c r="H14" s="8">
        <v>35.4</v>
      </c>
      <c r="I14" s="8">
        <v>271</v>
      </c>
      <c r="J14" s="8">
        <v>336</v>
      </c>
      <c r="K14" s="8">
        <v>81.3</v>
      </c>
      <c r="L14" s="9">
        <v>41</v>
      </c>
      <c r="M14" s="8">
        <v>11.1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1"/>
    </row>
    <row r="15" spans="1:38" ht="15.75" customHeight="1">
      <c r="A15" s="8" t="s">
        <v>69</v>
      </c>
      <c r="B15" s="9" t="s">
        <v>70</v>
      </c>
      <c r="C15" s="9">
        <v>1715</v>
      </c>
      <c r="D15" s="9">
        <v>567</v>
      </c>
      <c r="E15" s="9">
        <v>1260</v>
      </c>
      <c r="F15" s="9">
        <v>44.8</v>
      </c>
      <c r="G15" s="9">
        <v>784</v>
      </c>
      <c r="H15" s="8">
        <v>39.700000000000003</v>
      </c>
      <c r="I15" s="8">
        <v>280</v>
      </c>
      <c r="J15" s="8">
        <v>301</v>
      </c>
      <c r="K15" s="8">
        <v>93.3</v>
      </c>
      <c r="L15" s="9">
        <v>42</v>
      </c>
      <c r="M15" s="8">
        <v>14.5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1"/>
    </row>
    <row r="16" spans="1:38" ht="15.75" customHeight="1">
      <c r="A16" s="8" t="s">
        <v>71</v>
      </c>
      <c r="B16" s="9" t="s">
        <v>66</v>
      </c>
      <c r="C16" s="9">
        <v>1709</v>
      </c>
      <c r="D16" s="9">
        <v>624</v>
      </c>
      <c r="E16" s="9">
        <v>1309</v>
      </c>
      <c r="F16" s="9">
        <v>47.7</v>
      </c>
      <c r="G16" s="9">
        <v>254</v>
      </c>
      <c r="H16" s="8">
        <v>32.799999999999997</v>
      </c>
      <c r="I16" s="8">
        <v>377</v>
      </c>
      <c r="J16" s="8">
        <v>439</v>
      </c>
      <c r="K16" s="8">
        <v>85.7</v>
      </c>
      <c r="L16" s="9">
        <v>46</v>
      </c>
      <c r="M16" s="8">
        <v>11.2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1"/>
    </row>
    <row r="17" spans="1:38" ht="15.75" customHeight="1">
      <c r="A17" s="8" t="s">
        <v>73</v>
      </c>
      <c r="B17" s="9" t="s">
        <v>74</v>
      </c>
      <c r="C17" s="9">
        <v>1708</v>
      </c>
      <c r="D17" s="9">
        <v>651</v>
      </c>
      <c r="E17" s="9">
        <v>1267</v>
      </c>
      <c r="F17" s="9">
        <v>51.3</v>
      </c>
      <c r="G17" s="9">
        <v>399</v>
      </c>
      <c r="H17" s="8">
        <v>37.6</v>
      </c>
      <c r="I17" s="8">
        <v>259</v>
      </c>
      <c r="J17" s="8">
        <v>329</v>
      </c>
      <c r="K17" s="8">
        <v>78.2</v>
      </c>
      <c r="L17" s="9">
        <v>70</v>
      </c>
      <c r="M17" s="8">
        <v>16.899999999999999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1"/>
    </row>
    <row r="18" spans="1:38" ht="15.75" customHeight="1">
      <c r="A18" s="8" t="s">
        <v>75</v>
      </c>
      <c r="B18" s="9" t="s">
        <v>76</v>
      </c>
      <c r="C18" s="9">
        <v>1704</v>
      </c>
      <c r="D18" s="9">
        <v>582</v>
      </c>
      <c r="E18" s="9">
        <v>1321</v>
      </c>
      <c r="F18" s="9">
        <v>44.3</v>
      </c>
      <c r="G18" s="9">
        <v>632</v>
      </c>
      <c r="H18" s="8">
        <v>36.799999999999997</v>
      </c>
      <c r="I18" s="8">
        <v>298</v>
      </c>
      <c r="J18" s="8">
        <v>362</v>
      </c>
      <c r="K18" s="8">
        <v>82.3</v>
      </c>
      <c r="L18" s="9">
        <v>57</v>
      </c>
      <c r="M18" s="8">
        <v>13.7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1"/>
    </row>
    <row r="19" spans="1:38" ht="15.75" customHeight="1">
      <c r="A19" s="8" t="s">
        <v>77</v>
      </c>
      <c r="B19" s="9" t="s">
        <v>64</v>
      </c>
      <c r="C19" s="9">
        <v>1690</v>
      </c>
      <c r="D19" s="9">
        <v>585</v>
      </c>
      <c r="E19" s="9">
        <v>1203</v>
      </c>
      <c r="F19" s="9">
        <v>48.8</v>
      </c>
      <c r="G19" s="9">
        <v>397</v>
      </c>
      <c r="H19" s="8">
        <v>38.299999999999997</v>
      </c>
      <c r="I19" s="8">
        <v>371</v>
      </c>
      <c r="J19" s="8">
        <v>449</v>
      </c>
      <c r="K19" s="8">
        <v>82.1</v>
      </c>
      <c r="L19" s="9">
        <v>26</v>
      </c>
      <c r="M19" s="8">
        <v>13.8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1"/>
    </row>
    <row r="20" spans="1:38" ht="15.75" customHeight="1">
      <c r="A20" s="8" t="s">
        <v>79</v>
      </c>
      <c r="B20" s="9" t="s">
        <v>54</v>
      </c>
      <c r="C20" s="9">
        <v>1649</v>
      </c>
      <c r="D20" s="9">
        <v>589</v>
      </c>
      <c r="E20" s="9">
        <v>1122</v>
      </c>
      <c r="F20" s="9">
        <v>52.7</v>
      </c>
      <c r="G20" s="9">
        <v>372</v>
      </c>
      <c r="H20" s="8">
        <v>43</v>
      </c>
      <c r="I20" s="8">
        <v>304</v>
      </c>
      <c r="J20" s="8">
        <v>360</v>
      </c>
      <c r="K20" s="8">
        <v>83.9</v>
      </c>
      <c r="L20" s="9">
        <v>25</v>
      </c>
      <c r="M20" s="8">
        <v>14.2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1"/>
    </row>
    <row r="21" spans="1:38" ht="15.75" customHeight="1">
      <c r="A21" s="8" t="s">
        <v>81</v>
      </c>
      <c r="B21" s="9" t="s">
        <v>82</v>
      </c>
      <c r="C21" s="9">
        <v>1643</v>
      </c>
      <c r="D21" s="9">
        <v>592</v>
      </c>
      <c r="E21" s="9">
        <v>1214</v>
      </c>
      <c r="F21" s="9">
        <v>48.8</v>
      </c>
      <c r="G21" s="9">
        <v>392</v>
      </c>
      <c r="H21" s="8">
        <v>37.5</v>
      </c>
      <c r="I21" s="8">
        <v>311</v>
      </c>
      <c r="J21" s="8">
        <v>400</v>
      </c>
      <c r="K21" s="8">
        <v>78.099999999999994</v>
      </c>
      <c r="L21" s="9">
        <v>89</v>
      </c>
      <c r="M21" s="8">
        <v>12.4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1"/>
    </row>
    <row r="22" spans="1:38" ht="13">
      <c r="A22" s="8" t="s">
        <v>83</v>
      </c>
      <c r="B22" s="9" t="s">
        <v>84</v>
      </c>
      <c r="C22" s="9">
        <v>1576</v>
      </c>
      <c r="D22" s="9">
        <v>616</v>
      </c>
      <c r="E22" s="9">
        <v>1186</v>
      </c>
      <c r="F22" s="9">
        <v>51.9</v>
      </c>
      <c r="G22" s="9">
        <v>328</v>
      </c>
      <c r="H22" s="8">
        <v>38.9</v>
      </c>
      <c r="I22" s="8">
        <v>226</v>
      </c>
      <c r="J22" s="8">
        <v>304</v>
      </c>
      <c r="K22" s="8">
        <v>73.400000000000006</v>
      </c>
      <c r="L22" s="9">
        <v>133</v>
      </c>
      <c r="M22" s="8">
        <v>13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1"/>
    </row>
    <row r="23" spans="1:38" ht="13">
      <c r="A23" s="8" t="s">
        <v>85</v>
      </c>
      <c r="B23" s="9" t="s">
        <v>76</v>
      </c>
      <c r="C23" s="9">
        <v>1545</v>
      </c>
      <c r="D23" s="9">
        <v>555</v>
      </c>
      <c r="E23" s="9">
        <v>1178</v>
      </c>
      <c r="F23" s="9">
        <v>47.2</v>
      </c>
      <c r="G23" s="9">
        <v>533</v>
      </c>
      <c r="H23" s="8">
        <v>40.1</v>
      </c>
      <c r="I23" s="8">
        <v>225</v>
      </c>
      <c r="J23" s="8">
        <v>255</v>
      </c>
      <c r="K23" s="8">
        <v>87.8</v>
      </c>
      <c r="L23" s="9">
        <v>45</v>
      </c>
      <c r="M23" s="8">
        <v>12.6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1"/>
    </row>
    <row r="24" spans="1:38" ht="13">
      <c r="A24" s="8" t="s">
        <v>87</v>
      </c>
      <c r="B24" s="9" t="s">
        <v>88</v>
      </c>
      <c r="C24" s="9">
        <v>1510</v>
      </c>
      <c r="D24" s="9">
        <v>511</v>
      </c>
      <c r="E24" s="9">
        <v>1117</v>
      </c>
      <c r="F24" s="9">
        <v>45.3</v>
      </c>
      <c r="G24" s="9">
        <v>585</v>
      </c>
      <c r="H24" s="8">
        <v>37</v>
      </c>
      <c r="I24" s="8">
        <v>274</v>
      </c>
      <c r="J24" s="8">
        <v>303</v>
      </c>
      <c r="K24" s="8">
        <v>90.2</v>
      </c>
      <c r="L24" s="9">
        <v>22</v>
      </c>
      <c r="M24" s="8">
        <v>10.3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1"/>
    </row>
    <row r="25" spans="1:38" ht="13">
      <c r="A25" s="8" t="s">
        <v>89</v>
      </c>
      <c r="B25" s="9" t="s">
        <v>44</v>
      </c>
      <c r="C25" s="9">
        <v>1490</v>
      </c>
      <c r="D25" s="9">
        <v>566</v>
      </c>
      <c r="E25" s="9">
        <v>1166</v>
      </c>
      <c r="F25" s="9">
        <v>48.4</v>
      </c>
      <c r="G25" s="9">
        <v>338</v>
      </c>
      <c r="H25" s="8">
        <v>36.5</v>
      </c>
      <c r="I25" s="8">
        <v>235</v>
      </c>
      <c r="J25" s="8">
        <v>297</v>
      </c>
      <c r="K25" s="8">
        <v>78.900000000000006</v>
      </c>
      <c r="L25" s="9">
        <v>62</v>
      </c>
      <c r="M25" s="8">
        <v>13.8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1"/>
    </row>
    <row r="26" spans="1:38" ht="13">
      <c r="A26" s="8" t="s">
        <v>91</v>
      </c>
      <c r="B26" s="9" t="s">
        <v>74</v>
      </c>
      <c r="C26" s="9">
        <v>1475</v>
      </c>
      <c r="D26" s="9">
        <v>475</v>
      </c>
      <c r="E26" s="9">
        <v>1037</v>
      </c>
      <c r="F26" s="9">
        <v>46</v>
      </c>
      <c r="G26" s="9">
        <v>533</v>
      </c>
      <c r="H26" s="8">
        <v>37.700000000000003</v>
      </c>
      <c r="I26" s="8">
        <v>321</v>
      </c>
      <c r="J26" s="8">
        <v>365</v>
      </c>
      <c r="K26" s="8">
        <v>87.7</v>
      </c>
      <c r="L26" s="9">
        <v>58</v>
      </c>
      <c r="M26" s="8">
        <v>11.8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1"/>
    </row>
    <row r="27" spans="1:38" ht="13">
      <c r="A27" s="8" t="s">
        <v>93</v>
      </c>
      <c r="B27" s="9" t="s">
        <v>94</v>
      </c>
      <c r="C27" s="9">
        <v>1457</v>
      </c>
      <c r="D27" s="9">
        <v>539</v>
      </c>
      <c r="E27" s="9">
        <v>1166</v>
      </c>
      <c r="F27" s="9">
        <v>46.3</v>
      </c>
      <c r="G27" s="9">
        <v>378</v>
      </c>
      <c r="H27" s="8">
        <v>31</v>
      </c>
      <c r="I27" s="8">
        <v>260</v>
      </c>
      <c r="J27" s="8">
        <v>316</v>
      </c>
      <c r="K27" s="8">
        <v>82.7</v>
      </c>
      <c r="L27" s="9">
        <v>56</v>
      </c>
      <c r="M27" s="8">
        <v>11.9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1"/>
    </row>
    <row r="28" spans="1:38" ht="13">
      <c r="A28" s="8" t="s">
        <v>95</v>
      </c>
      <c r="B28" s="9" t="s">
        <v>68</v>
      </c>
      <c r="C28" s="9">
        <v>1452</v>
      </c>
      <c r="D28" s="9">
        <v>570</v>
      </c>
      <c r="E28" s="9">
        <v>1140</v>
      </c>
      <c r="F28" s="9">
        <v>49.6</v>
      </c>
      <c r="G28" s="9">
        <v>91</v>
      </c>
      <c r="H28" s="8">
        <v>23.3</v>
      </c>
      <c r="I28" s="8">
        <v>296</v>
      </c>
      <c r="J28" s="8">
        <v>426</v>
      </c>
      <c r="K28" s="8">
        <v>69.2</v>
      </c>
      <c r="L28" s="9">
        <v>258</v>
      </c>
      <c r="M28" s="8">
        <v>15.3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1"/>
    </row>
    <row r="29" spans="1:38" ht="13">
      <c r="A29" s="8" t="s">
        <v>97</v>
      </c>
      <c r="B29" s="9" t="s">
        <v>98</v>
      </c>
      <c r="C29" s="9">
        <v>1452</v>
      </c>
      <c r="D29" s="9">
        <v>540</v>
      </c>
      <c r="E29" s="9">
        <v>1164</v>
      </c>
      <c r="F29" s="9">
        <v>46.3</v>
      </c>
      <c r="G29" s="9">
        <v>354</v>
      </c>
      <c r="H29" s="8">
        <v>29.5</v>
      </c>
      <c r="I29" s="8">
        <v>270</v>
      </c>
      <c r="J29" s="8">
        <v>312</v>
      </c>
      <c r="K29" s="8">
        <v>87.1</v>
      </c>
      <c r="L29" s="9">
        <v>54</v>
      </c>
      <c r="M29" s="8">
        <v>15.3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1"/>
    </row>
    <row r="30" spans="1:38" ht="13">
      <c r="A30" s="8" t="s">
        <v>99</v>
      </c>
      <c r="B30" s="9" t="s">
        <v>50</v>
      </c>
      <c r="C30" s="9">
        <v>1444</v>
      </c>
      <c r="D30" s="9">
        <v>447</v>
      </c>
      <c r="E30" s="9">
        <v>992</v>
      </c>
      <c r="F30" s="9">
        <v>44.8</v>
      </c>
      <c r="G30" s="9">
        <v>522</v>
      </c>
      <c r="H30" s="8">
        <v>37.6</v>
      </c>
      <c r="I30" s="8">
        <v>360</v>
      </c>
      <c r="J30" s="8">
        <v>394</v>
      </c>
      <c r="K30" s="8">
        <v>92.1</v>
      </c>
      <c r="L30" s="9">
        <v>29</v>
      </c>
      <c r="M30" s="8">
        <v>14.4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1"/>
    </row>
    <row r="31" spans="1:38" ht="13">
      <c r="A31" s="8" t="s">
        <v>101</v>
      </c>
      <c r="B31" s="9" t="s">
        <v>64</v>
      </c>
      <c r="C31" s="9">
        <v>1443</v>
      </c>
      <c r="D31" s="9">
        <v>590</v>
      </c>
      <c r="E31" s="9">
        <v>1181</v>
      </c>
      <c r="F31" s="9">
        <v>50</v>
      </c>
      <c r="G31" s="9">
        <v>459</v>
      </c>
      <c r="H31" s="8">
        <v>35.4</v>
      </c>
      <c r="I31" s="8">
        <v>98</v>
      </c>
      <c r="J31" s="8">
        <v>115</v>
      </c>
      <c r="K31" s="8">
        <v>81.400000000000006</v>
      </c>
      <c r="L31" s="9">
        <v>74</v>
      </c>
      <c r="M31" s="8">
        <v>9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1"/>
    </row>
    <row r="32" spans="1:38" ht="13">
      <c r="A32" s="8" t="s">
        <v>103</v>
      </c>
      <c r="B32" s="9" t="s">
        <v>48</v>
      </c>
      <c r="C32" s="9">
        <v>1434</v>
      </c>
      <c r="D32" s="9">
        <v>529</v>
      </c>
      <c r="E32" s="9">
        <v>1119</v>
      </c>
      <c r="F32" s="9">
        <v>47.4</v>
      </c>
      <c r="G32" s="9">
        <v>395</v>
      </c>
      <c r="H32" s="8">
        <v>39.299999999999997</v>
      </c>
      <c r="I32" s="8">
        <v>221</v>
      </c>
      <c r="J32" s="8">
        <v>248</v>
      </c>
      <c r="K32" s="8">
        <v>88.6</v>
      </c>
      <c r="L32" s="9">
        <v>47</v>
      </c>
      <c r="M32" s="8">
        <v>11.1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1"/>
    </row>
    <row r="33" spans="1:38" ht="13">
      <c r="A33" s="8" t="s">
        <v>105</v>
      </c>
      <c r="B33" s="9" t="s">
        <v>56</v>
      </c>
      <c r="C33" s="9">
        <v>1412</v>
      </c>
      <c r="D33" s="9">
        <v>538</v>
      </c>
      <c r="E33" s="9">
        <v>1115</v>
      </c>
      <c r="F33" s="9">
        <v>48.5</v>
      </c>
      <c r="G33" s="9">
        <v>218</v>
      </c>
      <c r="H33" s="8">
        <v>35.700000000000003</v>
      </c>
      <c r="I33" s="8">
        <v>250</v>
      </c>
      <c r="J33" s="8">
        <v>328</v>
      </c>
      <c r="K33" s="8">
        <v>76.5</v>
      </c>
      <c r="L33" s="9">
        <v>187</v>
      </c>
      <c r="M33" s="8">
        <v>13.7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</row>
    <row r="34" spans="1:38" ht="13">
      <c r="A34" s="8" t="s">
        <v>107</v>
      </c>
      <c r="B34" s="9" t="s">
        <v>74</v>
      </c>
      <c r="C34" s="9">
        <v>1410</v>
      </c>
      <c r="D34" s="9">
        <v>460</v>
      </c>
      <c r="E34" s="9">
        <v>1025</v>
      </c>
      <c r="F34" s="9">
        <v>45</v>
      </c>
      <c r="G34" s="9">
        <v>480</v>
      </c>
      <c r="H34" s="8">
        <v>36.799999999999997</v>
      </c>
      <c r="I34" s="8">
        <v>310</v>
      </c>
      <c r="J34" s="8">
        <v>395</v>
      </c>
      <c r="K34" s="8">
        <v>78.2</v>
      </c>
      <c r="L34" s="9">
        <v>40</v>
      </c>
      <c r="M34" s="8">
        <v>17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1"/>
    </row>
    <row r="35" spans="1:38" ht="13">
      <c r="A35" s="8" t="s">
        <v>109</v>
      </c>
      <c r="B35" s="9" t="s">
        <v>48</v>
      </c>
      <c r="C35" s="9">
        <v>1401</v>
      </c>
      <c r="D35" s="9">
        <v>531</v>
      </c>
      <c r="E35" s="9">
        <v>1047</v>
      </c>
      <c r="F35" s="9">
        <v>50.4</v>
      </c>
      <c r="G35" s="9">
        <v>493</v>
      </c>
      <c r="H35" s="8">
        <v>39.5</v>
      </c>
      <c r="I35" s="8">
        <v>146</v>
      </c>
      <c r="J35" s="8">
        <v>193</v>
      </c>
      <c r="K35" s="8">
        <v>76.8</v>
      </c>
      <c r="L35" s="9">
        <v>139</v>
      </c>
      <c r="M35" s="8">
        <v>10.1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1"/>
    </row>
    <row r="36" spans="1:38" ht="13">
      <c r="A36" s="8" t="s">
        <v>111</v>
      </c>
      <c r="B36" s="9" t="s">
        <v>52</v>
      </c>
      <c r="C36" s="9">
        <v>1399</v>
      </c>
      <c r="D36" s="9">
        <v>517</v>
      </c>
      <c r="E36" s="9">
        <v>1115</v>
      </c>
      <c r="F36" s="9">
        <v>46.3</v>
      </c>
      <c r="G36" s="9">
        <v>359</v>
      </c>
      <c r="H36" s="8">
        <v>32.4</v>
      </c>
      <c r="I36" s="8">
        <v>246</v>
      </c>
      <c r="J36" s="8">
        <v>321</v>
      </c>
      <c r="K36" s="8">
        <v>76.400000000000006</v>
      </c>
      <c r="L36" s="9">
        <v>82</v>
      </c>
      <c r="M36" s="8">
        <v>11.4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1"/>
    </row>
    <row r="37" spans="1:38" ht="13">
      <c r="A37" s="8" t="s">
        <v>113</v>
      </c>
      <c r="B37" s="9" t="s">
        <v>114</v>
      </c>
      <c r="C37" s="9">
        <v>1394</v>
      </c>
      <c r="D37" s="9">
        <v>456</v>
      </c>
      <c r="E37" s="9">
        <v>1054</v>
      </c>
      <c r="F37" s="9">
        <v>43.2</v>
      </c>
      <c r="G37" s="9">
        <v>619</v>
      </c>
      <c r="H37" s="8">
        <v>37.799999999999997</v>
      </c>
      <c r="I37" s="8">
        <v>245</v>
      </c>
      <c r="J37" s="8">
        <v>272</v>
      </c>
      <c r="K37" s="8">
        <v>88.3</v>
      </c>
      <c r="L37" s="9">
        <v>34</v>
      </c>
      <c r="M37" s="8">
        <v>10.7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1"/>
    </row>
    <row r="38" spans="1:38" ht="13">
      <c r="A38" s="8" t="s">
        <v>115</v>
      </c>
      <c r="B38" s="9" t="s">
        <v>116</v>
      </c>
      <c r="C38" s="9">
        <v>1368</v>
      </c>
      <c r="D38" s="9">
        <v>478</v>
      </c>
      <c r="E38" s="9">
        <v>1092</v>
      </c>
      <c r="F38" s="9">
        <v>43.7</v>
      </c>
      <c r="G38" s="9">
        <v>478</v>
      </c>
      <c r="H38" s="8">
        <v>33.700000000000003</v>
      </c>
      <c r="I38" s="8">
        <v>255</v>
      </c>
      <c r="J38" s="8">
        <v>291</v>
      </c>
      <c r="K38" s="8">
        <v>87.9</v>
      </c>
      <c r="L38" s="9">
        <v>16</v>
      </c>
      <c r="M38" s="8">
        <v>12.7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1"/>
    </row>
    <row r="39" spans="1:38" ht="13">
      <c r="A39" s="8" t="s">
        <v>117</v>
      </c>
      <c r="B39" s="9" t="s">
        <v>84</v>
      </c>
      <c r="C39" s="9">
        <v>1358</v>
      </c>
      <c r="D39" s="9">
        <v>475</v>
      </c>
      <c r="E39" s="9">
        <v>1007</v>
      </c>
      <c r="F39" s="9">
        <v>47.3</v>
      </c>
      <c r="G39" s="9">
        <v>562</v>
      </c>
      <c r="H39" s="8">
        <v>38.799999999999997</v>
      </c>
      <c r="I39" s="8">
        <v>190</v>
      </c>
      <c r="J39" s="8">
        <v>219</v>
      </c>
      <c r="K39" s="8">
        <v>85.1</v>
      </c>
      <c r="L39" s="9">
        <v>44</v>
      </c>
      <c r="M39" s="8">
        <v>14.3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1"/>
    </row>
    <row r="40" spans="1:38" ht="13">
      <c r="A40" s="8" t="s">
        <v>119</v>
      </c>
      <c r="B40" s="9" t="s">
        <v>88</v>
      </c>
      <c r="C40" s="9">
        <v>1351</v>
      </c>
      <c r="D40" s="9">
        <v>548</v>
      </c>
      <c r="E40" s="9">
        <v>1037</v>
      </c>
      <c r="F40" s="9">
        <v>53</v>
      </c>
      <c r="G40" s="9">
        <v>321</v>
      </c>
      <c r="H40" s="8">
        <v>40.200000000000003</v>
      </c>
      <c r="I40" s="8">
        <v>117</v>
      </c>
      <c r="J40" s="8">
        <v>146</v>
      </c>
      <c r="K40" s="8">
        <v>80.5</v>
      </c>
      <c r="L40" s="9">
        <v>175</v>
      </c>
      <c r="M40" s="8">
        <v>13.6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1"/>
    </row>
    <row r="41" spans="1:38" ht="13">
      <c r="A41" s="8" t="s">
        <v>121</v>
      </c>
      <c r="B41" s="9" t="s">
        <v>122</v>
      </c>
      <c r="C41" s="9">
        <v>1351</v>
      </c>
      <c r="D41" s="9">
        <v>476</v>
      </c>
      <c r="E41" s="9">
        <v>1127</v>
      </c>
      <c r="F41" s="9">
        <v>42.6</v>
      </c>
      <c r="G41" s="9">
        <v>595</v>
      </c>
      <c r="H41" s="8">
        <v>36.299999999999997</v>
      </c>
      <c r="I41" s="8">
        <v>175</v>
      </c>
      <c r="J41" s="8">
        <v>196</v>
      </c>
      <c r="K41" s="8">
        <v>90.2</v>
      </c>
      <c r="L41" s="9">
        <v>28</v>
      </c>
      <c r="M41" s="8">
        <v>10.6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1"/>
    </row>
    <row r="42" spans="1:38" ht="13">
      <c r="A42" s="8" t="s">
        <v>123</v>
      </c>
      <c r="B42" s="8" t="s">
        <v>62</v>
      </c>
      <c r="C42" s="9">
        <v>1344</v>
      </c>
      <c r="D42" s="9">
        <v>592</v>
      </c>
      <c r="E42" s="9">
        <v>944</v>
      </c>
      <c r="F42" s="9">
        <v>62.8</v>
      </c>
      <c r="G42" s="8">
        <v>0</v>
      </c>
      <c r="H42" s="8">
        <v>0</v>
      </c>
      <c r="I42" s="8">
        <v>160</v>
      </c>
      <c r="J42" s="8">
        <v>240</v>
      </c>
      <c r="K42" s="8">
        <v>66.099999999999994</v>
      </c>
      <c r="L42" s="9">
        <v>304</v>
      </c>
      <c r="M42" s="8">
        <v>15.7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1"/>
    </row>
    <row r="43" spans="1:38" ht="13">
      <c r="A43" s="8" t="s">
        <v>125</v>
      </c>
      <c r="B43" s="9" t="s">
        <v>60</v>
      </c>
      <c r="C43" s="9">
        <v>1337</v>
      </c>
      <c r="D43" s="9">
        <v>459</v>
      </c>
      <c r="E43" s="9">
        <v>1074</v>
      </c>
      <c r="F43" s="9">
        <v>43</v>
      </c>
      <c r="G43" s="9">
        <v>763</v>
      </c>
      <c r="H43" s="8">
        <v>41.6</v>
      </c>
      <c r="I43" s="8">
        <v>98</v>
      </c>
      <c r="J43" s="8">
        <v>139</v>
      </c>
      <c r="K43" s="8">
        <v>67.900000000000006</v>
      </c>
      <c r="L43" s="9">
        <v>49</v>
      </c>
      <c r="M43" s="8">
        <v>9.1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1"/>
    </row>
    <row r="44" spans="1:38" ht="13">
      <c r="A44" s="8" t="s">
        <v>127</v>
      </c>
      <c r="B44" s="9" t="s">
        <v>66</v>
      </c>
      <c r="C44" s="9">
        <v>1337</v>
      </c>
      <c r="D44" s="9">
        <v>525</v>
      </c>
      <c r="E44" s="9">
        <v>896</v>
      </c>
      <c r="F44" s="9">
        <v>59</v>
      </c>
      <c r="G44" s="9">
        <v>154</v>
      </c>
      <c r="H44" s="8">
        <v>41.7</v>
      </c>
      <c r="I44" s="8">
        <v>217</v>
      </c>
      <c r="J44" s="8">
        <v>287</v>
      </c>
      <c r="K44" s="8">
        <v>75.400000000000006</v>
      </c>
      <c r="L44" s="9">
        <v>266</v>
      </c>
      <c r="M44" s="8">
        <v>16.399999999999999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1"/>
    </row>
    <row r="45" spans="1:38" ht="13">
      <c r="A45" s="8" t="s">
        <v>129</v>
      </c>
      <c r="B45" s="9" t="s">
        <v>64</v>
      </c>
      <c r="C45" s="9">
        <v>1332</v>
      </c>
      <c r="D45" s="9">
        <v>488</v>
      </c>
      <c r="E45" s="9">
        <v>1029</v>
      </c>
      <c r="F45" s="9">
        <v>47.6</v>
      </c>
      <c r="G45" s="9">
        <v>459</v>
      </c>
      <c r="H45" s="8">
        <v>37.200000000000003</v>
      </c>
      <c r="I45" s="8">
        <v>185</v>
      </c>
      <c r="J45" s="8">
        <v>229</v>
      </c>
      <c r="K45" s="8">
        <v>81</v>
      </c>
      <c r="L45" s="9">
        <v>96</v>
      </c>
      <c r="M45" s="8">
        <v>9.3000000000000007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1"/>
    </row>
    <row r="46" spans="1:38" ht="13">
      <c r="A46" s="8" t="s">
        <v>131</v>
      </c>
      <c r="B46" s="9" t="s">
        <v>122</v>
      </c>
      <c r="C46" s="9">
        <v>1332</v>
      </c>
      <c r="D46" s="9">
        <v>497</v>
      </c>
      <c r="E46" s="9">
        <v>1102</v>
      </c>
      <c r="F46" s="9">
        <v>45.2</v>
      </c>
      <c r="G46" s="9">
        <v>475</v>
      </c>
      <c r="H46" s="8">
        <v>31.1</v>
      </c>
      <c r="I46" s="8">
        <v>187</v>
      </c>
      <c r="J46" s="8">
        <v>245</v>
      </c>
      <c r="K46" s="8">
        <v>78.5</v>
      </c>
      <c r="L46" s="9">
        <v>65</v>
      </c>
      <c r="M46" s="8">
        <v>10.199999999999999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1"/>
    </row>
    <row r="47" spans="1:38" ht="13">
      <c r="A47" s="8" t="s">
        <v>133</v>
      </c>
      <c r="B47" s="9" t="s">
        <v>82</v>
      </c>
      <c r="C47" s="9">
        <v>1325</v>
      </c>
      <c r="D47" s="9">
        <v>490</v>
      </c>
      <c r="E47" s="9">
        <v>1021</v>
      </c>
      <c r="F47" s="9">
        <v>48.4</v>
      </c>
      <c r="G47" s="9">
        <v>421</v>
      </c>
      <c r="H47" s="8">
        <v>39.200000000000003</v>
      </c>
      <c r="I47" s="8">
        <v>179</v>
      </c>
      <c r="J47" s="8">
        <v>200</v>
      </c>
      <c r="K47" s="8">
        <v>89.4</v>
      </c>
      <c r="L47" s="9">
        <v>62</v>
      </c>
      <c r="M47" s="8">
        <v>13.1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1"/>
    </row>
    <row r="48" spans="1:38" ht="13">
      <c r="A48" s="8" t="s">
        <v>135</v>
      </c>
      <c r="B48" s="9" t="s">
        <v>76</v>
      </c>
      <c r="C48" s="9">
        <v>1314</v>
      </c>
      <c r="D48" s="9">
        <v>504</v>
      </c>
      <c r="E48" s="9">
        <v>909</v>
      </c>
      <c r="F48" s="9">
        <v>55.7</v>
      </c>
      <c r="G48" s="9">
        <v>227</v>
      </c>
      <c r="H48" s="8">
        <v>37</v>
      </c>
      <c r="I48" s="8">
        <v>220</v>
      </c>
      <c r="J48" s="8">
        <v>305</v>
      </c>
      <c r="K48" s="8">
        <v>72.5</v>
      </c>
      <c r="L48" s="9">
        <v>163</v>
      </c>
      <c r="M48" s="8">
        <v>15.1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1"/>
    </row>
    <row r="49" spans="1:38" ht="13">
      <c r="A49" s="8" t="s">
        <v>137</v>
      </c>
      <c r="B49" s="9" t="s">
        <v>62</v>
      </c>
      <c r="C49" s="9">
        <v>1308</v>
      </c>
      <c r="D49" s="9">
        <v>456</v>
      </c>
      <c r="E49" s="9">
        <v>948</v>
      </c>
      <c r="F49" s="9">
        <v>48.4</v>
      </c>
      <c r="G49" s="9">
        <v>426</v>
      </c>
      <c r="H49" s="8">
        <v>41.8</v>
      </c>
      <c r="I49" s="8">
        <v>216</v>
      </c>
      <c r="J49" s="8">
        <v>264</v>
      </c>
      <c r="K49" s="8">
        <v>80.400000000000006</v>
      </c>
      <c r="L49" s="9">
        <v>24</v>
      </c>
      <c r="M49" s="8">
        <v>11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1"/>
    </row>
    <row r="50" spans="1:38" ht="13">
      <c r="A50" s="8" t="s">
        <v>139</v>
      </c>
      <c r="B50" s="9" t="s">
        <v>140</v>
      </c>
      <c r="C50" s="9">
        <v>1299</v>
      </c>
      <c r="D50" s="9">
        <v>467</v>
      </c>
      <c r="E50" s="9">
        <v>1088</v>
      </c>
      <c r="F50" s="9">
        <v>43.1</v>
      </c>
      <c r="G50" s="9">
        <v>448</v>
      </c>
      <c r="H50" s="8">
        <v>31.3</v>
      </c>
      <c r="I50" s="8">
        <v>224</v>
      </c>
      <c r="J50" s="8">
        <v>256</v>
      </c>
      <c r="K50" s="8">
        <v>87</v>
      </c>
      <c r="L50" s="9">
        <v>70</v>
      </c>
      <c r="M50" s="8">
        <v>13.5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1"/>
    </row>
    <row r="51" spans="1:38" ht="13">
      <c r="A51" s="8" t="s">
        <v>141</v>
      </c>
      <c r="B51" s="9" t="s">
        <v>46</v>
      </c>
      <c r="C51" s="9">
        <v>1290</v>
      </c>
      <c r="D51" s="9">
        <v>455</v>
      </c>
      <c r="E51" s="9">
        <v>938</v>
      </c>
      <c r="F51" s="9">
        <v>48.5</v>
      </c>
      <c r="G51" s="9">
        <v>317</v>
      </c>
      <c r="H51" s="8">
        <v>34.4</v>
      </c>
      <c r="I51" s="8">
        <v>269</v>
      </c>
      <c r="J51" s="8">
        <v>338</v>
      </c>
      <c r="K51" s="8">
        <v>80.599999999999994</v>
      </c>
      <c r="L51" s="9">
        <v>145</v>
      </c>
      <c r="M51" s="8">
        <v>12.4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1"/>
    </row>
    <row r="52" spans="1:38" ht="13">
      <c r="A52" s="8" t="s">
        <v>143</v>
      </c>
      <c r="B52" s="9" t="s">
        <v>144</v>
      </c>
      <c r="C52" s="9">
        <v>1260</v>
      </c>
      <c r="D52" s="9">
        <v>469</v>
      </c>
      <c r="E52" s="9">
        <v>908</v>
      </c>
      <c r="F52" s="9">
        <v>51.6</v>
      </c>
      <c r="G52" s="9">
        <v>122</v>
      </c>
      <c r="H52" s="8">
        <v>28.2</v>
      </c>
      <c r="I52" s="8">
        <v>286</v>
      </c>
      <c r="J52" s="8">
        <v>367</v>
      </c>
      <c r="K52" s="8">
        <v>77.5</v>
      </c>
      <c r="L52" s="9">
        <v>133</v>
      </c>
      <c r="M52" s="8">
        <v>17.899999999999999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1"/>
    </row>
    <row r="53" spans="1:38" ht="13">
      <c r="A53" s="8" t="s">
        <v>145</v>
      </c>
      <c r="B53" s="9" t="s">
        <v>146</v>
      </c>
      <c r="C53" s="9">
        <v>1255</v>
      </c>
      <c r="D53" s="9">
        <v>475</v>
      </c>
      <c r="E53" s="9">
        <v>1066</v>
      </c>
      <c r="F53" s="9">
        <v>44.6</v>
      </c>
      <c r="G53" s="9">
        <v>280</v>
      </c>
      <c r="H53" s="8">
        <v>27.1</v>
      </c>
      <c r="I53" s="8">
        <v>228</v>
      </c>
      <c r="J53" s="8">
        <v>299</v>
      </c>
      <c r="K53" s="8">
        <v>75.5</v>
      </c>
      <c r="L53" s="9">
        <v>111</v>
      </c>
      <c r="M53" s="8">
        <v>13.9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1"/>
    </row>
    <row r="54" spans="1:38" ht="13">
      <c r="A54" s="8" t="s">
        <v>147</v>
      </c>
      <c r="B54" s="9" t="s">
        <v>52</v>
      </c>
      <c r="C54" s="9">
        <v>1246</v>
      </c>
      <c r="D54" s="9">
        <v>426</v>
      </c>
      <c r="E54" s="9">
        <v>958</v>
      </c>
      <c r="F54" s="9">
        <v>44.2</v>
      </c>
      <c r="G54" s="9">
        <v>692</v>
      </c>
      <c r="H54" s="8">
        <v>38.4</v>
      </c>
      <c r="I54" s="8">
        <v>137</v>
      </c>
      <c r="J54" s="8">
        <v>160</v>
      </c>
      <c r="K54" s="8">
        <v>83.9</v>
      </c>
      <c r="L54" s="9">
        <v>68</v>
      </c>
      <c r="M54" s="8">
        <v>10.6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1"/>
    </row>
    <row r="55" spans="1:38" ht="13">
      <c r="A55" s="8" t="s">
        <v>149</v>
      </c>
      <c r="B55" s="9" t="s">
        <v>144</v>
      </c>
      <c r="C55" s="9">
        <v>1235</v>
      </c>
      <c r="D55" s="9">
        <v>445</v>
      </c>
      <c r="E55" s="9">
        <v>945</v>
      </c>
      <c r="F55" s="9">
        <v>47.3</v>
      </c>
      <c r="G55" s="9">
        <v>360</v>
      </c>
      <c r="H55" s="8">
        <v>40.1</v>
      </c>
      <c r="I55" s="8">
        <v>195</v>
      </c>
      <c r="J55" s="8">
        <v>215</v>
      </c>
      <c r="K55" s="8">
        <v>91.6</v>
      </c>
      <c r="L55" s="9">
        <v>60</v>
      </c>
      <c r="M55" s="8">
        <v>12.9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1"/>
    </row>
    <row r="56" spans="1:38" ht="13">
      <c r="A56" s="8" t="s">
        <v>151</v>
      </c>
      <c r="B56" s="9" t="s">
        <v>146</v>
      </c>
      <c r="C56" s="9">
        <v>1224</v>
      </c>
      <c r="D56" s="9">
        <v>458</v>
      </c>
      <c r="E56" s="9">
        <v>980</v>
      </c>
      <c r="F56" s="9">
        <v>46.8</v>
      </c>
      <c r="G56" s="9">
        <v>307</v>
      </c>
      <c r="H56" s="8">
        <v>35</v>
      </c>
      <c r="I56" s="8">
        <v>197</v>
      </c>
      <c r="J56" s="8">
        <v>313</v>
      </c>
      <c r="K56" s="8">
        <v>63</v>
      </c>
      <c r="L56" s="9">
        <v>64</v>
      </c>
      <c r="M56" s="8">
        <v>12.1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1"/>
    </row>
    <row r="57" spans="1:38" ht="13">
      <c r="A57" s="8" t="s">
        <v>153</v>
      </c>
      <c r="B57" s="9" t="s">
        <v>48</v>
      </c>
      <c r="C57" s="9">
        <v>1217</v>
      </c>
      <c r="D57" s="9">
        <v>474</v>
      </c>
      <c r="E57" s="9">
        <v>822</v>
      </c>
      <c r="F57" s="9">
        <v>58</v>
      </c>
      <c r="G57" s="9">
        <v>221</v>
      </c>
      <c r="H57" s="8">
        <v>39.700000000000003</v>
      </c>
      <c r="I57" s="8">
        <v>174</v>
      </c>
      <c r="J57" s="8">
        <v>213</v>
      </c>
      <c r="K57" s="8">
        <v>82.7</v>
      </c>
      <c r="L57" s="9">
        <v>95</v>
      </c>
      <c r="M57" s="8">
        <v>9.6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1"/>
    </row>
    <row r="58" spans="1:38" ht="13">
      <c r="A58" s="8" t="s">
        <v>155</v>
      </c>
      <c r="B58" s="9" t="s">
        <v>122</v>
      </c>
      <c r="C58" s="9">
        <v>1217</v>
      </c>
      <c r="D58" s="9">
        <v>403</v>
      </c>
      <c r="E58" s="9">
        <v>842</v>
      </c>
      <c r="F58" s="9">
        <v>47.6</v>
      </c>
      <c r="G58" s="9">
        <v>346</v>
      </c>
      <c r="H58" s="8">
        <v>36.5</v>
      </c>
      <c r="I58" s="8">
        <v>288</v>
      </c>
      <c r="J58" s="8">
        <v>374</v>
      </c>
      <c r="K58" s="8">
        <v>78</v>
      </c>
      <c r="L58" s="9">
        <v>108</v>
      </c>
      <c r="M58" s="8">
        <v>12.6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1"/>
    </row>
    <row r="59" spans="1:38" ht="13">
      <c r="A59" s="8" t="s">
        <v>157</v>
      </c>
      <c r="B59" s="9" t="s">
        <v>98</v>
      </c>
      <c r="C59" s="9">
        <v>1191</v>
      </c>
      <c r="D59" s="9">
        <v>414</v>
      </c>
      <c r="E59" s="9">
        <v>911</v>
      </c>
      <c r="F59" s="9">
        <v>45.2</v>
      </c>
      <c r="G59" s="9">
        <v>271</v>
      </c>
      <c r="H59" s="8">
        <v>32</v>
      </c>
      <c r="I59" s="8">
        <v>281</v>
      </c>
      <c r="J59" s="8">
        <v>386</v>
      </c>
      <c r="K59" s="8">
        <v>72.7</v>
      </c>
      <c r="L59" s="9">
        <v>51</v>
      </c>
      <c r="M59" s="8">
        <v>15.7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1"/>
    </row>
    <row r="60" spans="1:38" ht="13">
      <c r="A60" s="8" t="s">
        <v>159</v>
      </c>
      <c r="B60" s="9" t="s">
        <v>94</v>
      </c>
      <c r="C60" s="9">
        <v>1191</v>
      </c>
      <c r="D60" s="9">
        <v>421</v>
      </c>
      <c r="E60" s="9">
        <v>988</v>
      </c>
      <c r="F60" s="9">
        <v>42.8</v>
      </c>
      <c r="G60" s="9">
        <v>332</v>
      </c>
      <c r="H60" s="8">
        <v>28.5</v>
      </c>
      <c r="I60" s="8">
        <v>251</v>
      </c>
      <c r="J60" s="8">
        <v>340</v>
      </c>
      <c r="K60" s="8">
        <v>72.400000000000006</v>
      </c>
      <c r="L60" s="9">
        <v>89</v>
      </c>
      <c r="M60" s="8">
        <v>8.6999999999999993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1"/>
    </row>
    <row r="61" spans="1:38" ht="13">
      <c r="A61" s="8" t="s">
        <v>161</v>
      </c>
      <c r="B61" s="9" t="s">
        <v>140</v>
      </c>
      <c r="C61" s="9">
        <v>1184</v>
      </c>
      <c r="D61" s="9">
        <v>404</v>
      </c>
      <c r="E61" s="9">
        <v>1001</v>
      </c>
      <c r="F61" s="9">
        <v>40.5</v>
      </c>
      <c r="G61" s="9">
        <v>526</v>
      </c>
      <c r="H61" s="8">
        <v>33.9</v>
      </c>
      <c r="I61" s="8">
        <v>193</v>
      </c>
      <c r="J61" s="8">
        <v>230</v>
      </c>
      <c r="K61" s="8">
        <v>84.3</v>
      </c>
      <c r="L61" s="9">
        <v>47</v>
      </c>
      <c r="M61" s="8">
        <v>12.7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1"/>
    </row>
    <row r="62" spans="1:38" ht="13">
      <c r="A62" s="8" t="s">
        <v>163</v>
      </c>
      <c r="B62" s="9" t="s">
        <v>164</v>
      </c>
      <c r="C62" s="9">
        <v>1182</v>
      </c>
      <c r="D62" s="9">
        <v>442</v>
      </c>
      <c r="E62" s="9">
        <v>1002</v>
      </c>
      <c r="F62" s="9">
        <v>44.4</v>
      </c>
      <c r="G62" s="9">
        <v>459</v>
      </c>
      <c r="H62" s="8">
        <v>37.299999999999997</v>
      </c>
      <c r="I62" s="8">
        <v>123</v>
      </c>
      <c r="J62" s="8">
        <v>174</v>
      </c>
      <c r="K62" s="8">
        <v>71.7</v>
      </c>
      <c r="L62" s="9">
        <v>45</v>
      </c>
      <c r="M62" s="8">
        <v>9.6999999999999993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1"/>
    </row>
    <row r="63" spans="1:38" ht="13">
      <c r="A63" s="8" t="s">
        <v>165</v>
      </c>
      <c r="B63" s="9" t="s">
        <v>82</v>
      </c>
      <c r="C63" s="9">
        <v>1160</v>
      </c>
      <c r="D63" s="9">
        <v>405</v>
      </c>
      <c r="E63" s="9">
        <v>890</v>
      </c>
      <c r="F63" s="9">
        <v>45.4</v>
      </c>
      <c r="G63" s="9">
        <v>285</v>
      </c>
      <c r="H63" s="8">
        <v>30.9</v>
      </c>
      <c r="I63" s="8">
        <v>265</v>
      </c>
      <c r="J63" s="8">
        <v>320</v>
      </c>
      <c r="K63" s="8">
        <v>82.4</v>
      </c>
      <c r="L63" s="9">
        <v>35</v>
      </c>
      <c r="M63" s="8">
        <v>14.1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1"/>
    </row>
    <row r="64" spans="1:38" ht="13">
      <c r="A64" s="8" t="s">
        <v>167</v>
      </c>
      <c r="B64" s="9" t="s">
        <v>84</v>
      </c>
      <c r="C64" s="9">
        <v>1159</v>
      </c>
      <c r="D64" s="9">
        <v>389</v>
      </c>
      <c r="E64" s="9">
        <v>850</v>
      </c>
      <c r="F64" s="9">
        <v>45.8</v>
      </c>
      <c r="G64" s="9">
        <v>288</v>
      </c>
      <c r="H64" s="8">
        <v>34</v>
      </c>
      <c r="I64" s="8">
        <v>274</v>
      </c>
      <c r="J64" s="8">
        <v>331</v>
      </c>
      <c r="K64" s="8">
        <v>83.1</v>
      </c>
      <c r="L64" s="9">
        <v>86</v>
      </c>
      <c r="M64" s="8">
        <v>9.1999999999999993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1"/>
    </row>
    <row r="65" spans="1:38" ht="13">
      <c r="A65" s="8" t="s">
        <v>169</v>
      </c>
      <c r="B65" s="9" t="s">
        <v>170</v>
      </c>
      <c r="C65" s="9">
        <v>1159</v>
      </c>
      <c r="D65" s="9">
        <v>416</v>
      </c>
      <c r="E65" s="9">
        <v>869</v>
      </c>
      <c r="F65" s="9">
        <v>48</v>
      </c>
      <c r="G65" s="9">
        <v>271</v>
      </c>
      <c r="H65" s="8">
        <v>40.6</v>
      </c>
      <c r="I65" s="8">
        <v>214</v>
      </c>
      <c r="J65" s="8">
        <v>252</v>
      </c>
      <c r="K65" s="8">
        <v>86.5</v>
      </c>
      <c r="L65" s="9">
        <v>63</v>
      </c>
      <c r="M65" s="8">
        <v>10.6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1"/>
    </row>
    <row r="66" spans="1:38" ht="13">
      <c r="A66" s="8" t="s">
        <v>171</v>
      </c>
      <c r="B66" s="9" t="s">
        <v>52</v>
      </c>
      <c r="C66" s="9">
        <v>1144</v>
      </c>
      <c r="D66" s="9">
        <v>408</v>
      </c>
      <c r="E66" s="9">
        <v>864</v>
      </c>
      <c r="F66" s="9">
        <v>47.2</v>
      </c>
      <c r="G66" s="9">
        <v>624</v>
      </c>
      <c r="H66" s="8">
        <v>40.700000000000003</v>
      </c>
      <c r="I66" s="8">
        <v>72</v>
      </c>
      <c r="J66" s="8">
        <v>88</v>
      </c>
      <c r="K66" s="8">
        <v>84.5</v>
      </c>
      <c r="L66" s="9">
        <v>104</v>
      </c>
      <c r="M66" s="8">
        <v>11.6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1"/>
    </row>
    <row r="67" spans="1:38" ht="13">
      <c r="A67" s="8" t="s">
        <v>173</v>
      </c>
      <c r="B67" s="9" t="s">
        <v>46</v>
      </c>
      <c r="C67" s="9">
        <v>1136</v>
      </c>
      <c r="D67" s="9">
        <v>424</v>
      </c>
      <c r="E67" s="9">
        <v>920</v>
      </c>
      <c r="F67" s="9">
        <v>46.2</v>
      </c>
      <c r="G67" s="9">
        <v>464</v>
      </c>
      <c r="H67" s="8">
        <v>37.9</v>
      </c>
      <c r="I67" s="8">
        <v>112</v>
      </c>
      <c r="J67" s="8">
        <v>144</v>
      </c>
      <c r="K67" s="8">
        <v>77.599999999999994</v>
      </c>
      <c r="L67" s="9">
        <v>96</v>
      </c>
      <c r="M67" s="8">
        <v>11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1"/>
    </row>
    <row r="68" spans="1:38" ht="13">
      <c r="A68" s="8" t="s">
        <v>175</v>
      </c>
      <c r="B68" s="9" t="s">
        <v>170</v>
      </c>
      <c r="C68" s="9">
        <v>1126</v>
      </c>
      <c r="D68" s="9">
        <v>362</v>
      </c>
      <c r="E68" s="9">
        <v>918</v>
      </c>
      <c r="F68" s="9">
        <v>39.1</v>
      </c>
      <c r="G68" s="9">
        <v>509</v>
      </c>
      <c r="H68" s="8">
        <v>34.299999999999997</v>
      </c>
      <c r="I68" s="8">
        <v>235</v>
      </c>
      <c r="J68" s="8">
        <v>288</v>
      </c>
      <c r="K68" s="8">
        <v>81.8</v>
      </c>
      <c r="L68" s="9">
        <v>27</v>
      </c>
      <c r="M68" s="8">
        <v>9.3000000000000007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1"/>
    </row>
    <row r="69" spans="1:38" ht="13">
      <c r="A69" s="8" t="s">
        <v>177</v>
      </c>
      <c r="B69" s="9" t="s">
        <v>164</v>
      </c>
      <c r="C69" s="9">
        <v>1124</v>
      </c>
      <c r="D69" s="9">
        <v>382</v>
      </c>
      <c r="E69" s="9">
        <v>837</v>
      </c>
      <c r="F69" s="9">
        <v>45.4</v>
      </c>
      <c r="G69" s="9">
        <v>440</v>
      </c>
      <c r="H69" s="8">
        <v>36.1</v>
      </c>
      <c r="I69" s="8">
        <v>201</v>
      </c>
      <c r="J69" s="8">
        <v>228</v>
      </c>
      <c r="K69" s="8">
        <v>88.7</v>
      </c>
      <c r="L69" s="9">
        <v>48</v>
      </c>
      <c r="M69" s="8">
        <v>11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1"/>
    </row>
    <row r="70" spans="1:38" ht="13">
      <c r="A70" s="8" t="s">
        <v>179</v>
      </c>
      <c r="B70" s="9" t="s">
        <v>84</v>
      </c>
      <c r="C70" s="9">
        <v>1123</v>
      </c>
      <c r="D70" s="9">
        <v>389</v>
      </c>
      <c r="E70" s="9">
        <v>814</v>
      </c>
      <c r="F70" s="9">
        <v>48.1</v>
      </c>
      <c r="G70" s="9">
        <v>396</v>
      </c>
      <c r="H70" s="8">
        <v>39.6</v>
      </c>
      <c r="I70" s="8">
        <v>187</v>
      </c>
      <c r="J70" s="8">
        <v>238</v>
      </c>
      <c r="K70" s="8">
        <v>77.3</v>
      </c>
      <c r="L70" s="9">
        <v>94</v>
      </c>
      <c r="M70" s="8">
        <v>10.3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1"/>
    </row>
    <row r="71" spans="1:38" ht="13">
      <c r="A71" s="8" t="s">
        <v>181</v>
      </c>
      <c r="B71" s="9" t="s">
        <v>66</v>
      </c>
      <c r="C71" s="9">
        <v>1118</v>
      </c>
      <c r="D71" s="9">
        <v>410</v>
      </c>
      <c r="E71" s="9">
        <v>936</v>
      </c>
      <c r="F71" s="9">
        <v>43.9</v>
      </c>
      <c r="G71" s="9">
        <v>429</v>
      </c>
      <c r="H71" s="8">
        <v>32.5</v>
      </c>
      <c r="I71" s="8">
        <v>156</v>
      </c>
      <c r="J71" s="8">
        <v>176</v>
      </c>
      <c r="K71" s="8">
        <v>86.5</v>
      </c>
      <c r="L71" s="9">
        <v>33</v>
      </c>
      <c r="M71" s="8">
        <v>9.9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1"/>
    </row>
    <row r="72" spans="1:38" ht="13">
      <c r="A72" s="8" t="s">
        <v>183</v>
      </c>
      <c r="B72" s="9" t="s">
        <v>94</v>
      </c>
      <c r="C72" s="9">
        <v>1118</v>
      </c>
      <c r="D72" s="9">
        <v>409</v>
      </c>
      <c r="E72" s="9">
        <v>856</v>
      </c>
      <c r="F72" s="9">
        <v>47.6</v>
      </c>
      <c r="G72" s="9">
        <v>405</v>
      </c>
      <c r="H72" s="8">
        <v>35.200000000000003</v>
      </c>
      <c r="I72" s="8">
        <v>156</v>
      </c>
      <c r="J72" s="8">
        <v>189</v>
      </c>
      <c r="K72" s="8">
        <v>83.6</v>
      </c>
      <c r="L72" s="9">
        <v>83</v>
      </c>
      <c r="M72" s="8">
        <v>16.8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1"/>
    </row>
    <row r="73" spans="1:38" ht="13">
      <c r="A73" s="8" t="s">
        <v>185</v>
      </c>
      <c r="B73" s="8" t="s">
        <v>76</v>
      </c>
      <c r="C73" s="9">
        <v>1107</v>
      </c>
      <c r="D73" s="9">
        <v>451</v>
      </c>
      <c r="E73" s="9">
        <v>640</v>
      </c>
      <c r="F73" s="9">
        <v>70.599999999999994</v>
      </c>
      <c r="G73" s="9">
        <v>8</v>
      </c>
      <c r="H73" s="8">
        <v>0</v>
      </c>
      <c r="I73" s="8">
        <v>197</v>
      </c>
      <c r="J73" s="8">
        <v>279</v>
      </c>
      <c r="K73" s="8">
        <v>71.8</v>
      </c>
      <c r="L73" s="9">
        <v>213</v>
      </c>
      <c r="M73" s="8">
        <v>14.8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1"/>
    </row>
    <row r="74" spans="1:38" ht="13">
      <c r="A74" s="8" t="s">
        <v>187</v>
      </c>
      <c r="B74" s="9" t="s">
        <v>116</v>
      </c>
      <c r="C74" s="9">
        <v>1095</v>
      </c>
      <c r="D74" s="9">
        <v>383</v>
      </c>
      <c r="E74" s="9">
        <v>825</v>
      </c>
      <c r="F74" s="9">
        <v>46.7</v>
      </c>
      <c r="G74" s="9">
        <v>420</v>
      </c>
      <c r="H74" s="8">
        <v>38.5</v>
      </c>
      <c r="I74" s="8">
        <v>165</v>
      </c>
      <c r="J74" s="8">
        <v>218</v>
      </c>
      <c r="K74" s="8">
        <v>75.7</v>
      </c>
      <c r="L74" s="9">
        <v>60</v>
      </c>
      <c r="M74" s="8">
        <v>10.5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1"/>
    </row>
    <row r="75" spans="1:38" ht="13">
      <c r="A75" s="8" t="s">
        <v>189</v>
      </c>
      <c r="B75" s="9" t="s">
        <v>76</v>
      </c>
      <c r="C75" s="9">
        <v>1088</v>
      </c>
      <c r="D75" s="9">
        <v>358</v>
      </c>
      <c r="E75" s="9">
        <v>762</v>
      </c>
      <c r="F75" s="9">
        <v>47</v>
      </c>
      <c r="G75" s="9">
        <v>390</v>
      </c>
      <c r="H75" s="8">
        <v>40.5</v>
      </c>
      <c r="I75" s="8">
        <v>218</v>
      </c>
      <c r="J75" s="8">
        <v>256</v>
      </c>
      <c r="K75" s="8">
        <v>84.6</v>
      </c>
      <c r="L75" s="9">
        <v>45</v>
      </c>
      <c r="M75" s="8">
        <v>10.1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1"/>
    </row>
    <row r="76" spans="1:38" ht="13">
      <c r="A76" s="8" t="s">
        <v>191</v>
      </c>
      <c r="B76" s="9" t="s">
        <v>56</v>
      </c>
      <c r="C76" s="9">
        <v>1080</v>
      </c>
      <c r="D76" s="9">
        <v>378</v>
      </c>
      <c r="E76" s="9">
        <v>840</v>
      </c>
      <c r="F76" s="9">
        <v>44.8</v>
      </c>
      <c r="G76" s="9">
        <v>348</v>
      </c>
      <c r="H76" s="8">
        <v>37.4</v>
      </c>
      <c r="I76" s="8">
        <v>198</v>
      </c>
      <c r="J76" s="8">
        <v>258</v>
      </c>
      <c r="K76" s="8">
        <v>76.3</v>
      </c>
      <c r="L76" s="9">
        <v>90</v>
      </c>
      <c r="M76" s="8">
        <v>10.5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1"/>
    </row>
    <row r="77" spans="1:38" ht="13">
      <c r="A77" s="8" t="s">
        <v>193</v>
      </c>
      <c r="B77" s="9" t="s">
        <v>58</v>
      </c>
      <c r="C77" s="9">
        <v>1072</v>
      </c>
      <c r="D77" s="9">
        <v>456</v>
      </c>
      <c r="E77" s="9">
        <v>920</v>
      </c>
      <c r="F77" s="9">
        <v>49.3</v>
      </c>
      <c r="G77" s="9">
        <v>236</v>
      </c>
      <c r="H77" s="8">
        <v>34</v>
      </c>
      <c r="I77" s="8">
        <v>84</v>
      </c>
      <c r="J77" s="8">
        <v>137</v>
      </c>
      <c r="K77" s="8">
        <v>59.3</v>
      </c>
      <c r="L77" s="9">
        <v>122</v>
      </c>
      <c r="M77" s="8">
        <v>9.9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1"/>
    </row>
    <row r="78" spans="1:38" ht="13">
      <c r="A78" s="8" t="s">
        <v>195</v>
      </c>
      <c r="B78" s="9" t="s">
        <v>196</v>
      </c>
      <c r="C78" s="9">
        <v>1072</v>
      </c>
      <c r="D78" s="9">
        <v>353</v>
      </c>
      <c r="E78" s="9">
        <v>747</v>
      </c>
      <c r="F78" s="9">
        <v>47.5</v>
      </c>
      <c r="G78" s="9">
        <v>410</v>
      </c>
      <c r="H78" s="8">
        <v>39</v>
      </c>
      <c r="I78" s="8">
        <v>200</v>
      </c>
      <c r="J78" s="8">
        <v>222</v>
      </c>
      <c r="K78" s="8">
        <v>89.3</v>
      </c>
      <c r="L78" s="9">
        <v>51</v>
      </c>
      <c r="M78" s="8">
        <v>12.4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1"/>
    </row>
    <row r="79" spans="1:38" ht="13">
      <c r="A79" s="8" t="s">
        <v>197</v>
      </c>
      <c r="B79" s="9" t="s">
        <v>68</v>
      </c>
      <c r="C79" s="9">
        <v>1050</v>
      </c>
      <c r="D79" s="9">
        <v>383</v>
      </c>
      <c r="E79" s="9">
        <v>893</v>
      </c>
      <c r="F79" s="9">
        <v>42.9</v>
      </c>
      <c r="G79" s="9">
        <v>473</v>
      </c>
      <c r="H79" s="8">
        <v>39.700000000000003</v>
      </c>
      <c r="I79" s="8">
        <v>98</v>
      </c>
      <c r="J79" s="8">
        <v>120</v>
      </c>
      <c r="K79" s="8">
        <v>81.8</v>
      </c>
      <c r="L79" s="9">
        <v>75</v>
      </c>
      <c r="M79" s="8">
        <v>6.7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1"/>
    </row>
    <row r="80" spans="1:38" ht="13">
      <c r="A80" s="8" t="s">
        <v>199</v>
      </c>
      <c r="B80" s="9" t="s">
        <v>64</v>
      </c>
      <c r="C80" s="9">
        <v>1047</v>
      </c>
      <c r="D80" s="9">
        <v>400</v>
      </c>
      <c r="E80" s="9">
        <v>770</v>
      </c>
      <c r="F80" s="9">
        <v>52.5</v>
      </c>
      <c r="G80" s="9">
        <v>254</v>
      </c>
      <c r="H80" s="8">
        <v>33.299999999999997</v>
      </c>
      <c r="I80" s="8">
        <v>162</v>
      </c>
      <c r="J80" s="8">
        <v>208</v>
      </c>
      <c r="K80" s="8">
        <v>77.599999999999994</v>
      </c>
      <c r="L80" s="9">
        <v>162</v>
      </c>
      <c r="M80" s="8">
        <v>11.9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1"/>
    </row>
    <row r="81" spans="1:38" ht="13">
      <c r="A81" s="8" t="s">
        <v>201</v>
      </c>
      <c r="B81" s="9" t="s">
        <v>94</v>
      </c>
      <c r="C81" s="9">
        <v>1043</v>
      </c>
      <c r="D81" s="9">
        <v>397</v>
      </c>
      <c r="E81" s="9">
        <v>890</v>
      </c>
      <c r="F81" s="9">
        <v>44.3</v>
      </c>
      <c r="G81" s="9">
        <v>429</v>
      </c>
      <c r="H81" s="8">
        <v>36.799999999999997</v>
      </c>
      <c r="I81" s="8">
        <v>96</v>
      </c>
      <c r="J81" s="8">
        <v>122</v>
      </c>
      <c r="K81" s="8">
        <v>79.2</v>
      </c>
      <c r="L81" s="9">
        <v>32</v>
      </c>
      <c r="M81" s="8">
        <v>9.1999999999999993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1"/>
    </row>
    <row r="82" spans="1:38" ht="13">
      <c r="A82" s="8" t="s">
        <v>203</v>
      </c>
      <c r="B82" s="9" t="s">
        <v>50</v>
      </c>
      <c r="C82" s="9">
        <v>1040</v>
      </c>
      <c r="D82" s="9">
        <v>392</v>
      </c>
      <c r="E82" s="9">
        <v>776</v>
      </c>
      <c r="F82" s="9">
        <v>50.9</v>
      </c>
      <c r="G82" s="9">
        <v>376</v>
      </c>
      <c r="H82" s="8">
        <v>37.299999999999997</v>
      </c>
      <c r="I82" s="8">
        <v>112</v>
      </c>
      <c r="J82" s="8">
        <v>136</v>
      </c>
      <c r="K82" s="8">
        <v>82.6</v>
      </c>
      <c r="L82" s="9">
        <v>112</v>
      </c>
      <c r="M82" s="8">
        <v>8.6999999999999993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1"/>
    </row>
    <row r="83" spans="1:38" ht="13">
      <c r="A83" s="8" t="s">
        <v>205</v>
      </c>
      <c r="B83" s="9" t="s">
        <v>88</v>
      </c>
      <c r="C83" s="9">
        <v>1022</v>
      </c>
      <c r="D83" s="9">
        <v>371</v>
      </c>
      <c r="E83" s="9">
        <v>798</v>
      </c>
      <c r="F83" s="9">
        <v>46.5</v>
      </c>
      <c r="G83" s="9">
        <v>280</v>
      </c>
      <c r="H83" s="8">
        <v>37.799999999999997</v>
      </c>
      <c r="I83" s="8">
        <v>175</v>
      </c>
      <c r="J83" s="8">
        <v>224</v>
      </c>
      <c r="K83" s="8">
        <v>78.099999999999994</v>
      </c>
      <c r="L83" s="9">
        <v>126</v>
      </c>
      <c r="M83" s="8">
        <v>13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1"/>
    </row>
    <row r="84" spans="1:38" ht="13">
      <c r="A84" s="8" t="s">
        <v>207</v>
      </c>
      <c r="B84" s="9" t="s">
        <v>94</v>
      </c>
      <c r="C84" s="9">
        <v>1009</v>
      </c>
      <c r="D84" s="9">
        <v>344</v>
      </c>
      <c r="E84" s="9">
        <v>681</v>
      </c>
      <c r="F84" s="9">
        <v>50.8</v>
      </c>
      <c r="G84" s="9">
        <v>361</v>
      </c>
      <c r="H84" s="8">
        <v>43.3</v>
      </c>
      <c r="I84" s="8">
        <v>164</v>
      </c>
      <c r="J84" s="8">
        <v>197</v>
      </c>
      <c r="K84" s="8">
        <v>80.900000000000006</v>
      </c>
      <c r="L84" s="9">
        <v>98</v>
      </c>
      <c r="M84" s="8">
        <v>9.1999999999999993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1"/>
    </row>
    <row r="85" spans="1:38" ht="13">
      <c r="A85" s="8" t="s">
        <v>209</v>
      </c>
      <c r="B85" s="9" t="s">
        <v>144</v>
      </c>
      <c r="C85" s="9">
        <v>1008</v>
      </c>
      <c r="D85" s="9">
        <v>360</v>
      </c>
      <c r="E85" s="9">
        <v>878</v>
      </c>
      <c r="F85" s="9">
        <v>41.2</v>
      </c>
      <c r="G85" s="9">
        <v>554</v>
      </c>
      <c r="H85" s="8">
        <v>39.1</v>
      </c>
      <c r="I85" s="8">
        <v>65</v>
      </c>
      <c r="J85" s="8">
        <v>72</v>
      </c>
      <c r="K85" s="8">
        <v>90.5</v>
      </c>
      <c r="L85" s="9">
        <v>43</v>
      </c>
      <c r="M85" s="8">
        <v>8.3000000000000007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1"/>
    </row>
    <row r="86" spans="1:38" ht="13">
      <c r="A86" s="8" t="s">
        <v>211</v>
      </c>
      <c r="B86" s="9" t="s">
        <v>60</v>
      </c>
      <c r="C86" s="9">
        <v>1000</v>
      </c>
      <c r="D86" s="9">
        <v>387</v>
      </c>
      <c r="E86" s="9">
        <v>803</v>
      </c>
      <c r="F86" s="9">
        <v>47.7</v>
      </c>
      <c r="G86" s="9">
        <v>263</v>
      </c>
      <c r="H86" s="8">
        <v>34.5</v>
      </c>
      <c r="I86" s="8">
        <v>146</v>
      </c>
      <c r="J86" s="8">
        <v>168</v>
      </c>
      <c r="K86" s="8">
        <v>86.1</v>
      </c>
      <c r="L86" s="9">
        <v>66</v>
      </c>
      <c r="M86" s="8">
        <v>10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1"/>
    </row>
    <row r="87" spans="1:38" ht="13">
      <c r="A87" s="8" t="s">
        <v>213</v>
      </c>
      <c r="B87" s="9" t="s">
        <v>46</v>
      </c>
      <c r="C87" s="9">
        <v>1000</v>
      </c>
      <c r="D87" s="9">
        <v>402</v>
      </c>
      <c r="E87" s="9">
        <v>836</v>
      </c>
      <c r="F87" s="9">
        <v>47.7</v>
      </c>
      <c r="G87" s="9">
        <v>303</v>
      </c>
      <c r="H87" s="8">
        <v>33</v>
      </c>
      <c r="I87" s="8">
        <v>107</v>
      </c>
      <c r="J87" s="8">
        <v>131</v>
      </c>
      <c r="K87" s="8">
        <v>81.3</v>
      </c>
      <c r="L87" s="9">
        <v>131</v>
      </c>
      <c r="M87" s="8">
        <v>8.6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1"/>
    </row>
    <row r="88" spans="1:38" ht="13">
      <c r="A88" s="8" t="s">
        <v>215</v>
      </c>
      <c r="B88" s="9" t="s">
        <v>48</v>
      </c>
      <c r="C88" s="9">
        <v>998</v>
      </c>
      <c r="D88" s="9">
        <v>375</v>
      </c>
      <c r="E88" s="9">
        <v>833</v>
      </c>
      <c r="F88" s="9">
        <v>44.9</v>
      </c>
      <c r="G88" s="9">
        <v>293</v>
      </c>
      <c r="H88" s="8">
        <v>32.299999999999997</v>
      </c>
      <c r="I88" s="8">
        <v>158</v>
      </c>
      <c r="J88" s="8">
        <v>233</v>
      </c>
      <c r="K88" s="8">
        <v>66.099999999999994</v>
      </c>
      <c r="L88" s="9">
        <v>105</v>
      </c>
      <c r="M88" s="8">
        <v>9.3000000000000007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1"/>
    </row>
    <row r="89" spans="1:38" ht="13">
      <c r="A89" s="8" t="s">
        <v>217</v>
      </c>
      <c r="B89" s="9" t="s">
        <v>58</v>
      </c>
      <c r="C89" s="9">
        <v>992</v>
      </c>
      <c r="D89" s="9">
        <v>385</v>
      </c>
      <c r="E89" s="9">
        <v>681</v>
      </c>
      <c r="F89" s="9">
        <v>56.7</v>
      </c>
      <c r="G89" s="9">
        <v>148</v>
      </c>
      <c r="H89" s="8">
        <v>32.4</v>
      </c>
      <c r="I89" s="8">
        <v>163</v>
      </c>
      <c r="J89" s="8">
        <v>215</v>
      </c>
      <c r="K89" s="8">
        <v>75.900000000000006</v>
      </c>
      <c r="L89" s="9">
        <v>222</v>
      </c>
      <c r="M89" s="8">
        <v>12.2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1"/>
    </row>
    <row r="90" spans="1:38" ht="13">
      <c r="A90" s="8" t="s">
        <v>219</v>
      </c>
      <c r="B90" s="9" t="s">
        <v>60</v>
      </c>
      <c r="C90" s="9">
        <v>983</v>
      </c>
      <c r="D90" s="9">
        <v>338</v>
      </c>
      <c r="E90" s="9">
        <v>825</v>
      </c>
      <c r="F90" s="9">
        <v>40.6</v>
      </c>
      <c r="G90" s="9">
        <v>368</v>
      </c>
      <c r="H90" s="8">
        <v>34.200000000000003</v>
      </c>
      <c r="I90" s="8">
        <v>180</v>
      </c>
      <c r="J90" s="8">
        <v>218</v>
      </c>
      <c r="K90" s="8">
        <v>83.8</v>
      </c>
      <c r="L90" s="9">
        <v>30</v>
      </c>
      <c r="M90" s="8">
        <v>9.1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1"/>
    </row>
    <row r="91" spans="1:38" ht="13">
      <c r="A91" s="8" t="s">
        <v>221</v>
      </c>
      <c r="B91" s="9" t="s">
        <v>94</v>
      </c>
      <c r="C91" s="9">
        <v>978</v>
      </c>
      <c r="D91" s="9">
        <v>370</v>
      </c>
      <c r="E91" s="9">
        <v>770</v>
      </c>
      <c r="F91" s="9">
        <v>48.2</v>
      </c>
      <c r="G91" s="9">
        <v>277</v>
      </c>
      <c r="H91" s="8">
        <v>31.8</v>
      </c>
      <c r="I91" s="8">
        <v>146</v>
      </c>
      <c r="J91" s="8">
        <v>193</v>
      </c>
      <c r="K91" s="8">
        <v>77.3</v>
      </c>
      <c r="L91" s="9">
        <v>116</v>
      </c>
      <c r="M91" s="8">
        <v>10.3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1"/>
    </row>
    <row r="92" spans="1:38" ht="13">
      <c r="A92" s="8" t="s">
        <v>223</v>
      </c>
      <c r="B92" s="9" t="s">
        <v>68</v>
      </c>
      <c r="C92" s="9">
        <v>973</v>
      </c>
      <c r="D92" s="9">
        <v>386</v>
      </c>
      <c r="E92" s="9">
        <v>697</v>
      </c>
      <c r="F92" s="9">
        <v>55.7</v>
      </c>
      <c r="G92" s="9">
        <v>90</v>
      </c>
      <c r="H92" s="8">
        <v>27.5</v>
      </c>
      <c r="I92" s="8">
        <v>166</v>
      </c>
      <c r="J92" s="8">
        <v>248</v>
      </c>
      <c r="K92" s="8">
        <v>68.400000000000006</v>
      </c>
      <c r="L92" s="9">
        <v>193</v>
      </c>
      <c r="M92" s="8">
        <v>12.9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1"/>
    </row>
    <row r="93" spans="1:38" ht="13">
      <c r="A93" s="8" t="s">
        <v>225</v>
      </c>
      <c r="B93" s="9" t="s">
        <v>70</v>
      </c>
      <c r="C93" s="9">
        <v>963</v>
      </c>
      <c r="D93" s="9">
        <v>303</v>
      </c>
      <c r="E93" s="9">
        <v>600</v>
      </c>
      <c r="F93" s="9">
        <v>50.4</v>
      </c>
      <c r="G93" s="9">
        <v>105</v>
      </c>
      <c r="H93" s="8">
        <v>30.8</v>
      </c>
      <c r="I93" s="8">
        <v>330</v>
      </c>
      <c r="J93" s="8">
        <v>391</v>
      </c>
      <c r="K93" s="8">
        <v>84.2</v>
      </c>
      <c r="L93" s="9">
        <v>127</v>
      </c>
      <c r="M93" s="8">
        <v>14.5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1"/>
    </row>
    <row r="94" spans="1:38" ht="13">
      <c r="A94" s="8" t="s">
        <v>227</v>
      </c>
      <c r="B94" s="9" t="s">
        <v>50</v>
      </c>
      <c r="C94" s="9">
        <v>962</v>
      </c>
      <c r="D94" s="9">
        <v>371</v>
      </c>
      <c r="E94" s="9">
        <v>845</v>
      </c>
      <c r="F94" s="9">
        <v>43.6</v>
      </c>
      <c r="G94" s="9">
        <v>312</v>
      </c>
      <c r="H94" s="8">
        <v>30.7</v>
      </c>
      <c r="I94" s="8">
        <v>130</v>
      </c>
      <c r="J94" s="8">
        <v>202</v>
      </c>
      <c r="K94" s="8">
        <v>63.4</v>
      </c>
      <c r="L94" s="9">
        <v>52</v>
      </c>
      <c r="M94" s="8">
        <v>8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1"/>
    </row>
    <row r="95" spans="1:38" ht="13">
      <c r="A95" s="8" t="s">
        <v>229</v>
      </c>
      <c r="B95" s="9" t="s">
        <v>58</v>
      </c>
      <c r="C95" s="9">
        <v>945</v>
      </c>
      <c r="D95" s="9">
        <v>360</v>
      </c>
      <c r="E95" s="9">
        <v>780</v>
      </c>
      <c r="F95" s="9">
        <v>45.8</v>
      </c>
      <c r="G95" s="9">
        <v>345</v>
      </c>
      <c r="H95" s="8">
        <v>35.5</v>
      </c>
      <c r="I95" s="8">
        <v>105</v>
      </c>
      <c r="J95" s="8">
        <v>150</v>
      </c>
      <c r="K95" s="8">
        <v>71.099999999999994</v>
      </c>
      <c r="L95" s="9">
        <v>83</v>
      </c>
      <c r="M95" s="8">
        <v>7.1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1"/>
    </row>
    <row r="96" spans="1:38" ht="13">
      <c r="A96" s="8" t="s">
        <v>231</v>
      </c>
      <c r="B96" s="9" t="s">
        <v>66</v>
      </c>
      <c r="C96" s="9">
        <v>942</v>
      </c>
      <c r="D96" s="9">
        <v>365</v>
      </c>
      <c r="E96" s="9">
        <v>821</v>
      </c>
      <c r="F96" s="9">
        <v>44.4</v>
      </c>
      <c r="G96" s="9">
        <v>448</v>
      </c>
      <c r="H96" s="8">
        <v>34.299999999999997</v>
      </c>
      <c r="I96" s="8">
        <v>61</v>
      </c>
      <c r="J96" s="8">
        <v>68</v>
      </c>
      <c r="K96" s="8">
        <v>83.3</v>
      </c>
      <c r="L96" s="9">
        <v>144</v>
      </c>
      <c r="M96" s="8">
        <v>7.5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1"/>
    </row>
    <row r="97" spans="1:38" ht="13">
      <c r="A97" s="8" t="s">
        <v>233</v>
      </c>
      <c r="B97" s="8" t="s">
        <v>60</v>
      </c>
      <c r="C97" s="9">
        <v>920</v>
      </c>
      <c r="D97" s="9">
        <v>374</v>
      </c>
      <c r="E97" s="9">
        <v>546</v>
      </c>
      <c r="F97" s="9">
        <v>69.2</v>
      </c>
      <c r="G97" s="8">
        <v>0</v>
      </c>
      <c r="H97" s="8">
        <v>0</v>
      </c>
      <c r="I97" s="8">
        <v>164</v>
      </c>
      <c r="J97" s="8">
        <v>242</v>
      </c>
      <c r="K97" s="8">
        <v>66.900000000000006</v>
      </c>
      <c r="L97" s="9">
        <v>281</v>
      </c>
      <c r="M97" s="8">
        <v>14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1"/>
    </row>
    <row r="98" spans="1:38" ht="13">
      <c r="A98" s="8" t="s">
        <v>235</v>
      </c>
      <c r="B98" s="9" t="s">
        <v>44</v>
      </c>
      <c r="C98" s="9">
        <v>912</v>
      </c>
      <c r="D98" s="9">
        <v>357</v>
      </c>
      <c r="E98" s="9">
        <v>730</v>
      </c>
      <c r="F98" s="9">
        <v>48.8</v>
      </c>
      <c r="G98" s="9">
        <v>342</v>
      </c>
      <c r="H98" s="8">
        <v>38.299999999999997</v>
      </c>
      <c r="I98" s="8">
        <v>76</v>
      </c>
      <c r="J98" s="8">
        <v>91</v>
      </c>
      <c r="K98" s="8">
        <v>83.1</v>
      </c>
      <c r="L98" s="9">
        <v>84</v>
      </c>
      <c r="M98" s="8">
        <v>10.5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1"/>
    </row>
    <row r="99" spans="1:38" ht="13">
      <c r="A99" s="8" t="s">
        <v>237</v>
      </c>
      <c r="B99" s="9" t="s">
        <v>144</v>
      </c>
      <c r="C99" s="9">
        <v>911</v>
      </c>
      <c r="D99" s="9">
        <v>359</v>
      </c>
      <c r="E99" s="9">
        <v>711</v>
      </c>
      <c r="F99" s="9">
        <v>50.8</v>
      </c>
      <c r="G99" s="9">
        <v>221</v>
      </c>
      <c r="H99" s="8">
        <v>27.5</v>
      </c>
      <c r="I99" s="8">
        <v>131</v>
      </c>
      <c r="J99" s="8">
        <v>159</v>
      </c>
      <c r="K99" s="8">
        <v>81.3</v>
      </c>
      <c r="L99" s="9">
        <v>76</v>
      </c>
      <c r="M99" s="8">
        <v>10.5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1"/>
    </row>
    <row r="100" spans="1:38" ht="13">
      <c r="A100" s="8" t="s">
        <v>239</v>
      </c>
      <c r="B100" s="9" t="s">
        <v>70</v>
      </c>
      <c r="C100" s="9">
        <v>910</v>
      </c>
      <c r="D100" s="9">
        <v>328</v>
      </c>
      <c r="E100" s="9">
        <v>787</v>
      </c>
      <c r="F100" s="9">
        <v>41.7</v>
      </c>
      <c r="G100" s="9">
        <v>549</v>
      </c>
      <c r="H100" s="8">
        <v>37</v>
      </c>
      <c r="I100" s="8">
        <v>49</v>
      </c>
      <c r="J100" s="8">
        <v>66</v>
      </c>
      <c r="K100" s="8">
        <v>82.8</v>
      </c>
      <c r="L100" s="9">
        <v>49</v>
      </c>
      <c r="M100" s="8">
        <v>8.5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1"/>
    </row>
    <row r="101" spans="1:38" ht="13">
      <c r="A101" s="8" t="s">
        <v>241</v>
      </c>
      <c r="B101" s="9" t="s">
        <v>116</v>
      </c>
      <c r="C101" s="9">
        <v>906</v>
      </c>
      <c r="D101" s="9">
        <v>348</v>
      </c>
      <c r="E101" s="9">
        <v>744</v>
      </c>
      <c r="F101" s="9">
        <v>47</v>
      </c>
      <c r="G101" s="9">
        <v>240</v>
      </c>
      <c r="H101" s="8">
        <v>29.3</v>
      </c>
      <c r="I101" s="8">
        <v>138</v>
      </c>
      <c r="J101" s="8">
        <v>186</v>
      </c>
      <c r="K101" s="8">
        <v>75.099999999999994</v>
      </c>
      <c r="L101" s="9">
        <v>96</v>
      </c>
      <c r="M101" s="8">
        <v>8.4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1"/>
    </row>
    <row r="102" spans="1:38" ht="13">
      <c r="A102" s="8" t="s">
        <v>243</v>
      </c>
      <c r="B102" s="9" t="s">
        <v>54</v>
      </c>
      <c r="C102" s="9">
        <v>901</v>
      </c>
      <c r="D102" s="9">
        <v>345</v>
      </c>
      <c r="E102" s="9">
        <v>694</v>
      </c>
      <c r="F102" s="9">
        <v>49.7</v>
      </c>
      <c r="G102" s="9">
        <v>265</v>
      </c>
      <c r="H102" s="8">
        <v>38.6</v>
      </c>
      <c r="I102" s="8">
        <v>111</v>
      </c>
      <c r="J102" s="8">
        <v>138</v>
      </c>
      <c r="K102" s="8">
        <v>80.3</v>
      </c>
      <c r="L102" s="9">
        <v>32</v>
      </c>
      <c r="M102" s="8">
        <v>9.3000000000000007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1"/>
    </row>
    <row r="103" spans="1:38" ht="13">
      <c r="A103" s="8" t="s">
        <v>245</v>
      </c>
      <c r="B103" s="9" t="s">
        <v>170</v>
      </c>
      <c r="C103" s="9">
        <v>893</v>
      </c>
      <c r="D103" s="9">
        <v>296</v>
      </c>
      <c r="E103" s="9">
        <v>700</v>
      </c>
      <c r="F103" s="9">
        <v>42.3</v>
      </c>
      <c r="G103" s="9">
        <v>400</v>
      </c>
      <c r="H103" s="8">
        <v>34.6</v>
      </c>
      <c r="I103" s="8">
        <v>160</v>
      </c>
      <c r="J103" s="8">
        <v>183</v>
      </c>
      <c r="K103" s="8">
        <v>87.6</v>
      </c>
      <c r="L103" s="9">
        <v>71</v>
      </c>
      <c r="M103" s="8">
        <v>10.3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1"/>
    </row>
    <row r="104" spans="1:38" ht="13">
      <c r="A104" s="8" t="s">
        <v>247</v>
      </c>
      <c r="B104" s="9" t="s">
        <v>122</v>
      </c>
      <c r="C104" s="9">
        <v>881</v>
      </c>
      <c r="D104" s="9">
        <v>328</v>
      </c>
      <c r="E104" s="9">
        <v>718</v>
      </c>
      <c r="F104" s="9">
        <v>45.8</v>
      </c>
      <c r="G104" s="9">
        <v>359</v>
      </c>
      <c r="H104" s="8">
        <v>37.5</v>
      </c>
      <c r="I104" s="8">
        <v>94</v>
      </c>
      <c r="J104" s="8">
        <v>125</v>
      </c>
      <c r="K104" s="8">
        <v>72.2</v>
      </c>
      <c r="L104" s="9">
        <v>172</v>
      </c>
      <c r="M104" s="8">
        <v>7.6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1"/>
    </row>
    <row r="105" spans="1:38" ht="13">
      <c r="A105" s="8" t="s">
        <v>249</v>
      </c>
      <c r="B105" s="9" t="s">
        <v>76</v>
      </c>
      <c r="C105" s="9">
        <v>875</v>
      </c>
      <c r="D105" s="9">
        <v>322</v>
      </c>
      <c r="E105" s="9">
        <v>616</v>
      </c>
      <c r="F105" s="9">
        <v>51.6</v>
      </c>
      <c r="G105" s="9">
        <v>252</v>
      </c>
      <c r="H105" s="8">
        <v>43.9</v>
      </c>
      <c r="I105" s="8">
        <v>126</v>
      </c>
      <c r="J105" s="8">
        <v>147</v>
      </c>
      <c r="K105" s="8">
        <v>87.2</v>
      </c>
      <c r="L105" s="9">
        <v>49</v>
      </c>
      <c r="M105" s="8">
        <v>13.4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5"/>
    </row>
    <row r="106" spans="1:38" ht="13">
      <c r="A106" s="8" t="s">
        <v>251</v>
      </c>
      <c r="B106" s="9" t="s">
        <v>114</v>
      </c>
      <c r="C106" s="9">
        <v>871</v>
      </c>
      <c r="D106" s="9">
        <v>328</v>
      </c>
      <c r="E106" s="9">
        <v>831</v>
      </c>
      <c r="F106" s="9">
        <v>39.4</v>
      </c>
      <c r="G106" s="9">
        <v>342</v>
      </c>
      <c r="H106" s="8">
        <v>30.8</v>
      </c>
      <c r="I106" s="8">
        <v>114</v>
      </c>
      <c r="J106" s="8">
        <v>168</v>
      </c>
      <c r="K106" s="8">
        <v>67.900000000000006</v>
      </c>
      <c r="L106" s="9">
        <v>127</v>
      </c>
      <c r="M106" s="8">
        <v>8.4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1"/>
    </row>
    <row r="107" spans="1:38" ht="13">
      <c r="A107" s="8" t="s">
        <v>253</v>
      </c>
      <c r="B107" s="9" t="s">
        <v>144</v>
      </c>
      <c r="C107" s="9">
        <v>869</v>
      </c>
      <c r="D107" s="9">
        <v>284</v>
      </c>
      <c r="E107" s="9">
        <v>679</v>
      </c>
      <c r="F107" s="9">
        <v>41.6</v>
      </c>
      <c r="G107" s="9">
        <v>324</v>
      </c>
      <c r="H107" s="8">
        <v>33.4</v>
      </c>
      <c r="I107" s="8">
        <v>198</v>
      </c>
      <c r="J107" s="8">
        <v>245</v>
      </c>
      <c r="K107" s="8">
        <v>80.2</v>
      </c>
      <c r="L107" s="9">
        <v>16</v>
      </c>
      <c r="M107" s="8">
        <v>8.9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1"/>
    </row>
    <row r="108" spans="1:38" ht="13">
      <c r="A108" s="8" t="s">
        <v>255</v>
      </c>
      <c r="B108" s="8" t="s">
        <v>46</v>
      </c>
      <c r="C108" s="9">
        <v>864</v>
      </c>
      <c r="D108" s="9">
        <v>338</v>
      </c>
      <c r="E108" s="9">
        <v>511</v>
      </c>
      <c r="F108" s="9">
        <v>66.900000000000006</v>
      </c>
      <c r="G108" s="8">
        <v>0</v>
      </c>
      <c r="H108" s="8">
        <v>0</v>
      </c>
      <c r="I108" s="8">
        <v>187</v>
      </c>
      <c r="J108" s="8">
        <v>274</v>
      </c>
      <c r="K108" s="8">
        <v>67.400000000000006</v>
      </c>
      <c r="L108" s="9">
        <v>266</v>
      </c>
      <c r="M108" s="8">
        <v>12.6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1"/>
    </row>
    <row r="109" spans="1:38" ht="13">
      <c r="A109" s="8" t="s">
        <v>257</v>
      </c>
      <c r="B109" s="9" t="s">
        <v>60</v>
      </c>
      <c r="C109" s="9">
        <v>847</v>
      </c>
      <c r="D109" s="9">
        <v>277</v>
      </c>
      <c r="E109" s="9">
        <v>678</v>
      </c>
      <c r="F109" s="9">
        <v>40.6</v>
      </c>
      <c r="G109" s="9">
        <v>454</v>
      </c>
      <c r="H109" s="8">
        <v>36.799999999999997</v>
      </c>
      <c r="I109" s="8">
        <v>123</v>
      </c>
      <c r="J109" s="8">
        <v>146</v>
      </c>
      <c r="K109" s="8">
        <v>85.5</v>
      </c>
      <c r="L109" s="9">
        <v>15</v>
      </c>
      <c r="M109" s="8">
        <v>6.6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1"/>
    </row>
    <row r="110" spans="1:38" ht="13">
      <c r="A110" s="8" t="s">
        <v>259</v>
      </c>
      <c r="B110" s="9" t="s">
        <v>68</v>
      </c>
      <c r="C110" s="9">
        <v>846</v>
      </c>
      <c r="D110" s="9">
        <v>288</v>
      </c>
      <c r="E110" s="9">
        <v>762</v>
      </c>
      <c r="F110" s="9">
        <v>37.799999999999997</v>
      </c>
      <c r="G110" s="9">
        <v>462</v>
      </c>
      <c r="H110" s="8">
        <v>34.5</v>
      </c>
      <c r="I110" s="8">
        <v>114</v>
      </c>
      <c r="J110" s="8">
        <v>138</v>
      </c>
      <c r="K110" s="8">
        <v>81</v>
      </c>
      <c r="L110" s="9">
        <v>30</v>
      </c>
      <c r="M110" s="8">
        <v>9.3000000000000007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1"/>
    </row>
    <row r="111" spans="1:38" ht="13">
      <c r="A111" s="8" t="s">
        <v>261</v>
      </c>
      <c r="B111" s="9" t="s">
        <v>66</v>
      </c>
      <c r="C111" s="9">
        <v>842</v>
      </c>
      <c r="D111" s="9">
        <v>348</v>
      </c>
      <c r="E111" s="9">
        <v>624</v>
      </c>
      <c r="F111" s="9">
        <v>55</v>
      </c>
      <c r="G111" s="9">
        <v>41</v>
      </c>
      <c r="H111" s="8">
        <v>21.6</v>
      </c>
      <c r="I111" s="8">
        <v>146</v>
      </c>
      <c r="J111" s="8">
        <v>162</v>
      </c>
      <c r="K111" s="8">
        <v>87.9</v>
      </c>
      <c r="L111" s="9">
        <v>186</v>
      </c>
      <c r="M111" s="8">
        <v>14.7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1"/>
    </row>
    <row r="112" spans="1:38" ht="13">
      <c r="A112" s="8" t="s">
        <v>263</v>
      </c>
      <c r="B112" s="9" t="s">
        <v>144</v>
      </c>
      <c r="C112" s="9">
        <v>838</v>
      </c>
      <c r="D112" s="9">
        <v>302</v>
      </c>
      <c r="E112" s="9">
        <v>667</v>
      </c>
      <c r="F112" s="9">
        <v>45.3</v>
      </c>
      <c r="G112" s="9">
        <v>239</v>
      </c>
      <c r="H112" s="8">
        <v>38.1</v>
      </c>
      <c r="I112" s="8">
        <v>143</v>
      </c>
      <c r="J112" s="8">
        <v>200</v>
      </c>
      <c r="K112" s="8">
        <v>72.2</v>
      </c>
      <c r="L112" s="9">
        <v>80</v>
      </c>
      <c r="M112" s="8">
        <v>9.6999999999999993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1"/>
    </row>
    <row r="113" spans="1:38" ht="13">
      <c r="A113" s="8" t="s">
        <v>265</v>
      </c>
      <c r="B113" s="9" t="s">
        <v>122</v>
      </c>
      <c r="C113" s="9">
        <v>838</v>
      </c>
      <c r="D113" s="9">
        <v>284</v>
      </c>
      <c r="E113" s="9">
        <v>686</v>
      </c>
      <c r="F113" s="9">
        <v>41.9</v>
      </c>
      <c r="G113" s="9">
        <v>297</v>
      </c>
      <c r="H113" s="8">
        <v>35.4</v>
      </c>
      <c r="I113" s="8">
        <v>158</v>
      </c>
      <c r="J113" s="8">
        <v>205</v>
      </c>
      <c r="K113" s="8">
        <v>76.7</v>
      </c>
      <c r="L113" s="9">
        <v>53</v>
      </c>
      <c r="M113" s="8">
        <v>8.4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1"/>
    </row>
    <row r="114" spans="1:38" ht="13">
      <c r="A114" s="8" t="s">
        <v>267</v>
      </c>
      <c r="B114" s="9" t="s">
        <v>196</v>
      </c>
      <c r="C114" s="9">
        <v>837</v>
      </c>
      <c r="D114" s="9">
        <v>300</v>
      </c>
      <c r="E114" s="9">
        <v>782</v>
      </c>
      <c r="F114" s="9">
        <v>38.9</v>
      </c>
      <c r="G114" s="9">
        <v>403</v>
      </c>
      <c r="H114" s="8">
        <v>31.4</v>
      </c>
      <c r="I114" s="8">
        <v>111</v>
      </c>
      <c r="J114" s="8">
        <v>142</v>
      </c>
      <c r="K114" s="8">
        <v>77</v>
      </c>
      <c r="L114" s="9">
        <v>63</v>
      </c>
      <c r="M114" s="8">
        <v>7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1"/>
    </row>
    <row r="115" spans="1:38" ht="13">
      <c r="A115" s="8" t="s">
        <v>269</v>
      </c>
      <c r="B115" s="9" t="s">
        <v>84</v>
      </c>
      <c r="C115" s="9">
        <v>830</v>
      </c>
      <c r="D115" s="9">
        <v>316</v>
      </c>
      <c r="E115" s="9">
        <v>600</v>
      </c>
      <c r="F115" s="9">
        <v>52.9</v>
      </c>
      <c r="G115" s="9">
        <v>300</v>
      </c>
      <c r="H115" s="8">
        <v>36.5</v>
      </c>
      <c r="I115" s="8">
        <v>87</v>
      </c>
      <c r="J115" s="8">
        <v>111</v>
      </c>
      <c r="K115" s="8">
        <v>78.099999999999994</v>
      </c>
      <c r="L115" s="9">
        <v>55</v>
      </c>
      <c r="M115" s="8">
        <v>11.5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1"/>
    </row>
    <row r="116" spans="1:38" ht="13">
      <c r="A116" s="8" t="s">
        <v>271</v>
      </c>
      <c r="B116" s="8" t="s">
        <v>146</v>
      </c>
      <c r="C116" s="9">
        <v>827</v>
      </c>
      <c r="D116" s="9">
        <v>365</v>
      </c>
      <c r="E116" s="9">
        <v>581</v>
      </c>
      <c r="F116" s="9">
        <v>62.7</v>
      </c>
      <c r="G116" s="9">
        <v>6</v>
      </c>
      <c r="H116" s="8">
        <v>33.299999999999997</v>
      </c>
      <c r="I116" s="8">
        <v>97</v>
      </c>
      <c r="J116" s="8">
        <v>143</v>
      </c>
      <c r="K116" s="8">
        <v>67.400000000000006</v>
      </c>
      <c r="L116" s="9">
        <v>188</v>
      </c>
      <c r="M116" s="8">
        <v>13.3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1"/>
    </row>
    <row r="117" spans="1:38" ht="13">
      <c r="A117" s="8" t="s">
        <v>273</v>
      </c>
      <c r="B117" s="9" t="s">
        <v>54</v>
      </c>
      <c r="C117" s="9">
        <v>826</v>
      </c>
      <c r="D117" s="9">
        <v>308</v>
      </c>
      <c r="E117" s="9">
        <v>680</v>
      </c>
      <c r="F117" s="9">
        <v>44.8</v>
      </c>
      <c r="G117" s="9">
        <v>405</v>
      </c>
      <c r="H117" s="8">
        <v>41.4</v>
      </c>
      <c r="I117" s="8">
        <v>49</v>
      </c>
      <c r="J117" s="8">
        <v>57</v>
      </c>
      <c r="K117" s="8">
        <v>89.5</v>
      </c>
      <c r="L117" s="9">
        <v>41</v>
      </c>
      <c r="M117" s="8">
        <v>9.9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1"/>
    </row>
    <row r="118" spans="1:38" ht="13">
      <c r="A118" s="8" t="s">
        <v>275</v>
      </c>
      <c r="B118" s="9" t="s">
        <v>82</v>
      </c>
      <c r="C118" s="9">
        <v>822</v>
      </c>
      <c r="D118" s="9">
        <v>284</v>
      </c>
      <c r="E118" s="9">
        <v>679</v>
      </c>
      <c r="F118" s="9">
        <v>42.5</v>
      </c>
      <c r="G118" s="9">
        <v>395</v>
      </c>
      <c r="H118" s="8">
        <v>35.200000000000003</v>
      </c>
      <c r="I118" s="8">
        <v>111</v>
      </c>
      <c r="J118" s="8">
        <v>134</v>
      </c>
      <c r="K118" s="8">
        <v>82.2</v>
      </c>
      <c r="L118" s="9">
        <v>87</v>
      </c>
      <c r="M118" s="8">
        <v>6.5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1"/>
    </row>
    <row r="119" spans="1:38" ht="13">
      <c r="A119" s="8" t="s">
        <v>277</v>
      </c>
      <c r="B119" s="9" t="s">
        <v>50</v>
      </c>
      <c r="C119" s="9">
        <v>821</v>
      </c>
      <c r="D119" s="9">
        <v>281</v>
      </c>
      <c r="E119" s="9">
        <v>659</v>
      </c>
      <c r="F119" s="9">
        <v>43.1</v>
      </c>
      <c r="G119" s="9">
        <v>437</v>
      </c>
      <c r="H119" s="8">
        <v>41.6</v>
      </c>
      <c r="I119" s="8">
        <v>81</v>
      </c>
      <c r="J119" s="8">
        <v>89</v>
      </c>
      <c r="K119" s="8">
        <v>84.8</v>
      </c>
      <c r="L119" s="9">
        <v>22</v>
      </c>
      <c r="M119" s="8">
        <v>7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1"/>
    </row>
    <row r="120" spans="1:38" ht="13">
      <c r="A120" s="8" t="s">
        <v>279</v>
      </c>
      <c r="B120" s="9" t="s">
        <v>52</v>
      </c>
      <c r="C120" s="9">
        <v>819</v>
      </c>
      <c r="D120" s="9">
        <v>277</v>
      </c>
      <c r="E120" s="9">
        <v>575</v>
      </c>
      <c r="F120" s="9">
        <v>48.3</v>
      </c>
      <c r="G120" s="9">
        <v>252</v>
      </c>
      <c r="H120" s="8">
        <v>41.2</v>
      </c>
      <c r="I120" s="8">
        <v>160</v>
      </c>
      <c r="J120" s="8">
        <v>197</v>
      </c>
      <c r="K120" s="8">
        <v>80.900000000000006</v>
      </c>
      <c r="L120" s="9">
        <v>67</v>
      </c>
      <c r="M120" s="8">
        <v>13.2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1"/>
    </row>
    <row r="121" spans="1:38" ht="13">
      <c r="A121" s="8" t="s">
        <v>281</v>
      </c>
      <c r="B121" s="9" t="s">
        <v>56</v>
      </c>
      <c r="C121" s="9">
        <v>814</v>
      </c>
      <c r="D121" s="9">
        <v>289</v>
      </c>
      <c r="E121" s="9">
        <v>666</v>
      </c>
      <c r="F121" s="9">
        <v>43.7</v>
      </c>
      <c r="G121" s="9">
        <v>481</v>
      </c>
      <c r="H121" s="8">
        <v>39.299999999999997</v>
      </c>
      <c r="I121" s="8">
        <v>44</v>
      </c>
      <c r="J121" s="8">
        <v>52</v>
      </c>
      <c r="K121" s="8">
        <v>88.7</v>
      </c>
      <c r="L121" s="9">
        <v>15</v>
      </c>
      <c r="M121" s="8">
        <v>7.8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1"/>
    </row>
    <row r="122" spans="1:38" ht="13">
      <c r="A122" s="8" t="s">
        <v>283</v>
      </c>
      <c r="B122" s="9" t="s">
        <v>82</v>
      </c>
      <c r="C122" s="9">
        <v>813</v>
      </c>
      <c r="D122" s="9">
        <v>312</v>
      </c>
      <c r="E122" s="9">
        <v>650</v>
      </c>
      <c r="F122" s="9">
        <v>48.3</v>
      </c>
      <c r="G122" s="9">
        <v>325</v>
      </c>
      <c r="H122" s="8">
        <v>36.799999999999997</v>
      </c>
      <c r="I122" s="8">
        <v>65</v>
      </c>
      <c r="J122" s="8">
        <v>91</v>
      </c>
      <c r="K122" s="8">
        <v>69.099999999999994</v>
      </c>
      <c r="L122" s="9">
        <v>91</v>
      </c>
      <c r="M122" s="8">
        <v>12.1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1"/>
    </row>
    <row r="123" spans="1:38" ht="13">
      <c r="A123" s="8" t="s">
        <v>285</v>
      </c>
      <c r="B123" s="9" t="s">
        <v>94</v>
      </c>
      <c r="C123" s="9">
        <v>812</v>
      </c>
      <c r="D123" s="9">
        <v>279</v>
      </c>
      <c r="E123" s="9">
        <v>664</v>
      </c>
      <c r="F123" s="9">
        <v>41.5</v>
      </c>
      <c r="G123" s="9">
        <v>484</v>
      </c>
      <c r="H123" s="8">
        <v>37.1</v>
      </c>
      <c r="I123" s="8">
        <v>82</v>
      </c>
      <c r="J123" s="8">
        <v>90</v>
      </c>
      <c r="K123" s="8">
        <v>90.4</v>
      </c>
      <c r="L123" s="9">
        <v>66</v>
      </c>
      <c r="M123" s="8">
        <v>7.9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1"/>
    </row>
    <row r="124" spans="1:38" ht="13">
      <c r="A124" s="8" t="s">
        <v>287</v>
      </c>
      <c r="B124" s="9" t="s">
        <v>114</v>
      </c>
      <c r="C124" s="9">
        <v>804</v>
      </c>
      <c r="D124" s="9">
        <v>303</v>
      </c>
      <c r="E124" s="9">
        <v>746</v>
      </c>
      <c r="F124" s="9">
        <v>40.1</v>
      </c>
      <c r="G124" s="9">
        <v>410</v>
      </c>
      <c r="H124" s="8">
        <v>33.9</v>
      </c>
      <c r="I124" s="8">
        <v>66</v>
      </c>
      <c r="J124" s="8">
        <v>82</v>
      </c>
      <c r="K124" s="8">
        <v>81.2</v>
      </c>
      <c r="L124" s="9">
        <v>33</v>
      </c>
      <c r="M124" s="8">
        <v>7.1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1"/>
    </row>
    <row r="125" spans="1:38" ht="13">
      <c r="A125" s="8" t="s">
        <v>289</v>
      </c>
      <c r="B125" s="9" t="s">
        <v>62</v>
      </c>
      <c r="C125" s="9">
        <v>796</v>
      </c>
      <c r="D125" s="9">
        <v>311</v>
      </c>
      <c r="E125" s="9">
        <v>622</v>
      </c>
      <c r="F125" s="9">
        <v>49.8</v>
      </c>
      <c r="G125" s="9">
        <v>189</v>
      </c>
      <c r="H125" s="8">
        <v>41.1</v>
      </c>
      <c r="I125" s="8">
        <v>96</v>
      </c>
      <c r="J125" s="8">
        <v>122</v>
      </c>
      <c r="K125" s="8">
        <v>81</v>
      </c>
      <c r="L125" s="9">
        <v>33</v>
      </c>
      <c r="M125" s="8">
        <v>13.4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1"/>
    </row>
    <row r="126" spans="1:38" ht="13">
      <c r="A126" s="8" t="s">
        <v>291</v>
      </c>
      <c r="B126" s="9" t="s">
        <v>58</v>
      </c>
      <c r="C126" s="9">
        <v>782</v>
      </c>
      <c r="D126" s="9">
        <v>284</v>
      </c>
      <c r="E126" s="9">
        <v>616</v>
      </c>
      <c r="F126" s="9">
        <v>46.1</v>
      </c>
      <c r="G126" s="9">
        <v>411</v>
      </c>
      <c r="H126" s="8">
        <v>40.6</v>
      </c>
      <c r="I126" s="8">
        <v>47</v>
      </c>
      <c r="J126" s="8">
        <v>55</v>
      </c>
      <c r="K126" s="8">
        <v>79.3</v>
      </c>
      <c r="L126" s="9">
        <v>47</v>
      </c>
      <c r="M126" s="8">
        <v>7.1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1"/>
    </row>
    <row r="127" spans="1:38" ht="13">
      <c r="A127" s="8" t="s">
        <v>293</v>
      </c>
      <c r="B127" s="9" t="s">
        <v>82</v>
      </c>
      <c r="C127" s="9">
        <v>782</v>
      </c>
      <c r="D127" s="9">
        <v>284</v>
      </c>
      <c r="E127" s="9">
        <v>593</v>
      </c>
      <c r="F127" s="9">
        <v>48</v>
      </c>
      <c r="G127" s="9">
        <v>221</v>
      </c>
      <c r="H127" s="8">
        <v>39.700000000000003</v>
      </c>
      <c r="I127" s="8">
        <v>119</v>
      </c>
      <c r="J127" s="8">
        <v>174</v>
      </c>
      <c r="K127" s="8">
        <v>71.3</v>
      </c>
      <c r="L127" s="9">
        <v>63</v>
      </c>
      <c r="M127" s="8">
        <v>10.6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1"/>
    </row>
    <row r="128" spans="1:38" ht="13">
      <c r="A128" s="8" t="s">
        <v>295</v>
      </c>
      <c r="B128" s="9" t="s">
        <v>62</v>
      </c>
      <c r="C128" s="9">
        <v>778</v>
      </c>
      <c r="D128" s="9">
        <v>308</v>
      </c>
      <c r="E128" s="9">
        <v>585</v>
      </c>
      <c r="F128" s="9">
        <v>52.6</v>
      </c>
      <c r="G128" s="9">
        <v>216</v>
      </c>
      <c r="H128" s="8">
        <v>35.6</v>
      </c>
      <c r="I128" s="8">
        <v>85</v>
      </c>
      <c r="J128" s="8">
        <v>116</v>
      </c>
      <c r="K128" s="8">
        <v>70.3</v>
      </c>
      <c r="L128" s="9">
        <v>92</v>
      </c>
      <c r="M128" s="8">
        <v>7.6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1"/>
    </row>
    <row r="129" spans="1:38" ht="13">
      <c r="A129" s="8" t="s">
        <v>297</v>
      </c>
      <c r="B129" s="9" t="s">
        <v>146</v>
      </c>
      <c r="C129" s="9">
        <v>778</v>
      </c>
      <c r="D129" s="9">
        <v>265</v>
      </c>
      <c r="E129" s="9">
        <v>648</v>
      </c>
      <c r="F129" s="9">
        <v>41</v>
      </c>
      <c r="G129" s="9">
        <v>324</v>
      </c>
      <c r="H129" s="8">
        <v>35</v>
      </c>
      <c r="I129" s="8">
        <v>135</v>
      </c>
      <c r="J129" s="8">
        <v>157</v>
      </c>
      <c r="K129" s="8">
        <v>85.8</v>
      </c>
      <c r="L129" s="9">
        <v>43</v>
      </c>
      <c r="M129" s="8">
        <v>7.1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1"/>
    </row>
    <row r="130" spans="1:38" ht="13">
      <c r="A130" s="8" t="s">
        <v>299</v>
      </c>
      <c r="B130" s="9" t="s">
        <v>58</v>
      </c>
      <c r="C130" s="9">
        <v>774</v>
      </c>
      <c r="D130" s="9">
        <v>282</v>
      </c>
      <c r="E130" s="9">
        <v>602</v>
      </c>
      <c r="F130" s="9">
        <v>46.7</v>
      </c>
      <c r="G130" s="9">
        <v>282</v>
      </c>
      <c r="H130" s="8">
        <v>37.299999999999997</v>
      </c>
      <c r="I130" s="8">
        <v>109</v>
      </c>
      <c r="J130" s="8">
        <v>154</v>
      </c>
      <c r="K130" s="8">
        <v>71</v>
      </c>
      <c r="L130" s="9">
        <v>38</v>
      </c>
      <c r="M130" s="8">
        <v>9.4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1"/>
    </row>
    <row r="131" spans="1:38" ht="13">
      <c r="A131" s="8" t="s">
        <v>301</v>
      </c>
      <c r="B131" s="9" t="s">
        <v>170</v>
      </c>
      <c r="C131" s="9">
        <v>774</v>
      </c>
      <c r="D131" s="9">
        <v>277</v>
      </c>
      <c r="E131" s="9">
        <v>596</v>
      </c>
      <c r="F131" s="9">
        <v>45.9</v>
      </c>
      <c r="G131" s="9">
        <v>369</v>
      </c>
      <c r="H131" s="8">
        <v>42.2</v>
      </c>
      <c r="I131" s="8">
        <v>64</v>
      </c>
      <c r="J131" s="8">
        <v>71</v>
      </c>
      <c r="K131" s="8">
        <v>89</v>
      </c>
      <c r="L131" s="9">
        <v>43</v>
      </c>
      <c r="M131" s="8">
        <v>8.6999999999999993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1"/>
    </row>
    <row r="132" spans="1:38" ht="13">
      <c r="A132" s="8" t="s">
        <v>303</v>
      </c>
      <c r="B132" s="9" t="s">
        <v>74</v>
      </c>
      <c r="C132" s="9">
        <v>773</v>
      </c>
      <c r="D132" s="9">
        <v>295</v>
      </c>
      <c r="E132" s="9">
        <v>578</v>
      </c>
      <c r="F132" s="9">
        <v>50.9</v>
      </c>
      <c r="G132" s="9">
        <v>248</v>
      </c>
      <c r="H132" s="8">
        <v>41.3</v>
      </c>
      <c r="I132" s="8">
        <v>89</v>
      </c>
      <c r="J132" s="8">
        <v>112</v>
      </c>
      <c r="K132" s="8">
        <v>77</v>
      </c>
      <c r="L132" s="9">
        <v>77</v>
      </c>
      <c r="M132" s="8">
        <v>8.6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1"/>
    </row>
    <row r="133" spans="1:38" ht="13">
      <c r="A133" s="8" t="s">
        <v>305</v>
      </c>
      <c r="B133" s="9" t="s">
        <v>50</v>
      </c>
      <c r="C133" s="9">
        <v>773</v>
      </c>
      <c r="D133" s="9">
        <v>293</v>
      </c>
      <c r="E133" s="9">
        <v>653</v>
      </c>
      <c r="F133" s="9">
        <v>44.9</v>
      </c>
      <c r="G133" s="9">
        <v>180</v>
      </c>
      <c r="H133" s="8">
        <v>31.1</v>
      </c>
      <c r="I133" s="8">
        <v>128</v>
      </c>
      <c r="J133" s="8">
        <v>173</v>
      </c>
      <c r="K133" s="8">
        <v>76.900000000000006</v>
      </c>
      <c r="L133" s="9">
        <v>45</v>
      </c>
      <c r="M133" s="8">
        <v>11.9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1"/>
    </row>
    <row r="134" spans="1:38" ht="13">
      <c r="A134" s="8" t="s">
        <v>307</v>
      </c>
      <c r="B134" s="9" t="s">
        <v>46</v>
      </c>
      <c r="C134" s="9">
        <v>771</v>
      </c>
      <c r="D134" s="9">
        <v>271</v>
      </c>
      <c r="E134" s="9">
        <v>615</v>
      </c>
      <c r="F134" s="9">
        <v>43.8</v>
      </c>
      <c r="G134" s="9">
        <v>369</v>
      </c>
      <c r="H134" s="8">
        <v>38.1</v>
      </c>
      <c r="I134" s="8">
        <v>90</v>
      </c>
      <c r="J134" s="8">
        <v>115</v>
      </c>
      <c r="K134" s="8">
        <v>78</v>
      </c>
      <c r="L134" s="9">
        <v>57</v>
      </c>
      <c r="M134" s="8">
        <v>8.1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1"/>
    </row>
    <row r="135" spans="1:38" ht="13">
      <c r="A135" s="8" t="s">
        <v>309</v>
      </c>
      <c r="B135" s="9" t="s">
        <v>116</v>
      </c>
      <c r="C135" s="9">
        <v>770</v>
      </c>
      <c r="D135" s="9">
        <v>280</v>
      </c>
      <c r="E135" s="9">
        <v>560</v>
      </c>
      <c r="F135" s="9">
        <v>50.1</v>
      </c>
      <c r="G135" s="9">
        <v>273</v>
      </c>
      <c r="H135" s="8">
        <v>38</v>
      </c>
      <c r="I135" s="8">
        <v>98</v>
      </c>
      <c r="J135" s="8">
        <v>140</v>
      </c>
      <c r="K135" s="8">
        <v>72.5</v>
      </c>
      <c r="L135" s="9">
        <v>133</v>
      </c>
      <c r="M135" s="8">
        <v>9.1999999999999993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1"/>
    </row>
    <row r="136" spans="1:38" ht="13">
      <c r="A136" s="8" t="s">
        <v>311</v>
      </c>
      <c r="B136" s="9" t="s">
        <v>170</v>
      </c>
      <c r="C136" s="9">
        <v>760</v>
      </c>
      <c r="D136" s="9">
        <v>280</v>
      </c>
      <c r="E136" s="9">
        <v>532</v>
      </c>
      <c r="F136" s="9">
        <v>52.7</v>
      </c>
      <c r="G136" s="9">
        <v>148</v>
      </c>
      <c r="H136" s="8">
        <v>39.9</v>
      </c>
      <c r="I136" s="8">
        <v>140</v>
      </c>
      <c r="J136" s="8">
        <v>164</v>
      </c>
      <c r="K136" s="8">
        <v>84.8</v>
      </c>
      <c r="L136" s="9">
        <v>88</v>
      </c>
      <c r="M136" s="8">
        <v>12.9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1"/>
    </row>
    <row r="137" spans="1:38" ht="13">
      <c r="A137" s="8" t="s">
        <v>313</v>
      </c>
      <c r="B137" s="9" t="s">
        <v>44</v>
      </c>
      <c r="C137" s="9">
        <v>755</v>
      </c>
      <c r="D137" s="9">
        <v>259</v>
      </c>
      <c r="E137" s="9">
        <v>585</v>
      </c>
      <c r="F137" s="9">
        <v>44</v>
      </c>
      <c r="G137" s="9">
        <v>466</v>
      </c>
      <c r="H137" s="8">
        <v>41.2</v>
      </c>
      <c r="I137" s="8">
        <v>44</v>
      </c>
      <c r="J137" s="8">
        <v>59</v>
      </c>
      <c r="K137" s="8">
        <v>82.1</v>
      </c>
      <c r="L137" s="9">
        <v>44</v>
      </c>
      <c r="M137" s="8">
        <v>8.9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1"/>
    </row>
    <row r="138" spans="1:38" ht="13">
      <c r="A138" s="8" t="s">
        <v>315</v>
      </c>
      <c r="B138" s="9" t="s">
        <v>196</v>
      </c>
      <c r="C138" s="9">
        <v>751</v>
      </c>
      <c r="D138" s="9">
        <v>245</v>
      </c>
      <c r="E138" s="9">
        <v>616</v>
      </c>
      <c r="F138" s="9">
        <v>39.700000000000003</v>
      </c>
      <c r="G138" s="9">
        <v>363</v>
      </c>
      <c r="H138" s="8">
        <v>33.700000000000003</v>
      </c>
      <c r="I138" s="8">
        <v>134</v>
      </c>
      <c r="J138" s="8">
        <v>166</v>
      </c>
      <c r="K138" s="8">
        <v>81.8</v>
      </c>
      <c r="L138" s="9">
        <v>71</v>
      </c>
      <c r="M138" s="8">
        <v>6.5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1"/>
    </row>
    <row r="139" spans="1:38" ht="13">
      <c r="A139" s="8" t="s">
        <v>317</v>
      </c>
      <c r="B139" s="9" t="s">
        <v>48</v>
      </c>
      <c r="C139" s="9">
        <v>750</v>
      </c>
      <c r="D139" s="9">
        <v>265</v>
      </c>
      <c r="E139" s="9">
        <v>495</v>
      </c>
      <c r="F139" s="9">
        <v>53.1</v>
      </c>
      <c r="G139" s="9">
        <v>173</v>
      </c>
      <c r="H139" s="8">
        <v>43.6</v>
      </c>
      <c r="I139" s="8">
        <v>143</v>
      </c>
      <c r="J139" s="8">
        <v>179</v>
      </c>
      <c r="K139" s="8">
        <v>81</v>
      </c>
      <c r="L139" s="9">
        <v>82</v>
      </c>
      <c r="M139" s="8">
        <v>10.4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1"/>
    </row>
    <row r="140" spans="1:38" ht="13">
      <c r="A140" s="8" t="s">
        <v>319</v>
      </c>
      <c r="B140" s="9" t="s">
        <v>144</v>
      </c>
      <c r="C140" s="9">
        <v>749</v>
      </c>
      <c r="D140" s="9">
        <v>250</v>
      </c>
      <c r="E140" s="9">
        <v>593</v>
      </c>
      <c r="F140" s="9">
        <v>42.7</v>
      </c>
      <c r="G140" s="9">
        <v>312</v>
      </c>
      <c r="H140" s="8">
        <v>36.6</v>
      </c>
      <c r="I140" s="8">
        <v>133</v>
      </c>
      <c r="J140" s="8">
        <v>148</v>
      </c>
      <c r="K140" s="8">
        <v>85.5</v>
      </c>
      <c r="L140" s="9">
        <v>39</v>
      </c>
      <c r="M140" s="8">
        <v>6.9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1"/>
    </row>
    <row r="141" spans="1:38" ht="13">
      <c r="A141" s="8" t="s">
        <v>321</v>
      </c>
      <c r="B141" s="9" t="s">
        <v>70</v>
      </c>
      <c r="C141" s="9">
        <v>749</v>
      </c>
      <c r="D141" s="9">
        <v>282</v>
      </c>
      <c r="E141" s="9">
        <v>627</v>
      </c>
      <c r="F141" s="9">
        <v>44.5</v>
      </c>
      <c r="G141" s="9">
        <v>307</v>
      </c>
      <c r="H141" s="8">
        <v>37.200000000000003</v>
      </c>
      <c r="I141" s="8">
        <v>70</v>
      </c>
      <c r="J141" s="8">
        <v>96</v>
      </c>
      <c r="K141" s="8">
        <v>75.8</v>
      </c>
      <c r="L141" s="9">
        <v>64</v>
      </c>
      <c r="M141" s="8">
        <v>11.4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1"/>
    </row>
    <row r="142" spans="1:38" ht="13">
      <c r="A142" s="8" t="s">
        <v>323</v>
      </c>
      <c r="B142" s="9" t="s">
        <v>164</v>
      </c>
      <c r="C142" s="9">
        <v>738</v>
      </c>
      <c r="D142" s="9">
        <v>288</v>
      </c>
      <c r="E142" s="9">
        <v>507</v>
      </c>
      <c r="F142" s="9">
        <v>56.7</v>
      </c>
      <c r="G142" s="9">
        <v>12</v>
      </c>
      <c r="H142" s="8">
        <v>23.1</v>
      </c>
      <c r="I142" s="8">
        <v>159</v>
      </c>
      <c r="J142" s="8">
        <v>240</v>
      </c>
      <c r="K142" s="8">
        <v>65.599999999999994</v>
      </c>
      <c r="L142" s="9">
        <v>75</v>
      </c>
      <c r="M142" s="8">
        <v>16.7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1"/>
    </row>
    <row r="143" spans="1:38" ht="13">
      <c r="A143" s="8" t="s">
        <v>325</v>
      </c>
      <c r="B143" s="9" t="s">
        <v>98</v>
      </c>
      <c r="C143" s="9">
        <v>733</v>
      </c>
      <c r="D143" s="9">
        <v>265</v>
      </c>
      <c r="E143" s="9">
        <v>616</v>
      </c>
      <c r="F143" s="9">
        <v>42.3</v>
      </c>
      <c r="G143" s="9">
        <v>195</v>
      </c>
      <c r="H143" s="8">
        <v>31.8</v>
      </c>
      <c r="I143" s="8">
        <v>148</v>
      </c>
      <c r="J143" s="8">
        <v>195</v>
      </c>
      <c r="K143" s="8">
        <v>76.099999999999994</v>
      </c>
      <c r="L143" s="9">
        <v>55</v>
      </c>
      <c r="M143" s="8">
        <v>8.4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1"/>
    </row>
    <row r="144" spans="1:38" ht="13">
      <c r="A144" s="8" t="s">
        <v>327</v>
      </c>
      <c r="B144" s="9" t="s">
        <v>196</v>
      </c>
      <c r="C144" s="9">
        <v>731</v>
      </c>
      <c r="D144" s="9">
        <v>249</v>
      </c>
      <c r="E144" s="9">
        <v>638</v>
      </c>
      <c r="F144" s="9">
        <v>39</v>
      </c>
      <c r="G144" s="9">
        <v>360</v>
      </c>
      <c r="H144" s="8">
        <v>31.4</v>
      </c>
      <c r="I144" s="8">
        <v>122</v>
      </c>
      <c r="J144" s="8">
        <v>145</v>
      </c>
      <c r="K144" s="8">
        <v>83.4</v>
      </c>
      <c r="L144" s="9">
        <v>17</v>
      </c>
      <c r="M144" s="8">
        <v>9.8000000000000007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1"/>
    </row>
    <row r="145" spans="1:38" ht="13">
      <c r="A145" s="8" t="s">
        <v>329</v>
      </c>
      <c r="B145" s="9" t="s">
        <v>114</v>
      </c>
      <c r="C145" s="9">
        <v>726</v>
      </c>
      <c r="D145" s="9">
        <v>266</v>
      </c>
      <c r="E145" s="9">
        <v>625</v>
      </c>
      <c r="F145" s="9">
        <v>42.1</v>
      </c>
      <c r="G145" s="9">
        <v>224</v>
      </c>
      <c r="H145" s="8">
        <v>28.1</v>
      </c>
      <c r="I145" s="8">
        <v>136</v>
      </c>
      <c r="J145" s="8">
        <v>183</v>
      </c>
      <c r="K145" s="8">
        <v>74.599999999999994</v>
      </c>
      <c r="L145" s="9">
        <v>89</v>
      </c>
      <c r="M145" s="8">
        <v>7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1"/>
    </row>
    <row r="146" spans="1:38" ht="13">
      <c r="A146" s="8" t="s">
        <v>331</v>
      </c>
      <c r="B146" s="9" t="s">
        <v>70</v>
      </c>
      <c r="C146" s="9">
        <v>725</v>
      </c>
      <c r="D146" s="9">
        <v>244</v>
      </c>
      <c r="E146" s="9">
        <v>570</v>
      </c>
      <c r="F146" s="9">
        <v>43.3</v>
      </c>
      <c r="G146" s="9">
        <v>340</v>
      </c>
      <c r="H146" s="8">
        <v>37.4</v>
      </c>
      <c r="I146" s="8">
        <v>104</v>
      </c>
      <c r="J146" s="8">
        <v>133</v>
      </c>
      <c r="K146" s="8">
        <v>79.7</v>
      </c>
      <c r="L146" s="9">
        <v>52</v>
      </c>
      <c r="M146" s="8">
        <v>7.6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1"/>
    </row>
    <row r="147" spans="1:38" ht="13">
      <c r="A147" s="8" t="s">
        <v>333</v>
      </c>
      <c r="B147" s="9" t="s">
        <v>46</v>
      </c>
      <c r="C147" s="9">
        <v>725</v>
      </c>
      <c r="D147" s="9">
        <v>248</v>
      </c>
      <c r="E147" s="9">
        <v>595</v>
      </c>
      <c r="F147" s="9">
        <v>42.2</v>
      </c>
      <c r="G147" s="9">
        <v>440</v>
      </c>
      <c r="H147" s="8">
        <v>39.700000000000003</v>
      </c>
      <c r="I147" s="8">
        <v>50</v>
      </c>
      <c r="J147" s="8">
        <v>62</v>
      </c>
      <c r="K147" s="8">
        <v>77.8</v>
      </c>
      <c r="L147" s="9">
        <v>31</v>
      </c>
      <c r="M147" s="8">
        <v>10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1"/>
    </row>
    <row r="148" spans="1:38" ht="13">
      <c r="A148" s="8" t="s">
        <v>335</v>
      </c>
      <c r="B148" s="9" t="s">
        <v>94</v>
      </c>
      <c r="C148" s="9">
        <v>722</v>
      </c>
      <c r="D148" s="9">
        <v>246</v>
      </c>
      <c r="E148" s="9">
        <v>582</v>
      </c>
      <c r="F148" s="9">
        <v>42.7</v>
      </c>
      <c r="G148" s="9">
        <v>369</v>
      </c>
      <c r="H148" s="8">
        <v>37.700000000000003</v>
      </c>
      <c r="I148" s="8">
        <v>82</v>
      </c>
      <c r="J148" s="8">
        <v>90</v>
      </c>
      <c r="K148" s="8">
        <v>92.4</v>
      </c>
      <c r="L148" s="9">
        <v>33</v>
      </c>
      <c r="M148" s="8">
        <v>10.199999999999999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1"/>
    </row>
    <row r="149" spans="1:38" ht="13">
      <c r="A149" s="8" t="s">
        <v>337</v>
      </c>
      <c r="B149" s="9" t="s">
        <v>196</v>
      </c>
      <c r="C149" s="9">
        <v>721</v>
      </c>
      <c r="D149" s="9">
        <v>322</v>
      </c>
      <c r="E149" s="9">
        <v>567</v>
      </c>
      <c r="F149" s="9">
        <v>56.3</v>
      </c>
      <c r="G149" s="9">
        <v>21</v>
      </c>
      <c r="H149" s="8">
        <v>23.8</v>
      </c>
      <c r="I149" s="8">
        <v>77</v>
      </c>
      <c r="J149" s="8">
        <v>154</v>
      </c>
      <c r="K149" s="8">
        <v>51.3</v>
      </c>
      <c r="L149" s="9">
        <v>154</v>
      </c>
      <c r="M149" s="8">
        <v>11.5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1"/>
    </row>
    <row r="150" spans="1:38" ht="13">
      <c r="A150" s="8" t="s">
        <v>339</v>
      </c>
      <c r="B150" s="9" t="s">
        <v>70</v>
      </c>
      <c r="C150" s="9">
        <v>719</v>
      </c>
      <c r="D150" s="9">
        <v>259</v>
      </c>
      <c r="E150" s="9">
        <v>569</v>
      </c>
      <c r="F150" s="9">
        <v>45.4</v>
      </c>
      <c r="G150" s="9">
        <v>150</v>
      </c>
      <c r="H150" s="8">
        <v>30.5</v>
      </c>
      <c r="I150" s="8">
        <v>155</v>
      </c>
      <c r="J150" s="8">
        <v>235</v>
      </c>
      <c r="K150" s="8">
        <v>66.8</v>
      </c>
      <c r="L150" s="9">
        <v>56</v>
      </c>
      <c r="M150" s="8">
        <v>11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1"/>
    </row>
    <row r="151" spans="1:38" ht="13">
      <c r="A151" s="8" t="s">
        <v>341</v>
      </c>
      <c r="B151" s="9" t="s">
        <v>84</v>
      </c>
      <c r="C151" s="9">
        <v>719</v>
      </c>
      <c r="D151" s="9">
        <v>324</v>
      </c>
      <c r="E151" s="9">
        <v>624</v>
      </c>
      <c r="F151" s="9">
        <v>51.9</v>
      </c>
      <c r="G151" s="9">
        <v>47</v>
      </c>
      <c r="H151" s="8">
        <v>30.6</v>
      </c>
      <c r="I151" s="8">
        <v>55</v>
      </c>
      <c r="J151" s="8">
        <v>79</v>
      </c>
      <c r="K151" s="8">
        <v>74</v>
      </c>
      <c r="L151" s="9">
        <v>47</v>
      </c>
      <c r="M151" s="8">
        <v>12.9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1"/>
    </row>
    <row r="152" spans="1:38" ht="13">
      <c r="A152" s="8" t="s">
        <v>343</v>
      </c>
      <c r="B152" s="9" t="s">
        <v>44</v>
      </c>
      <c r="C152" s="9">
        <v>717</v>
      </c>
      <c r="D152" s="9">
        <v>256</v>
      </c>
      <c r="E152" s="9">
        <v>596</v>
      </c>
      <c r="F152" s="9">
        <v>43.5</v>
      </c>
      <c r="G152" s="9">
        <v>412</v>
      </c>
      <c r="H152" s="8">
        <v>41.2</v>
      </c>
      <c r="I152" s="8">
        <v>36</v>
      </c>
      <c r="J152" s="8">
        <v>43</v>
      </c>
      <c r="K152" s="8">
        <v>71.7</v>
      </c>
      <c r="L152" s="9">
        <v>92</v>
      </c>
      <c r="M152" s="8">
        <v>6.3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1"/>
    </row>
    <row r="153" spans="1:38" ht="13">
      <c r="A153" s="8" t="s">
        <v>345</v>
      </c>
      <c r="B153" s="9" t="s">
        <v>74</v>
      </c>
      <c r="C153" s="9">
        <v>710</v>
      </c>
      <c r="D153" s="9">
        <v>257</v>
      </c>
      <c r="E153" s="9">
        <v>554</v>
      </c>
      <c r="F153" s="9">
        <v>46.1</v>
      </c>
      <c r="G153" s="9">
        <v>343</v>
      </c>
      <c r="H153" s="8">
        <v>37.6</v>
      </c>
      <c r="I153" s="8">
        <v>62</v>
      </c>
      <c r="J153" s="8">
        <v>86</v>
      </c>
      <c r="K153" s="8">
        <v>76.2</v>
      </c>
      <c r="L153" s="9">
        <v>39</v>
      </c>
      <c r="M153" s="8">
        <v>8.6999999999999993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1"/>
    </row>
    <row r="154" spans="1:38" ht="13">
      <c r="A154" s="8" t="s">
        <v>347</v>
      </c>
      <c r="B154" s="9" t="s">
        <v>114</v>
      </c>
      <c r="C154" s="9">
        <v>708</v>
      </c>
      <c r="D154" s="9">
        <v>256</v>
      </c>
      <c r="E154" s="9">
        <v>567</v>
      </c>
      <c r="F154" s="9">
        <v>45.1</v>
      </c>
      <c r="G154" s="9">
        <v>329</v>
      </c>
      <c r="H154" s="8">
        <v>36.4</v>
      </c>
      <c r="I154" s="8">
        <v>73</v>
      </c>
      <c r="J154" s="8">
        <v>85</v>
      </c>
      <c r="K154" s="8">
        <v>85.2</v>
      </c>
      <c r="L154" s="9">
        <v>37</v>
      </c>
      <c r="M154" s="8">
        <v>7.4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1"/>
    </row>
    <row r="155" spans="1:38" ht="13">
      <c r="A155" s="8" t="s">
        <v>349</v>
      </c>
      <c r="B155" s="8" t="s">
        <v>144</v>
      </c>
      <c r="C155" s="9">
        <v>701</v>
      </c>
      <c r="D155" s="9">
        <v>285</v>
      </c>
      <c r="E155" s="9">
        <v>405</v>
      </c>
      <c r="F155" s="9">
        <v>70.2</v>
      </c>
      <c r="G155" s="8">
        <v>0</v>
      </c>
      <c r="H155" s="8">
        <v>0</v>
      </c>
      <c r="I155" s="8">
        <v>137</v>
      </c>
      <c r="J155" s="8">
        <v>194</v>
      </c>
      <c r="K155" s="8">
        <v>68.900000000000006</v>
      </c>
      <c r="L155" s="9">
        <v>154</v>
      </c>
      <c r="M155" s="8">
        <v>14.1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1"/>
    </row>
    <row r="156" spans="1:38" ht="13">
      <c r="A156" s="8" t="s">
        <v>351</v>
      </c>
      <c r="B156" s="9" t="s">
        <v>62</v>
      </c>
      <c r="C156" s="9">
        <v>698</v>
      </c>
      <c r="D156" s="9">
        <v>238</v>
      </c>
      <c r="E156" s="9">
        <v>511</v>
      </c>
      <c r="F156" s="9">
        <v>47.1</v>
      </c>
      <c r="G156" s="9">
        <v>245</v>
      </c>
      <c r="H156" s="8">
        <v>40.9</v>
      </c>
      <c r="I156" s="8">
        <v>115</v>
      </c>
      <c r="J156" s="8">
        <v>130</v>
      </c>
      <c r="K156" s="8">
        <v>89.1</v>
      </c>
      <c r="L156" s="9">
        <v>29</v>
      </c>
      <c r="M156" s="8">
        <v>7.2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1"/>
    </row>
    <row r="157" spans="1:38" ht="13">
      <c r="A157" s="8" t="s">
        <v>353</v>
      </c>
      <c r="B157" s="9" t="s">
        <v>68</v>
      </c>
      <c r="C157" s="9">
        <v>695</v>
      </c>
      <c r="D157" s="9">
        <v>251</v>
      </c>
      <c r="E157" s="9">
        <v>564</v>
      </c>
      <c r="F157" s="9">
        <v>43.8</v>
      </c>
      <c r="G157" s="9">
        <v>279</v>
      </c>
      <c r="H157" s="8">
        <v>35.4</v>
      </c>
      <c r="I157" s="8">
        <v>103</v>
      </c>
      <c r="J157" s="8">
        <v>125</v>
      </c>
      <c r="K157" s="8">
        <v>82.5</v>
      </c>
      <c r="L157" s="9">
        <v>103</v>
      </c>
      <c r="M157" s="8">
        <v>9.3000000000000007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1"/>
    </row>
    <row r="158" spans="1:38" ht="13">
      <c r="A158" s="8" t="s">
        <v>355</v>
      </c>
      <c r="B158" s="9" t="s">
        <v>170</v>
      </c>
      <c r="C158" s="9">
        <v>691</v>
      </c>
      <c r="D158" s="9">
        <v>259</v>
      </c>
      <c r="E158" s="9">
        <v>518</v>
      </c>
      <c r="F158" s="9">
        <v>50.2</v>
      </c>
      <c r="G158" s="9">
        <v>223</v>
      </c>
      <c r="H158" s="8">
        <v>35</v>
      </c>
      <c r="I158" s="8">
        <v>94</v>
      </c>
      <c r="J158" s="8">
        <v>144</v>
      </c>
      <c r="K158" s="8">
        <v>65</v>
      </c>
      <c r="L158" s="9">
        <v>115</v>
      </c>
      <c r="M158" s="8">
        <v>10.3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1"/>
    </row>
    <row r="159" spans="1:38" ht="13">
      <c r="A159" s="8" t="s">
        <v>357</v>
      </c>
      <c r="B159" s="9" t="s">
        <v>52</v>
      </c>
      <c r="C159" s="9">
        <v>688</v>
      </c>
      <c r="D159" s="9">
        <v>254</v>
      </c>
      <c r="E159" s="9">
        <v>570</v>
      </c>
      <c r="F159" s="9">
        <v>44.3</v>
      </c>
      <c r="G159" s="9">
        <v>304</v>
      </c>
      <c r="H159" s="8">
        <v>35.299999999999997</v>
      </c>
      <c r="I159" s="8">
        <v>68</v>
      </c>
      <c r="J159" s="8">
        <v>74</v>
      </c>
      <c r="K159" s="8">
        <v>90.9</v>
      </c>
      <c r="L159" s="9">
        <v>74</v>
      </c>
      <c r="M159" s="8">
        <v>8.8000000000000007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1"/>
    </row>
    <row r="160" spans="1:38" ht="13">
      <c r="A160" s="8" t="s">
        <v>359</v>
      </c>
      <c r="B160" s="9" t="s">
        <v>88</v>
      </c>
      <c r="C160" s="9">
        <v>688</v>
      </c>
      <c r="D160" s="9">
        <v>256</v>
      </c>
      <c r="E160" s="9">
        <v>552</v>
      </c>
      <c r="F160" s="9">
        <v>45.4</v>
      </c>
      <c r="G160" s="9">
        <v>264</v>
      </c>
      <c r="H160" s="8">
        <v>36.1</v>
      </c>
      <c r="I160" s="8">
        <v>88</v>
      </c>
      <c r="J160" s="8">
        <v>112</v>
      </c>
      <c r="K160" s="8">
        <v>81.5</v>
      </c>
      <c r="L160" s="9">
        <v>56</v>
      </c>
      <c r="M160" s="8">
        <v>7.9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1"/>
    </row>
    <row r="161" spans="1:38" ht="13">
      <c r="A161" s="8" t="s">
        <v>361</v>
      </c>
      <c r="B161" s="9" t="s">
        <v>68</v>
      </c>
      <c r="C161" s="9">
        <v>684</v>
      </c>
      <c r="D161" s="9">
        <v>274</v>
      </c>
      <c r="E161" s="9">
        <v>559</v>
      </c>
      <c r="F161" s="9">
        <v>48.7</v>
      </c>
      <c r="G161" s="9">
        <v>182</v>
      </c>
      <c r="H161" s="8">
        <v>34.200000000000003</v>
      </c>
      <c r="I161" s="8">
        <v>80</v>
      </c>
      <c r="J161" s="8">
        <v>103</v>
      </c>
      <c r="K161" s="8">
        <v>76</v>
      </c>
      <c r="L161" s="9">
        <v>125</v>
      </c>
      <c r="M161" s="8">
        <v>11.7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1"/>
    </row>
    <row r="162" spans="1:38" ht="13">
      <c r="A162" s="8" t="s">
        <v>363</v>
      </c>
      <c r="B162" s="9" t="s">
        <v>88</v>
      </c>
      <c r="C162" s="9">
        <v>683</v>
      </c>
      <c r="D162" s="9">
        <v>255</v>
      </c>
      <c r="E162" s="9">
        <v>607</v>
      </c>
      <c r="F162" s="9">
        <v>42.5</v>
      </c>
      <c r="G162" s="9">
        <v>393</v>
      </c>
      <c r="H162" s="8">
        <v>33.799999999999997</v>
      </c>
      <c r="I162" s="8">
        <v>35</v>
      </c>
      <c r="J162" s="8">
        <v>48</v>
      </c>
      <c r="K162" s="8">
        <v>71.400000000000006</v>
      </c>
      <c r="L162" s="9">
        <v>28</v>
      </c>
      <c r="M162" s="8">
        <v>7.3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1"/>
    </row>
    <row r="163" spans="1:38" ht="13">
      <c r="A163" s="8" t="s">
        <v>365</v>
      </c>
      <c r="B163" s="9" t="s">
        <v>54</v>
      </c>
      <c r="C163" s="9">
        <v>683</v>
      </c>
      <c r="D163" s="9">
        <v>240</v>
      </c>
      <c r="E163" s="9">
        <v>570</v>
      </c>
      <c r="F163" s="9">
        <v>42.3</v>
      </c>
      <c r="G163" s="9">
        <v>443</v>
      </c>
      <c r="H163" s="8">
        <v>40.6</v>
      </c>
      <c r="I163" s="8">
        <v>23</v>
      </c>
      <c r="J163" s="8">
        <v>23</v>
      </c>
      <c r="K163" s="8">
        <v>73.099999999999994</v>
      </c>
      <c r="L163" s="9">
        <v>53</v>
      </c>
      <c r="M163" s="8">
        <v>8.5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1"/>
    </row>
    <row r="164" spans="1:38" ht="13">
      <c r="A164" s="8" t="s">
        <v>367</v>
      </c>
      <c r="B164" s="9" t="s">
        <v>50</v>
      </c>
      <c r="C164" s="9">
        <v>681</v>
      </c>
      <c r="D164" s="9">
        <v>279</v>
      </c>
      <c r="E164" s="9">
        <v>593</v>
      </c>
      <c r="F164" s="9">
        <v>46.6</v>
      </c>
      <c r="G164" s="9">
        <v>176</v>
      </c>
      <c r="H164" s="8">
        <v>36.5</v>
      </c>
      <c r="I164" s="8">
        <v>59</v>
      </c>
      <c r="J164" s="8">
        <v>74</v>
      </c>
      <c r="K164" s="8">
        <v>83.6</v>
      </c>
      <c r="L164" s="9">
        <v>88</v>
      </c>
      <c r="M164" s="8">
        <v>13.1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1"/>
    </row>
    <row r="165" spans="1:38" ht="13">
      <c r="A165" s="8" t="s">
        <v>369</v>
      </c>
      <c r="B165" s="9" t="s">
        <v>58</v>
      </c>
      <c r="C165" s="9">
        <v>680</v>
      </c>
      <c r="D165" s="9">
        <v>270</v>
      </c>
      <c r="E165" s="9">
        <v>544</v>
      </c>
      <c r="F165" s="9">
        <v>50</v>
      </c>
      <c r="G165" s="9">
        <v>140</v>
      </c>
      <c r="H165" s="8">
        <v>31.2</v>
      </c>
      <c r="I165" s="8">
        <v>94</v>
      </c>
      <c r="J165" s="8">
        <v>126</v>
      </c>
      <c r="K165" s="8">
        <v>74.599999999999994</v>
      </c>
      <c r="L165" s="9">
        <v>61</v>
      </c>
      <c r="M165" s="8">
        <v>13.5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1"/>
    </row>
    <row r="166" spans="1:38" ht="13">
      <c r="A166" s="8" t="s">
        <v>371</v>
      </c>
      <c r="B166" s="9" t="s">
        <v>56</v>
      </c>
      <c r="C166" s="9">
        <v>678</v>
      </c>
      <c r="D166" s="9">
        <v>250</v>
      </c>
      <c r="E166" s="9">
        <v>634</v>
      </c>
      <c r="F166" s="9">
        <v>39.1</v>
      </c>
      <c r="G166" s="9">
        <v>307</v>
      </c>
      <c r="H166" s="8">
        <v>29.5</v>
      </c>
      <c r="I166" s="8">
        <v>90</v>
      </c>
      <c r="J166" s="8">
        <v>109</v>
      </c>
      <c r="K166" s="8">
        <v>85.2</v>
      </c>
      <c r="L166" s="9">
        <v>45</v>
      </c>
      <c r="M166" s="8">
        <v>7.8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1"/>
    </row>
    <row r="167" spans="1:38" ht="13">
      <c r="A167" s="8" t="s">
        <v>373</v>
      </c>
      <c r="B167" s="9" t="s">
        <v>54</v>
      </c>
      <c r="C167" s="9">
        <v>678</v>
      </c>
      <c r="D167" s="9">
        <v>218</v>
      </c>
      <c r="E167" s="9">
        <v>486</v>
      </c>
      <c r="F167" s="9">
        <v>44.8</v>
      </c>
      <c r="G167" s="9">
        <v>352</v>
      </c>
      <c r="H167" s="8">
        <v>42.6</v>
      </c>
      <c r="I167" s="8">
        <v>96</v>
      </c>
      <c r="J167" s="8">
        <v>115</v>
      </c>
      <c r="K167" s="8">
        <v>81.599999999999994</v>
      </c>
      <c r="L167" s="9">
        <v>32</v>
      </c>
      <c r="M167" s="8">
        <v>8.4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1"/>
    </row>
    <row r="168" spans="1:38" ht="13">
      <c r="A168" s="8" t="s">
        <v>375</v>
      </c>
      <c r="B168" s="9" t="s">
        <v>122</v>
      </c>
      <c r="C168" s="9">
        <v>677</v>
      </c>
      <c r="D168" s="9">
        <v>216</v>
      </c>
      <c r="E168" s="9">
        <v>573</v>
      </c>
      <c r="F168" s="9">
        <v>37.299999999999997</v>
      </c>
      <c r="G168" s="9">
        <v>296</v>
      </c>
      <c r="H168" s="8">
        <v>36.5</v>
      </c>
      <c r="I168" s="8">
        <v>141</v>
      </c>
      <c r="J168" s="8">
        <v>165</v>
      </c>
      <c r="K168" s="8">
        <v>84.9</v>
      </c>
      <c r="L168" s="9">
        <v>28</v>
      </c>
      <c r="M168" s="8">
        <v>7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1"/>
    </row>
    <row r="169" spans="1:38" ht="13">
      <c r="A169" s="8" t="s">
        <v>377</v>
      </c>
      <c r="B169" s="8" t="s">
        <v>140</v>
      </c>
      <c r="C169" s="9">
        <v>673</v>
      </c>
      <c r="D169" s="9">
        <v>268</v>
      </c>
      <c r="E169" s="9">
        <v>449</v>
      </c>
      <c r="F169" s="9">
        <v>60.4</v>
      </c>
      <c r="G169" s="9">
        <v>4</v>
      </c>
      <c r="H169" s="8">
        <v>0</v>
      </c>
      <c r="I169" s="8">
        <v>132</v>
      </c>
      <c r="J169" s="8">
        <v>163</v>
      </c>
      <c r="K169" s="8">
        <v>80.400000000000006</v>
      </c>
      <c r="L169" s="9">
        <v>132</v>
      </c>
      <c r="M169" s="8">
        <v>15.6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1"/>
    </row>
    <row r="170" spans="1:38" ht="13">
      <c r="A170" s="8" t="s">
        <v>379</v>
      </c>
      <c r="B170" s="9" t="s">
        <v>98</v>
      </c>
      <c r="C170" s="9">
        <v>670</v>
      </c>
      <c r="D170" s="9">
        <v>239</v>
      </c>
      <c r="E170" s="9">
        <v>547</v>
      </c>
      <c r="F170" s="9">
        <v>43.9</v>
      </c>
      <c r="G170" s="9">
        <v>331</v>
      </c>
      <c r="H170" s="8">
        <v>34.200000000000003</v>
      </c>
      <c r="I170" s="8">
        <v>85</v>
      </c>
      <c r="J170" s="8">
        <v>92</v>
      </c>
      <c r="K170" s="8">
        <v>86.3</v>
      </c>
      <c r="L170" s="9">
        <v>31</v>
      </c>
      <c r="M170" s="8">
        <v>6.5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1"/>
    </row>
    <row r="171" spans="1:38" ht="13">
      <c r="A171" s="8" t="s">
        <v>381</v>
      </c>
      <c r="B171" s="9" t="s">
        <v>146</v>
      </c>
      <c r="C171" s="9">
        <v>666</v>
      </c>
      <c r="D171" s="9">
        <v>269</v>
      </c>
      <c r="E171" s="9">
        <v>531</v>
      </c>
      <c r="F171" s="9">
        <v>49.8</v>
      </c>
      <c r="G171" s="9">
        <v>256</v>
      </c>
      <c r="H171" s="8">
        <v>39.9</v>
      </c>
      <c r="I171" s="8">
        <v>32</v>
      </c>
      <c r="J171" s="8">
        <v>51</v>
      </c>
      <c r="K171" s="8">
        <v>70.8</v>
      </c>
      <c r="L171" s="9">
        <v>64</v>
      </c>
      <c r="M171" s="8">
        <v>8.1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1"/>
    </row>
    <row r="172" spans="1:38" ht="13">
      <c r="A172" s="8" t="s">
        <v>383</v>
      </c>
      <c r="B172" s="8" t="s">
        <v>164</v>
      </c>
      <c r="C172" s="9">
        <v>664</v>
      </c>
      <c r="D172" s="9">
        <v>270</v>
      </c>
      <c r="E172" s="9">
        <v>489</v>
      </c>
      <c r="F172" s="9">
        <v>54.7</v>
      </c>
      <c r="G172" s="8">
        <v>0</v>
      </c>
      <c r="H172" s="8">
        <v>0</v>
      </c>
      <c r="I172" s="8">
        <v>124</v>
      </c>
      <c r="J172" s="8">
        <v>204</v>
      </c>
      <c r="K172" s="8">
        <v>62.3</v>
      </c>
      <c r="L172" s="9">
        <v>256</v>
      </c>
      <c r="M172" s="8">
        <v>9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1"/>
    </row>
    <row r="173" spans="1:38" ht="13">
      <c r="A173" s="8" t="s">
        <v>385</v>
      </c>
      <c r="B173" s="9" t="s">
        <v>116</v>
      </c>
      <c r="C173" s="9">
        <v>664</v>
      </c>
      <c r="D173" s="9">
        <v>246</v>
      </c>
      <c r="E173" s="9">
        <v>570</v>
      </c>
      <c r="F173" s="9">
        <v>43</v>
      </c>
      <c r="G173" s="9">
        <v>267</v>
      </c>
      <c r="H173" s="8">
        <v>35.799999999999997</v>
      </c>
      <c r="I173" s="8">
        <v>78</v>
      </c>
      <c r="J173" s="8">
        <v>98</v>
      </c>
      <c r="K173" s="8">
        <v>81.400000000000006</v>
      </c>
      <c r="L173" s="9">
        <v>25</v>
      </c>
      <c r="M173" s="8">
        <v>10.6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1"/>
    </row>
    <row r="174" spans="1:38" ht="13">
      <c r="A174" s="8" t="s">
        <v>387</v>
      </c>
      <c r="B174" s="9" t="s">
        <v>66</v>
      </c>
      <c r="C174" s="9">
        <v>664</v>
      </c>
      <c r="D174" s="9">
        <v>224</v>
      </c>
      <c r="E174" s="9">
        <v>464</v>
      </c>
      <c r="F174" s="9">
        <v>48.9</v>
      </c>
      <c r="G174" s="9">
        <v>320</v>
      </c>
      <c r="H174" s="8">
        <v>43.3</v>
      </c>
      <c r="I174" s="8">
        <v>72</v>
      </c>
      <c r="J174" s="8">
        <v>88</v>
      </c>
      <c r="K174" s="8">
        <v>84.9</v>
      </c>
      <c r="L174" s="9">
        <v>64</v>
      </c>
      <c r="M174" s="8">
        <v>7.3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1"/>
    </row>
    <row r="175" spans="1:38" ht="13">
      <c r="A175" s="8" t="s">
        <v>389</v>
      </c>
      <c r="B175" s="9" t="s">
        <v>50</v>
      </c>
      <c r="C175" s="9">
        <v>656</v>
      </c>
      <c r="D175" s="9">
        <v>232</v>
      </c>
      <c r="E175" s="9">
        <v>512</v>
      </c>
      <c r="F175" s="9">
        <v>45.7</v>
      </c>
      <c r="G175" s="9">
        <v>336</v>
      </c>
      <c r="H175" s="8">
        <v>43.9</v>
      </c>
      <c r="I175" s="8">
        <v>40</v>
      </c>
      <c r="J175" s="8">
        <v>48</v>
      </c>
      <c r="K175" s="8">
        <v>81.3</v>
      </c>
      <c r="L175" s="9">
        <v>32</v>
      </c>
      <c r="M175" s="8">
        <v>6.4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1"/>
    </row>
    <row r="176" spans="1:38" ht="13">
      <c r="A176" s="8" t="s">
        <v>391</v>
      </c>
      <c r="B176" s="9" t="s">
        <v>84</v>
      </c>
      <c r="C176" s="9">
        <v>650</v>
      </c>
      <c r="D176" s="9">
        <v>247</v>
      </c>
      <c r="E176" s="9">
        <v>540</v>
      </c>
      <c r="F176" s="9">
        <v>45.8</v>
      </c>
      <c r="G176" s="9">
        <v>176</v>
      </c>
      <c r="H176" s="8">
        <v>29.1</v>
      </c>
      <c r="I176" s="8">
        <v>111</v>
      </c>
      <c r="J176" s="8">
        <v>137</v>
      </c>
      <c r="K176" s="8">
        <v>79.400000000000006</v>
      </c>
      <c r="L176" s="9">
        <v>33</v>
      </c>
      <c r="M176" s="8">
        <v>8.1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1"/>
    </row>
    <row r="177" spans="1:38" ht="13">
      <c r="A177" s="8" t="s">
        <v>393</v>
      </c>
      <c r="B177" s="9" t="s">
        <v>170</v>
      </c>
      <c r="C177" s="9">
        <v>644</v>
      </c>
      <c r="D177" s="9">
        <v>278</v>
      </c>
      <c r="E177" s="9">
        <v>418</v>
      </c>
      <c r="F177" s="9">
        <v>66.3</v>
      </c>
      <c r="G177" s="9">
        <v>35</v>
      </c>
      <c r="H177" s="8">
        <v>17.600000000000001</v>
      </c>
      <c r="I177" s="8">
        <v>81</v>
      </c>
      <c r="J177" s="8">
        <v>151</v>
      </c>
      <c r="K177" s="8">
        <v>52</v>
      </c>
      <c r="L177" s="9">
        <v>267</v>
      </c>
      <c r="M177" s="8">
        <v>12.7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1"/>
    </row>
    <row r="178" spans="1:38" ht="13">
      <c r="A178" s="8" t="s">
        <v>395</v>
      </c>
      <c r="B178" s="8" t="s">
        <v>44</v>
      </c>
      <c r="C178" s="9">
        <v>638</v>
      </c>
      <c r="D178" s="9">
        <v>279</v>
      </c>
      <c r="E178" s="9">
        <v>479</v>
      </c>
      <c r="F178" s="9">
        <v>58.1</v>
      </c>
      <c r="G178" s="9">
        <v>17</v>
      </c>
      <c r="H178" s="8">
        <v>0</v>
      </c>
      <c r="I178" s="8">
        <v>80</v>
      </c>
      <c r="J178" s="8">
        <v>120</v>
      </c>
      <c r="K178" s="8">
        <v>67.5</v>
      </c>
      <c r="L178" s="9">
        <v>165</v>
      </c>
      <c r="M178" s="8">
        <v>13.8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1"/>
    </row>
    <row r="179" spans="1:38" ht="13">
      <c r="A179" s="8" t="s">
        <v>397</v>
      </c>
      <c r="B179" s="9" t="s">
        <v>196</v>
      </c>
      <c r="C179" s="9">
        <v>630</v>
      </c>
      <c r="D179" s="9">
        <v>214</v>
      </c>
      <c r="E179" s="9">
        <v>523</v>
      </c>
      <c r="F179" s="9">
        <v>41.2</v>
      </c>
      <c r="G179" s="9">
        <v>302</v>
      </c>
      <c r="H179" s="8">
        <v>34.1</v>
      </c>
      <c r="I179" s="8">
        <v>101</v>
      </c>
      <c r="J179" s="8">
        <v>126</v>
      </c>
      <c r="K179" s="8">
        <v>82.1</v>
      </c>
      <c r="L179" s="9">
        <v>63</v>
      </c>
      <c r="M179" s="8">
        <v>8.1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1"/>
    </row>
    <row r="180" spans="1:38" ht="13">
      <c r="A180" s="8" t="s">
        <v>399</v>
      </c>
      <c r="B180" s="9" t="s">
        <v>98</v>
      </c>
      <c r="C180" s="9">
        <v>630</v>
      </c>
      <c r="D180" s="9">
        <v>228</v>
      </c>
      <c r="E180" s="9">
        <v>543</v>
      </c>
      <c r="F180" s="9">
        <v>42.4</v>
      </c>
      <c r="G180" s="9">
        <v>221</v>
      </c>
      <c r="H180" s="8">
        <v>35.299999999999997</v>
      </c>
      <c r="I180" s="8">
        <v>94</v>
      </c>
      <c r="J180" s="8">
        <v>114</v>
      </c>
      <c r="K180" s="8">
        <v>82.3</v>
      </c>
      <c r="L180" s="9">
        <v>47</v>
      </c>
      <c r="M180" s="8">
        <v>10.5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1"/>
    </row>
    <row r="181" spans="1:38" ht="13">
      <c r="A181" s="8" t="s">
        <v>401</v>
      </c>
      <c r="B181" s="9" t="s">
        <v>98</v>
      </c>
      <c r="C181" s="9">
        <v>619</v>
      </c>
      <c r="D181" s="9">
        <v>224</v>
      </c>
      <c r="E181" s="9">
        <v>490</v>
      </c>
      <c r="F181" s="9">
        <v>46</v>
      </c>
      <c r="G181" s="9">
        <v>156</v>
      </c>
      <c r="H181" s="8">
        <v>23.4</v>
      </c>
      <c r="I181" s="8">
        <v>129</v>
      </c>
      <c r="J181" s="8">
        <v>177</v>
      </c>
      <c r="K181" s="8">
        <v>73.7</v>
      </c>
      <c r="L181" s="9">
        <v>150</v>
      </c>
      <c r="M181" s="8">
        <v>9.9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1"/>
    </row>
    <row r="182" spans="1:38" ht="13">
      <c r="A182" s="8" t="s">
        <v>403</v>
      </c>
      <c r="B182" s="9" t="s">
        <v>170</v>
      </c>
      <c r="C182" s="9">
        <v>618</v>
      </c>
      <c r="D182" s="9">
        <v>234</v>
      </c>
      <c r="E182" s="9">
        <v>554</v>
      </c>
      <c r="F182" s="9">
        <v>42.2</v>
      </c>
      <c r="G182" s="9">
        <v>170</v>
      </c>
      <c r="H182" s="8">
        <v>24.9</v>
      </c>
      <c r="I182" s="8">
        <v>107</v>
      </c>
      <c r="J182" s="8">
        <v>156</v>
      </c>
      <c r="K182" s="8">
        <v>68.2</v>
      </c>
      <c r="L182" s="9">
        <v>36</v>
      </c>
      <c r="M182" s="8">
        <v>7.7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1"/>
    </row>
    <row r="183" spans="1:38" ht="13">
      <c r="A183" s="8" t="s">
        <v>405</v>
      </c>
      <c r="B183" s="9" t="s">
        <v>94</v>
      </c>
      <c r="C183" s="9">
        <v>616</v>
      </c>
      <c r="D183" s="9">
        <v>248</v>
      </c>
      <c r="E183" s="9">
        <v>470</v>
      </c>
      <c r="F183" s="9">
        <v>53.5</v>
      </c>
      <c r="G183" s="9">
        <v>92</v>
      </c>
      <c r="H183" s="8">
        <v>30.8</v>
      </c>
      <c r="I183" s="8">
        <v>86</v>
      </c>
      <c r="J183" s="8">
        <v>124</v>
      </c>
      <c r="K183" s="8">
        <v>69.599999999999994</v>
      </c>
      <c r="L183" s="9">
        <v>130</v>
      </c>
      <c r="M183" s="8">
        <v>10.1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1"/>
    </row>
    <row r="184" spans="1:38" ht="13">
      <c r="A184" s="8" t="s">
        <v>407</v>
      </c>
      <c r="B184" s="9" t="s">
        <v>70</v>
      </c>
      <c r="C184" s="9">
        <v>612</v>
      </c>
      <c r="D184" s="9">
        <v>218</v>
      </c>
      <c r="E184" s="9">
        <v>510</v>
      </c>
      <c r="F184" s="9">
        <v>42.4</v>
      </c>
      <c r="G184" s="9">
        <v>245</v>
      </c>
      <c r="H184" s="8">
        <v>32.5</v>
      </c>
      <c r="I184" s="8">
        <v>102</v>
      </c>
      <c r="J184" s="8">
        <v>150</v>
      </c>
      <c r="K184" s="8">
        <v>68.7</v>
      </c>
      <c r="L184" s="9">
        <v>75</v>
      </c>
      <c r="M184" s="8">
        <v>8.8000000000000007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1"/>
    </row>
    <row r="185" spans="1:38" ht="13">
      <c r="A185" s="8" t="s">
        <v>409</v>
      </c>
      <c r="B185" s="9" t="s">
        <v>64</v>
      </c>
      <c r="C185" s="9">
        <v>608</v>
      </c>
      <c r="D185" s="9">
        <v>224</v>
      </c>
      <c r="E185" s="9">
        <v>544</v>
      </c>
      <c r="F185" s="9">
        <v>40.6</v>
      </c>
      <c r="G185" s="9">
        <v>314</v>
      </c>
      <c r="H185" s="8">
        <v>36.9</v>
      </c>
      <c r="I185" s="8">
        <v>51</v>
      </c>
      <c r="J185" s="8">
        <v>64</v>
      </c>
      <c r="K185" s="8">
        <v>81.3</v>
      </c>
      <c r="L185" s="9">
        <v>45</v>
      </c>
      <c r="M185" s="8">
        <v>7.7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1"/>
    </row>
    <row r="186" spans="1:38" ht="13">
      <c r="A186" s="8" t="s">
        <v>411</v>
      </c>
      <c r="B186" s="9" t="s">
        <v>82</v>
      </c>
      <c r="C186" s="9">
        <v>607</v>
      </c>
      <c r="D186" s="9">
        <v>251</v>
      </c>
      <c r="E186" s="9">
        <v>436</v>
      </c>
      <c r="F186" s="9">
        <v>58</v>
      </c>
      <c r="G186" s="9">
        <v>53</v>
      </c>
      <c r="H186" s="8">
        <v>34.6</v>
      </c>
      <c r="I186" s="8">
        <v>92</v>
      </c>
      <c r="J186" s="8">
        <v>125</v>
      </c>
      <c r="K186" s="8">
        <v>70.900000000000006</v>
      </c>
      <c r="L186" s="9">
        <v>231</v>
      </c>
      <c r="M186" s="8">
        <v>11.1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1"/>
    </row>
    <row r="187" spans="1:38" ht="13">
      <c r="A187" s="8" t="s">
        <v>413</v>
      </c>
      <c r="B187" s="9" t="s">
        <v>164</v>
      </c>
      <c r="C187" s="9">
        <v>605</v>
      </c>
      <c r="D187" s="9">
        <v>207</v>
      </c>
      <c r="E187" s="9">
        <v>554</v>
      </c>
      <c r="F187" s="9">
        <v>37.200000000000003</v>
      </c>
      <c r="G187" s="9">
        <v>330</v>
      </c>
      <c r="H187" s="8">
        <v>33.1</v>
      </c>
      <c r="I187" s="8">
        <v>78</v>
      </c>
      <c r="J187" s="8">
        <v>101</v>
      </c>
      <c r="K187" s="8">
        <v>81.599999999999994</v>
      </c>
      <c r="L187" s="9">
        <v>22</v>
      </c>
      <c r="M187" s="8">
        <v>6.6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1"/>
    </row>
    <row r="188" spans="1:38" ht="13">
      <c r="A188" s="8" t="s">
        <v>415</v>
      </c>
      <c r="B188" s="9" t="s">
        <v>52</v>
      </c>
      <c r="C188" s="9">
        <v>604</v>
      </c>
      <c r="D188" s="9">
        <v>213</v>
      </c>
      <c r="E188" s="9">
        <v>476</v>
      </c>
      <c r="F188" s="9">
        <v>45.1</v>
      </c>
      <c r="G188" s="9">
        <v>398</v>
      </c>
      <c r="H188" s="8">
        <v>41.6</v>
      </c>
      <c r="I188" s="8">
        <v>14</v>
      </c>
      <c r="J188" s="8">
        <v>14</v>
      </c>
      <c r="K188" s="8">
        <v>100</v>
      </c>
      <c r="L188" s="9">
        <v>43</v>
      </c>
      <c r="M188" s="8">
        <v>8.3000000000000007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1"/>
    </row>
    <row r="189" spans="1:38" ht="13">
      <c r="A189" s="8" t="s">
        <v>417</v>
      </c>
      <c r="B189" s="9" t="s">
        <v>196</v>
      </c>
      <c r="C189" s="9">
        <v>600</v>
      </c>
      <c r="D189" s="9">
        <v>200</v>
      </c>
      <c r="E189" s="9">
        <v>455</v>
      </c>
      <c r="F189" s="9">
        <v>43.8</v>
      </c>
      <c r="G189" s="9">
        <v>195</v>
      </c>
      <c r="H189" s="8">
        <v>34.9</v>
      </c>
      <c r="I189" s="8">
        <v>133</v>
      </c>
      <c r="J189" s="8">
        <v>150</v>
      </c>
      <c r="K189" s="8">
        <v>88.1</v>
      </c>
      <c r="L189" s="9">
        <v>15</v>
      </c>
      <c r="M189" s="8">
        <v>12.2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1"/>
    </row>
    <row r="190" spans="1:38" ht="13">
      <c r="A190" s="8" t="s">
        <v>419</v>
      </c>
      <c r="B190" s="9" t="s">
        <v>170</v>
      </c>
      <c r="C190" s="9">
        <v>599</v>
      </c>
      <c r="D190" s="9">
        <v>200</v>
      </c>
      <c r="E190" s="9">
        <v>492</v>
      </c>
      <c r="F190" s="9">
        <v>40.799999999999997</v>
      </c>
      <c r="G190" s="9">
        <v>233</v>
      </c>
      <c r="H190" s="8">
        <v>36.200000000000003</v>
      </c>
      <c r="I190" s="8">
        <v>115</v>
      </c>
      <c r="J190" s="8">
        <v>144</v>
      </c>
      <c r="K190" s="8">
        <v>79.7</v>
      </c>
      <c r="L190" s="9">
        <v>26</v>
      </c>
      <c r="M190" s="8">
        <v>10.199999999999999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1"/>
    </row>
    <row r="191" spans="1:38" ht="13">
      <c r="A191" s="8" t="s">
        <v>421</v>
      </c>
      <c r="B191" s="9" t="s">
        <v>60</v>
      </c>
      <c r="C191" s="9">
        <v>596</v>
      </c>
      <c r="D191" s="9">
        <v>248</v>
      </c>
      <c r="E191" s="9">
        <v>460</v>
      </c>
      <c r="F191" s="9">
        <v>53.5</v>
      </c>
      <c r="G191" s="9">
        <v>47</v>
      </c>
      <c r="H191" s="8">
        <v>22.4</v>
      </c>
      <c r="I191" s="8">
        <v>89</v>
      </c>
      <c r="J191" s="8">
        <v>142</v>
      </c>
      <c r="K191" s="8">
        <v>64.099999999999994</v>
      </c>
      <c r="L191" s="9">
        <v>112</v>
      </c>
      <c r="M191" s="8">
        <v>10.4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1"/>
    </row>
    <row r="192" spans="1:38" ht="13">
      <c r="A192" s="8" t="s">
        <v>423</v>
      </c>
      <c r="B192" s="9" t="s">
        <v>56</v>
      </c>
      <c r="C192" s="9">
        <v>595</v>
      </c>
      <c r="D192" s="9">
        <v>256</v>
      </c>
      <c r="E192" s="9">
        <v>467</v>
      </c>
      <c r="F192" s="9">
        <v>55.4</v>
      </c>
      <c r="G192" s="9">
        <v>109</v>
      </c>
      <c r="H192" s="8">
        <v>31.5</v>
      </c>
      <c r="I192" s="8">
        <v>45</v>
      </c>
      <c r="J192" s="8">
        <v>64</v>
      </c>
      <c r="K192" s="8">
        <v>68.7</v>
      </c>
      <c r="L192" s="9">
        <v>115</v>
      </c>
      <c r="M192" s="8">
        <v>11.9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1"/>
    </row>
    <row r="193" spans="1:38" ht="13">
      <c r="A193" s="8" t="s">
        <v>425</v>
      </c>
      <c r="B193" s="9" t="s">
        <v>140</v>
      </c>
      <c r="C193" s="9">
        <v>594</v>
      </c>
      <c r="D193" s="9">
        <v>222</v>
      </c>
      <c r="E193" s="9">
        <v>570</v>
      </c>
      <c r="F193" s="9">
        <v>39.1</v>
      </c>
      <c r="G193" s="9">
        <v>306</v>
      </c>
      <c r="H193" s="8">
        <v>34</v>
      </c>
      <c r="I193" s="8">
        <v>42</v>
      </c>
      <c r="J193" s="8">
        <v>48</v>
      </c>
      <c r="K193" s="8">
        <v>93.5</v>
      </c>
      <c r="L193" s="9">
        <v>12</v>
      </c>
      <c r="M193" s="8">
        <v>6.4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1"/>
    </row>
    <row r="194" spans="1:38" ht="13">
      <c r="A194" s="8" t="s">
        <v>427</v>
      </c>
      <c r="B194" s="9" t="s">
        <v>114</v>
      </c>
      <c r="C194" s="9">
        <v>592</v>
      </c>
      <c r="D194" s="9">
        <v>204</v>
      </c>
      <c r="E194" s="9">
        <v>544</v>
      </c>
      <c r="F194" s="9">
        <v>37.200000000000003</v>
      </c>
      <c r="G194" s="9">
        <v>354</v>
      </c>
      <c r="H194" s="8">
        <v>32.200000000000003</v>
      </c>
      <c r="I194" s="8">
        <v>68</v>
      </c>
      <c r="J194" s="8">
        <v>95</v>
      </c>
      <c r="K194" s="8">
        <v>75.3</v>
      </c>
      <c r="L194" s="9">
        <v>48</v>
      </c>
      <c r="M194" s="8">
        <v>5.8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1"/>
    </row>
    <row r="195" spans="1:38" ht="13">
      <c r="A195" s="8" t="s">
        <v>429</v>
      </c>
      <c r="B195" s="9" t="s">
        <v>48</v>
      </c>
      <c r="C195" s="9">
        <v>585</v>
      </c>
      <c r="D195" s="9">
        <v>208</v>
      </c>
      <c r="E195" s="9">
        <v>488</v>
      </c>
      <c r="F195" s="9">
        <v>43.2</v>
      </c>
      <c r="G195" s="9">
        <v>267</v>
      </c>
      <c r="H195" s="8">
        <v>34.9</v>
      </c>
      <c r="I195" s="8">
        <v>72</v>
      </c>
      <c r="J195" s="8">
        <v>91</v>
      </c>
      <c r="K195" s="8">
        <v>82.2</v>
      </c>
      <c r="L195" s="9">
        <v>20</v>
      </c>
      <c r="M195" s="8">
        <v>5.7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1"/>
    </row>
    <row r="196" spans="1:38" ht="13">
      <c r="A196" s="8" t="s">
        <v>431</v>
      </c>
      <c r="B196" s="9" t="s">
        <v>56</v>
      </c>
      <c r="C196" s="9">
        <v>585</v>
      </c>
      <c r="D196" s="9">
        <v>222</v>
      </c>
      <c r="E196" s="9">
        <v>474</v>
      </c>
      <c r="F196" s="9">
        <v>46.8</v>
      </c>
      <c r="G196" s="9">
        <v>215</v>
      </c>
      <c r="H196" s="8">
        <v>39.799999999999997</v>
      </c>
      <c r="I196" s="8">
        <v>59</v>
      </c>
      <c r="J196" s="8">
        <v>81</v>
      </c>
      <c r="K196" s="8">
        <v>69</v>
      </c>
      <c r="L196" s="9">
        <v>37</v>
      </c>
      <c r="M196" s="8">
        <v>6.9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1"/>
    </row>
    <row r="197" spans="1:38" ht="13">
      <c r="A197" s="8" t="s">
        <v>433</v>
      </c>
      <c r="B197" s="9" t="s">
        <v>62</v>
      </c>
      <c r="C197" s="9">
        <v>583</v>
      </c>
      <c r="D197" s="9">
        <v>211</v>
      </c>
      <c r="E197" s="9">
        <v>491</v>
      </c>
      <c r="F197" s="9">
        <v>42.7</v>
      </c>
      <c r="G197" s="9">
        <v>292</v>
      </c>
      <c r="H197" s="8">
        <v>36.299999999999997</v>
      </c>
      <c r="I197" s="8">
        <v>59</v>
      </c>
      <c r="J197" s="8">
        <v>65</v>
      </c>
      <c r="K197" s="8">
        <v>87.9</v>
      </c>
      <c r="L197" s="9">
        <v>22</v>
      </c>
      <c r="M197" s="8">
        <v>7.4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1"/>
    </row>
    <row r="198" spans="1:38" ht="13">
      <c r="A198" s="8" t="s">
        <v>435</v>
      </c>
      <c r="B198" s="9" t="s">
        <v>46</v>
      </c>
      <c r="C198" s="9">
        <v>582</v>
      </c>
      <c r="D198" s="9">
        <v>185</v>
      </c>
      <c r="E198" s="9">
        <v>469</v>
      </c>
      <c r="F198" s="9">
        <v>40</v>
      </c>
      <c r="G198" s="9">
        <v>312</v>
      </c>
      <c r="H198" s="8">
        <v>41</v>
      </c>
      <c r="I198" s="8">
        <v>78</v>
      </c>
      <c r="J198" s="8">
        <v>92</v>
      </c>
      <c r="K198" s="8">
        <v>90</v>
      </c>
      <c r="L198" s="9">
        <v>36</v>
      </c>
      <c r="M198" s="8">
        <v>9.1999999999999993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1"/>
    </row>
    <row r="199" spans="1:38" ht="13">
      <c r="A199" s="8" t="s">
        <v>437</v>
      </c>
      <c r="B199" s="9" t="s">
        <v>82</v>
      </c>
      <c r="C199" s="9">
        <v>579</v>
      </c>
      <c r="D199" s="9">
        <v>208</v>
      </c>
      <c r="E199" s="9">
        <v>429</v>
      </c>
      <c r="F199" s="9">
        <v>47.8</v>
      </c>
      <c r="G199" s="9">
        <v>260</v>
      </c>
      <c r="H199" s="8">
        <v>43.3</v>
      </c>
      <c r="I199" s="8">
        <v>52</v>
      </c>
      <c r="J199" s="8">
        <v>59</v>
      </c>
      <c r="K199" s="8">
        <v>89.5</v>
      </c>
      <c r="L199" s="9">
        <v>39</v>
      </c>
      <c r="M199" s="8">
        <v>9.3000000000000007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1"/>
    </row>
    <row r="200" spans="1:38" ht="13">
      <c r="A200" s="8" t="s">
        <v>439</v>
      </c>
      <c r="B200" s="9" t="s">
        <v>164</v>
      </c>
      <c r="C200" s="9">
        <v>577</v>
      </c>
      <c r="D200" s="9">
        <v>202</v>
      </c>
      <c r="E200" s="9">
        <v>521</v>
      </c>
      <c r="F200" s="9">
        <v>39.200000000000003</v>
      </c>
      <c r="G200" s="9">
        <v>308</v>
      </c>
      <c r="H200" s="8">
        <v>35.9</v>
      </c>
      <c r="I200" s="8">
        <v>62</v>
      </c>
      <c r="J200" s="8">
        <v>73</v>
      </c>
      <c r="K200" s="8">
        <v>81.099999999999994</v>
      </c>
      <c r="L200" s="9">
        <v>28</v>
      </c>
      <c r="M200" s="8">
        <v>9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1"/>
    </row>
    <row r="201" spans="1:38" ht="13">
      <c r="A201" s="8" t="s">
        <v>441</v>
      </c>
      <c r="B201" s="9" t="s">
        <v>122</v>
      </c>
      <c r="C201" s="9">
        <v>576</v>
      </c>
      <c r="D201" s="9">
        <v>264</v>
      </c>
      <c r="E201" s="9">
        <v>468</v>
      </c>
      <c r="F201" s="9">
        <v>56.6</v>
      </c>
      <c r="G201" s="9">
        <v>32</v>
      </c>
      <c r="H201" s="8">
        <v>18.8</v>
      </c>
      <c r="I201" s="8">
        <v>40</v>
      </c>
      <c r="J201" s="8">
        <v>60</v>
      </c>
      <c r="K201" s="8">
        <v>66.7</v>
      </c>
      <c r="L201" s="9">
        <v>124</v>
      </c>
      <c r="M201" s="8">
        <v>12.5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1"/>
    </row>
    <row r="202" spans="1:38" ht="13">
      <c r="A202" s="8" t="s">
        <v>443</v>
      </c>
      <c r="B202" s="9" t="s">
        <v>44</v>
      </c>
      <c r="C202" s="9">
        <v>571</v>
      </c>
      <c r="D202" s="9">
        <v>231</v>
      </c>
      <c r="E202" s="9">
        <v>490</v>
      </c>
      <c r="F202" s="9">
        <v>47.4</v>
      </c>
      <c r="G202" s="9">
        <v>211</v>
      </c>
      <c r="H202" s="8">
        <v>35.6</v>
      </c>
      <c r="I202" s="8">
        <v>27</v>
      </c>
      <c r="J202" s="8">
        <v>34</v>
      </c>
      <c r="K202" s="8">
        <v>81.099999999999994</v>
      </c>
      <c r="L202" s="9">
        <v>68</v>
      </c>
      <c r="M202" s="8">
        <v>7.5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1"/>
    </row>
    <row r="203" spans="1:38" ht="13">
      <c r="A203" s="8" t="s">
        <v>445</v>
      </c>
      <c r="B203" s="9" t="s">
        <v>170</v>
      </c>
      <c r="C203" s="9">
        <v>570</v>
      </c>
      <c r="D203" s="9">
        <v>205</v>
      </c>
      <c r="E203" s="9">
        <v>474</v>
      </c>
      <c r="F203" s="9">
        <v>42.9</v>
      </c>
      <c r="G203" s="9">
        <v>314</v>
      </c>
      <c r="H203" s="8">
        <v>37.6</v>
      </c>
      <c r="I203" s="8">
        <v>45</v>
      </c>
      <c r="J203" s="8">
        <v>51</v>
      </c>
      <c r="K203" s="8">
        <v>84.9</v>
      </c>
      <c r="L203" s="9">
        <v>45</v>
      </c>
      <c r="M203" s="8">
        <v>7.1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1"/>
    </row>
    <row r="204" spans="1:38" ht="13">
      <c r="A204" s="8" t="s">
        <v>447</v>
      </c>
      <c r="B204" s="9" t="s">
        <v>56</v>
      </c>
      <c r="C204" s="9">
        <v>568</v>
      </c>
      <c r="D204" s="9">
        <v>211</v>
      </c>
      <c r="E204" s="9">
        <v>462</v>
      </c>
      <c r="F204" s="9">
        <v>46.1</v>
      </c>
      <c r="G204" s="9">
        <v>119</v>
      </c>
      <c r="H204" s="8">
        <v>31.1</v>
      </c>
      <c r="I204" s="8">
        <v>106</v>
      </c>
      <c r="J204" s="8">
        <v>145</v>
      </c>
      <c r="K204" s="8">
        <v>75.400000000000006</v>
      </c>
      <c r="L204" s="9">
        <v>86</v>
      </c>
      <c r="M204" s="8">
        <v>9.8000000000000007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1"/>
    </row>
    <row r="205" spans="1:38" ht="13">
      <c r="A205" s="8" t="s">
        <v>449</v>
      </c>
      <c r="B205" s="9" t="s">
        <v>140</v>
      </c>
      <c r="C205" s="9">
        <v>567</v>
      </c>
      <c r="D205" s="9">
        <v>197</v>
      </c>
      <c r="E205" s="9">
        <v>491</v>
      </c>
      <c r="F205" s="9">
        <v>40.299999999999997</v>
      </c>
      <c r="G205" s="9">
        <v>294</v>
      </c>
      <c r="H205" s="8">
        <v>35.5</v>
      </c>
      <c r="I205" s="8">
        <v>68</v>
      </c>
      <c r="J205" s="8">
        <v>78</v>
      </c>
      <c r="K205" s="8">
        <v>86.1</v>
      </c>
      <c r="L205" s="9">
        <v>24</v>
      </c>
      <c r="M205" s="8">
        <v>10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1"/>
    </row>
    <row r="206" spans="1:38" ht="13">
      <c r="A206" s="8" t="s">
        <v>451</v>
      </c>
      <c r="B206" s="9" t="s">
        <v>88</v>
      </c>
      <c r="C206" s="9">
        <v>567</v>
      </c>
      <c r="D206" s="9">
        <v>208</v>
      </c>
      <c r="E206" s="9">
        <v>517</v>
      </c>
      <c r="F206" s="9">
        <v>39.700000000000003</v>
      </c>
      <c r="G206" s="9">
        <v>271</v>
      </c>
      <c r="H206" s="8">
        <v>35.299999999999997</v>
      </c>
      <c r="I206" s="8">
        <v>63</v>
      </c>
      <c r="J206" s="8">
        <v>82</v>
      </c>
      <c r="K206" s="8">
        <v>72.3</v>
      </c>
      <c r="L206" s="9">
        <v>44</v>
      </c>
      <c r="M206" s="8">
        <v>6.2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1"/>
    </row>
    <row r="207" spans="1:38" ht="13">
      <c r="A207" s="8" t="s">
        <v>453</v>
      </c>
      <c r="B207" s="9" t="s">
        <v>98</v>
      </c>
      <c r="C207" s="9">
        <v>567</v>
      </c>
      <c r="D207" s="9">
        <v>196</v>
      </c>
      <c r="E207" s="9">
        <v>480</v>
      </c>
      <c r="F207" s="9">
        <v>41</v>
      </c>
      <c r="G207" s="9">
        <v>242</v>
      </c>
      <c r="H207" s="8">
        <v>31.4</v>
      </c>
      <c r="I207" s="8">
        <v>98</v>
      </c>
      <c r="J207" s="8">
        <v>109</v>
      </c>
      <c r="K207" s="8">
        <v>88.2</v>
      </c>
      <c r="L207" s="9">
        <v>25</v>
      </c>
      <c r="M207" s="8">
        <v>10.7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1"/>
    </row>
    <row r="208" spans="1:38" ht="13">
      <c r="A208" s="8" t="s">
        <v>455</v>
      </c>
      <c r="B208" s="9" t="s">
        <v>88</v>
      </c>
      <c r="C208" s="9">
        <v>566</v>
      </c>
      <c r="D208" s="9">
        <v>221</v>
      </c>
      <c r="E208" s="9">
        <v>451</v>
      </c>
      <c r="F208" s="9">
        <v>49.2</v>
      </c>
      <c r="G208" s="9">
        <v>189</v>
      </c>
      <c r="H208" s="8">
        <v>32.799999999999997</v>
      </c>
      <c r="I208" s="8">
        <v>60</v>
      </c>
      <c r="J208" s="8">
        <v>78</v>
      </c>
      <c r="K208" s="8">
        <v>78.5</v>
      </c>
      <c r="L208" s="9">
        <v>28</v>
      </c>
      <c r="M208" s="8">
        <v>8.4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1"/>
    </row>
    <row r="209" spans="1:38" ht="13">
      <c r="A209" s="8" t="s">
        <v>457</v>
      </c>
      <c r="B209" s="9" t="s">
        <v>146</v>
      </c>
      <c r="C209" s="9">
        <v>564</v>
      </c>
      <c r="D209" s="9">
        <v>185</v>
      </c>
      <c r="E209" s="9">
        <v>439</v>
      </c>
      <c r="F209" s="9">
        <v>42</v>
      </c>
      <c r="G209" s="9">
        <v>224</v>
      </c>
      <c r="H209" s="8">
        <v>37.799999999999997</v>
      </c>
      <c r="I209" s="8">
        <v>112</v>
      </c>
      <c r="J209" s="8">
        <v>129</v>
      </c>
      <c r="K209" s="8">
        <v>86.7</v>
      </c>
      <c r="L209" s="9">
        <v>17</v>
      </c>
      <c r="M209" s="8">
        <v>12.8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1"/>
    </row>
    <row r="210" spans="1:38" ht="13">
      <c r="A210" s="8" t="s">
        <v>459</v>
      </c>
      <c r="B210" s="9" t="s">
        <v>122</v>
      </c>
      <c r="C210" s="9">
        <v>556</v>
      </c>
      <c r="D210" s="9">
        <v>201</v>
      </c>
      <c r="E210" s="9">
        <v>509</v>
      </c>
      <c r="F210" s="9">
        <v>39.1</v>
      </c>
      <c r="G210" s="9">
        <v>221</v>
      </c>
      <c r="H210" s="8">
        <v>32.4</v>
      </c>
      <c r="I210" s="8">
        <v>94</v>
      </c>
      <c r="J210" s="8">
        <v>127</v>
      </c>
      <c r="K210" s="8">
        <v>72.8</v>
      </c>
      <c r="L210" s="9">
        <v>27</v>
      </c>
      <c r="M210" s="8">
        <v>8.9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1"/>
    </row>
    <row r="211" spans="1:38" ht="13">
      <c r="A211" s="8" t="s">
        <v>461</v>
      </c>
      <c r="B211" s="9" t="s">
        <v>48</v>
      </c>
      <c r="C211" s="9">
        <v>551</v>
      </c>
      <c r="D211" s="9">
        <v>204</v>
      </c>
      <c r="E211" s="9">
        <v>428</v>
      </c>
      <c r="F211" s="9">
        <v>47.7</v>
      </c>
      <c r="G211" s="9">
        <v>136</v>
      </c>
      <c r="H211" s="8">
        <v>35.299999999999997</v>
      </c>
      <c r="I211" s="8">
        <v>95</v>
      </c>
      <c r="J211" s="8">
        <v>136</v>
      </c>
      <c r="K211" s="8">
        <v>69.3</v>
      </c>
      <c r="L211" s="9">
        <v>48</v>
      </c>
      <c r="M211" s="8">
        <v>6.6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1"/>
    </row>
    <row r="212" spans="1:38" ht="13">
      <c r="A212" s="8" t="s">
        <v>463</v>
      </c>
      <c r="B212" s="9" t="s">
        <v>74</v>
      </c>
      <c r="C212" s="9">
        <v>548</v>
      </c>
      <c r="D212" s="9">
        <v>195</v>
      </c>
      <c r="E212" s="9">
        <v>435</v>
      </c>
      <c r="F212" s="9">
        <v>44.8</v>
      </c>
      <c r="G212" s="9">
        <v>315</v>
      </c>
      <c r="H212" s="8">
        <v>41.1</v>
      </c>
      <c r="I212" s="8">
        <v>32</v>
      </c>
      <c r="J212" s="8">
        <v>44</v>
      </c>
      <c r="K212" s="8">
        <v>66.7</v>
      </c>
      <c r="L212" s="9">
        <v>82</v>
      </c>
      <c r="M212" s="8">
        <v>6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1"/>
    </row>
    <row r="213" spans="1:38" ht="13">
      <c r="A213" s="8" t="s">
        <v>465</v>
      </c>
      <c r="B213" s="9" t="s">
        <v>114</v>
      </c>
      <c r="C213" s="9">
        <v>546</v>
      </c>
      <c r="D213" s="9">
        <v>211</v>
      </c>
      <c r="E213" s="9">
        <v>409</v>
      </c>
      <c r="F213" s="9">
        <v>51.1</v>
      </c>
      <c r="G213" s="9">
        <v>192</v>
      </c>
      <c r="H213" s="8">
        <v>38.299999999999997</v>
      </c>
      <c r="I213" s="8">
        <v>50</v>
      </c>
      <c r="J213" s="8">
        <v>74</v>
      </c>
      <c r="K213" s="8">
        <v>68.5</v>
      </c>
      <c r="L213" s="9">
        <v>112</v>
      </c>
      <c r="M213" s="8">
        <v>10.1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1"/>
    </row>
    <row r="214" spans="1:38" ht="13">
      <c r="A214" s="8" t="s">
        <v>467</v>
      </c>
      <c r="B214" s="9" t="s">
        <v>164</v>
      </c>
      <c r="C214" s="9">
        <v>543</v>
      </c>
      <c r="D214" s="9">
        <v>195</v>
      </c>
      <c r="E214" s="9">
        <v>493</v>
      </c>
      <c r="F214" s="9">
        <v>39.299999999999997</v>
      </c>
      <c r="G214" s="9">
        <v>174</v>
      </c>
      <c r="H214" s="8">
        <v>29.9</v>
      </c>
      <c r="I214" s="8">
        <v>102</v>
      </c>
      <c r="J214" s="8">
        <v>124</v>
      </c>
      <c r="K214" s="8">
        <v>82.3</v>
      </c>
      <c r="L214" s="9">
        <v>16</v>
      </c>
      <c r="M214" s="8">
        <v>11.8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1"/>
    </row>
    <row r="215" spans="1:38" ht="13">
      <c r="A215" s="8" t="s">
        <v>469</v>
      </c>
      <c r="B215" s="9" t="s">
        <v>52</v>
      </c>
      <c r="C215" s="9">
        <v>540</v>
      </c>
      <c r="D215" s="9">
        <v>198</v>
      </c>
      <c r="E215" s="9">
        <v>462</v>
      </c>
      <c r="F215" s="9">
        <v>42.3</v>
      </c>
      <c r="G215" s="9">
        <v>312</v>
      </c>
      <c r="H215" s="8">
        <v>36.299999999999997</v>
      </c>
      <c r="I215" s="8">
        <v>36</v>
      </c>
      <c r="J215" s="8">
        <v>36</v>
      </c>
      <c r="K215" s="8">
        <v>89.5</v>
      </c>
      <c r="L215" s="9">
        <v>78</v>
      </c>
      <c r="M215" s="8">
        <v>9.1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1"/>
    </row>
    <row r="216" spans="1:38" ht="13">
      <c r="A216" s="8" t="s">
        <v>471</v>
      </c>
      <c r="B216" s="9" t="s">
        <v>84</v>
      </c>
      <c r="C216" s="9">
        <v>540</v>
      </c>
      <c r="D216" s="9">
        <v>194</v>
      </c>
      <c r="E216" s="9">
        <v>378</v>
      </c>
      <c r="F216" s="9">
        <v>50.7</v>
      </c>
      <c r="G216" s="9">
        <v>194</v>
      </c>
      <c r="H216" s="8">
        <v>43.1</v>
      </c>
      <c r="I216" s="8">
        <v>72</v>
      </c>
      <c r="J216" s="8">
        <v>81</v>
      </c>
      <c r="K216" s="8">
        <v>91.3</v>
      </c>
      <c r="L216" s="9">
        <v>36</v>
      </c>
      <c r="M216" s="8">
        <v>8.6999999999999993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1"/>
    </row>
    <row r="217" spans="1:38" ht="13">
      <c r="A217" s="8" t="s">
        <v>473</v>
      </c>
      <c r="B217" s="9" t="s">
        <v>50</v>
      </c>
      <c r="C217" s="9">
        <v>540</v>
      </c>
      <c r="D217" s="9">
        <v>183</v>
      </c>
      <c r="E217" s="9">
        <v>423</v>
      </c>
      <c r="F217" s="9">
        <v>42.9</v>
      </c>
      <c r="G217" s="9">
        <v>365</v>
      </c>
      <c r="H217" s="8">
        <v>42.7</v>
      </c>
      <c r="I217" s="8">
        <v>22</v>
      </c>
      <c r="J217" s="8">
        <v>29</v>
      </c>
      <c r="K217" s="8">
        <v>81.5</v>
      </c>
      <c r="L217" s="9">
        <v>15</v>
      </c>
      <c r="M217" s="8">
        <v>5.8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1"/>
    </row>
    <row r="218" spans="1:38" ht="13">
      <c r="A218" s="8" t="s">
        <v>475</v>
      </c>
      <c r="B218" s="9" t="s">
        <v>116</v>
      </c>
      <c r="C218" s="9">
        <v>540</v>
      </c>
      <c r="D218" s="9">
        <v>204</v>
      </c>
      <c r="E218" s="9">
        <v>456</v>
      </c>
      <c r="F218" s="9">
        <v>44.8</v>
      </c>
      <c r="G218" s="9">
        <v>168</v>
      </c>
      <c r="H218" s="8">
        <v>35.5</v>
      </c>
      <c r="I218" s="8">
        <v>78</v>
      </c>
      <c r="J218" s="8">
        <v>90</v>
      </c>
      <c r="K218" s="8">
        <v>82.4</v>
      </c>
      <c r="L218" s="9">
        <v>24</v>
      </c>
      <c r="M218" s="8">
        <v>10.199999999999999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1"/>
    </row>
    <row r="219" spans="1:38" ht="13">
      <c r="A219" s="8" t="s">
        <v>477</v>
      </c>
      <c r="B219" s="9" t="s">
        <v>98</v>
      </c>
      <c r="C219" s="9">
        <v>533</v>
      </c>
      <c r="D219" s="9">
        <v>200</v>
      </c>
      <c r="E219" s="9">
        <v>481</v>
      </c>
      <c r="F219" s="9">
        <v>41.2</v>
      </c>
      <c r="G219" s="9">
        <v>237</v>
      </c>
      <c r="H219" s="8">
        <v>33.5</v>
      </c>
      <c r="I219" s="8">
        <v>52</v>
      </c>
      <c r="J219" s="8">
        <v>67</v>
      </c>
      <c r="K219" s="8">
        <v>87.3</v>
      </c>
      <c r="L219" s="9">
        <v>74</v>
      </c>
      <c r="M219" s="8">
        <v>7.4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1"/>
    </row>
    <row r="220" spans="1:38" ht="13">
      <c r="A220" s="8" t="s">
        <v>479</v>
      </c>
      <c r="B220" s="9" t="s">
        <v>116</v>
      </c>
      <c r="C220" s="9">
        <v>533</v>
      </c>
      <c r="D220" s="9">
        <v>175</v>
      </c>
      <c r="E220" s="9">
        <v>460</v>
      </c>
      <c r="F220" s="9">
        <v>38.200000000000003</v>
      </c>
      <c r="G220" s="9">
        <v>212</v>
      </c>
      <c r="H220" s="8">
        <v>25.8</v>
      </c>
      <c r="I220" s="8">
        <v>124</v>
      </c>
      <c r="J220" s="8">
        <v>153</v>
      </c>
      <c r="K220" s="8">
        <v>80.400000000000006</v>
      </c>
      <c r="L220" s="9">
        <v>51</v>
      </c>
      <c r="M220" s="8">
        <v>8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1"/>
    </row>
    <row r="221" spans="1:38" ht="13">
      <c r="A221" s="8" t="s">
        <v>481</v>
      </c>
      <c r="B221" s="9" t="s">
        <v>146</v>
      </c>
      <c r="C221" s="9">
        <v>533</v>
      </c>
      <c r="D221" s="9">
        <v>203</v>
      </c>
      <c r="E221" s="9">
        <v>503</v>
      </c>
      <c r="F221" s="9">
        <v>40.5</v>
      </c>
      <c r="G221" s="9">
        <v>225</v>
      </c>
      <c r="H221" s="8">
        <v>32.299999999999997</v>
      </c>
      <c r="I221" s="8">
        <v>53</v>
      </c>
      <c r="J221" s="8">
        <v>68</v>
      </c>
      <c r="K221" s="8">
        <v>76.8</v>
      </c>
      <c r="L221" s="9">
        <v>30</v>
      </c>
      <c r="M221" s="8">
        <v>7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1"/>
    </row>
    <row r="222" spans="1:38" ht="13">
      <c r="A222" s="8" t="s">
        <v>483</v>
      </c>
      <c r="B222" s="8" t="s">
        <v>82</v>
      </c>
      <c r="C222" s="9">
        <v>531</v>
      </c>
      <c r="D222" s="9">
        <v>237</v>
      </c>
      <c r="E222" s="9">
        <v>378</v>
      </c>
      <c r="F222" s="9">
        <v>62.1</v>
      </c>
      <c r="G222" s="9">
        <v>19</v>
      </c>
      <c r="H222" s="8">
        <v>5.9</v>
      </c>
      <c r="I222" s="8">
        <v>64</v>
      </c>
      <c r="J222" s="8">
        <v>90</v>
      </c>
      <c r="K222" s="8">
        <v>70.099999999999994</v>
      </c>
      <c r="L222" s="9">
        <v>128</v>
      </c>
      <c r="M222" s="8">
        <v>10.8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1"/>
    </row>
    <row r="223" spans="1:38" ht="13">
      <c r="A223" s="8" t="s">
        <v>485</v>
      </c>
      <c r="B223" s="8" t="s">
        <v>54</v>
      </c>
      <c r="C223" s="9">
        <v>530</v>
      </c>
      <c r="D223" s="9">
        <v>205</v>
      </c>
      <c r="E223" s="9">
        <v>348</v>
      </c>
      <c r="F223" s="9">
        <v>59.1</v>
      </c>
      <c r="G223" s="8">
        <v>0</v>
      </c>
      <c r="H223" s="8">
        <v>0</v>
      </c>
      <c r="I223" s="8">
        <v>120</v>
      </c>
      <c r="J223" s="8">
        <v>160</v>
      </c>
      <c r="K223" s="8">
        <v>74.400000000000006</v>
      </c>
      <c r="L223" s="9">
        <v>148</v>
      </c>
      <c r="M223" s="8">
        <v>10.7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1"/>
    </row>
    <row r="224" spans="1:38" ht="13">
      <c r="A224" s="8" t="s">
        <v>487</v>
      </c>
      <c r="B224" s="9" t="s">
        <v>60</v>
      </c>
      <c r="C224" s="9">
        <v>528</v>
      </c>
      <c r="D224" s="9">
        <v>189</v>
      </c>
      <c r="E224" s="9">
        <v>414</v>
      </c>
      <c r="F224" s="9">
        <v>46</v>
      </c>
      <c r="G224" s="9">
        <v>153</v>
      </c>
      <c r="H224" s="8">
        <v>40.9</v>
      </c>
      <c r="I224" s="8">
        <v>84</v>
      </c>
      <c r="J224" s="8">
        <v>117</v>
      </c>
      <c r="K224" s="8">
        <v>73.3</v>
      </c>
      <c r="L224" s="9">
        <v>39</v>
      </c>
      <c r="M224" s="8">
        <v>9.9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1"/>
    </row>
    <row r="225" spans="1:38" ht="13">
      <c r="A225" s="8" t="s">
        <v>489</v>
      </c>
      <c r="B225" s="9" t="s">
        <v>88</v>
      </c>
      <c r="C225" s="9">
        <v>525</v>
      </c>
      <c r="D225" s="9">
        <v>192</v>
      </c>
      <c r="E225" s="9">
        <v>410</v>
      </c>
      <c r="F225" s="9">
        <v>46.6</v>
      </c>
      <c r="G225" s="9">
        <v>224</v>
      </c>
      <c r="H225" s="8">
        <v>32.4</v>
      </c>
      <c r="I225" s="8">
        <v>70</v>
      </c>
      <c r="J225" s="8">
        <v>90</v>
      </c>
      <c r="K225" s="8">
        <v>80.900000000000006</v>
      </c>
      <c r="L225" s="9">
        <v>90</v>
      </c>
      <c r="M225" s="8">
        <v>13.3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1"/>
    </row>
    <row r="226" spans="1:38" ht="13">
      <c r="A226" s="8" t="s">
        <v>491</v>
      </c>
      <c r="B226" s="9" t="s">
        <v>196</v>
      </c>
      <c r="C226" s="9">
        <v>522</v>
      </c>
      <c r="D226" s="9">
        <v>192</v>
      </c>
      <c r="E226" s="9">
        <v>468</v>
      </c>
      <c r="F226" s="9">
        <v>40.6</v>
      </c>
      <c r="G226" s="9">
        <v>282</v>
      </c>
      <c r="H226" s="8">
        <v>35.1</v>
      </c>
      <c r="I226" s="8">
        <v>48</v>
      </c>
      <c r="J226" s="8">
        <v>60</v>
      </c>
      <c r="K226" s="8">
        <v>79.3</v>
      </c>
      <c r="L226" s="9">
        <v>60</v>
      </c>
      <c r="M226" s="8">
        <v>8.4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1"/>
    </row>
    <row r="227" spans="1:38" ht="13">
      <c r="A227" s="8" t="s">
        <v>493</v>
      </c>
      <c r="B227" s="9" t="s">
        <v>60</v>
      </c>
      <c r="C227" s="9">
        <v>518</v>
      </c>
      <c r="D227" s="9">
        <v>194</v>
      </c>
      <c r="E227" s="9">
        <v>413</v>
      </c>
      <c r="F227" s="9">
        <v>47.4</v>
      </c>
      <c r="G227" s="9">
        <v>154</v>
      </c>
      <c r="H227" s="8">
        <v>23.8</v>
      </c>
      <c r="I227" s="8">
        <v>89</v>
      </c>
      <c r="J227" s="8">
        <v>122</v>
      </c>
      <c r="K227" s="8">
        <v>75.400000000000006</v>
      </c>
      <c r="L227" s="9">
        <v>41</v>
      </c>
      <c r="M227" s="8">
        <v>7.8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1"/>
    </row>
    <row r="228" spans="1:38" ht="13">
      <c r="A228" s="8" t="s">
        <v>495</v>
      </c>
      <c r="B228" s="9" t="s">
        <v>58</v>
      </c>
      <c r="C228" s="9">
        <v>516</v>
      </c>
      <c r="D228" s="9">
        <v>208</v>
      </c>
      <c r="E228" s="9">
        <v>415</v>
      </c>
      <c r="F228" s="9">
        <v>49.6</v>
      </c>
      <c r="G228" s="9">
        <v>161</v>
      </c>
      <c r="H228" s="8">
        <v>36.799999999999997</v>
      </c>
      <c r="I228" s="8">
        <v>47</v>
      </c>
      <c r="J228" s="8">
        <v>67</v>
      </c>
      <c r="K228" s="8">
        <v>69.099999999999994</v>
      </c>
      <c r="L228" s="9">
        <v>67</v>
      </c>
      <c r="M228" s="8">
        <v>7.4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1"/>
    </row>
    <row r="229" spans="1:38" ht="13">
      <c r="A229" s="8" t="s">
        <v>497</v>
      </c>
      <c r="B229" s="9" t="s">
        <v>76</v>
      </c>
      <c r="C229" s="9">
        <v>511</v>
      </c>
      <c r="D229" s="9">
        <v>170</v>
      </c>
      <c r="E229" s="9">
        <v>426</v>
      </c>
      <c r="F229" s="9">
        <v>40.6</v>
      </c>
      <c r="G229" s="9">
        <v>369</v>
      </c>
      <c r="H229" s="8">
        <v>37.200000000000003</v>
      </c>
      <c r="I229" s="8">
        <v>28</v>
      </c>
      <c r="J229" s="8">
        <v>28</v>
      </c>
      <c r="K229" s="8">
        <v>96.6</v>
      </c>
      <c r="L229" s="9">
        <v>36</v>
      </c>
      <c r="M229" s="8">
        <v>6.9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1"/>
    </row>
    <row r="230" spans="1:38" ht="13">
      <c r="A230" s="8" t="s">
        <v>499</v>
      </c>
      <c r="B230" s="9" t="s">
        <v>54</v>
      </c>
      <c r="C230" s="9">
        <v>511</v>
      </c>
      <c r="D230" s="9">
        <v>207</v>
      </c>
      <c r="E230" s="9">
        <v>474</v>
      </c>
      <c r="F230" s="9">
        <v>43</v>
      </c>
      <c r="G230" s="9">
        <v>266</v>
      </c>
      <c r="H230" s="8">
        <v>31.1</v>
      </c>
      <c r="I230" s="8">
        <v>22</v>
      </c>
      <c r="J230" s="8">
        <v>37</v>
      </c>
      <c r="K230" s="8">
        <v>48.7</v>
      </c>
      <c r="L230" s="9">
        <v>89</v>
      </c>
      <c r="M230" s="8">
        <v>5.9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1"/>
    </row>
    <row r="231" spans="1:38" ht="13">
      <c r="A231" s="8" t="s">
        <v>501</v>
      </c>
      <c r="B231" s="8" t="s">
        <v>98</v>
      </c>
      <c r="C231" s="9">
        <v>504</v>
      </c>
      <c r="D231" s="9">
        <v>210</v>
      </c>
      <c r="E231" s="9">
        <v>336</v>
      </c>
      <c r="F231" s="9">
        <v>61.1</v>
      </c>
      <c r="G231" s="9">
        <v>28</v>
      </c>
      <c r="H231" s="8">
        <v>10.7</v>
      </c>
      <c r="I231" s="8">
        <v>84</v>
      </c>
      <c r="J231" s="8">
        <v>133</v>
      </c>
      <c r="K231" s="8">
        <v>63.9</v>
      </c>
      <c r="L231" s="9">
        <v>168</v>
      </c>
      <c r="M231" s="8">
        <v>13.4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1"/>
    </row>
    <row r="232" spans="1:38" ht="13">
      <c r="A232" s="8" t="s">
        <v>503</v>
      </c>
      <c r="B232" s="9" t="s">
        <v>140</v>
      </c>
      <c r="C232" s="9">
        <v>503</v>
      </c>
      <c r="D232" s="9">
        <v>177</v>
      </c>
      <c r="E232" s="9">
        <v>422</v>
      </c>
      <c r="F232" s="9">
        <v>42.8</v>
      </c>
      <c r="G232" s="9">
        <v>245</v>
      </c>
      <c r="H232" s="8">
        <v>39.1</v>
      </c>
      <c r="I232" s="8">
        <v>48</v>
      </c>
      <c r="J232" s="8">
        <v>75</v>
      </c>
      <c r="K232" s="8">
        <v>68.099999999999994</v>
      </c>
      <c r="L232" s="9">
        <v>54</v>
      </c>
      <c r="M232" s="8">
        <v>4.3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1"/>
    </row>
    <row r="233" spans="1:38" ht="13">
      <c r="A233" s="8" t="s">
        <v>505</v>
      </c>
      <c r="B233" s="9" t="s">
        <v>146</v>
      </c>
      <c r="C233" s="9">
        <v>500</v>
      </c>
      <c r="D233" s="9">
        <v>180</v>
      </c>
      <c r="E233" s="9">
        <v>370</v>
      </c>
      <c r="F233" s="9">
        <v>49.2</v>
      </c>
      <c r="G233" s="9">
        <v>195</v>
      </c>
      <c r="H233" s="8">
        <v>36.299999999999997</v>
      </c>
      <c r="I233" s="8">
        <v>70</v>
      </c>
      <c r="J233" s="8">
        <v>85</v>
      </c>
      <c r="K233" s="8">
        <v>78.2</v>
      </c>
      <c r="L233" s="9">
        <v>70</v>
      </c>
      <c r="M233" s="8">
        <v>12.6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1"/>
    </row>
    <row r="234" spans="1:38" ht="13">
      <c r="A234" s="8" t="s">
        <v>507</v>
      </c>
      <c r="B234" s="9" t="s">
        <v>64</v>
      </c>
      <c r="C234" s="9">
        <v>497</v>
      </c>
      <c r="D234" s="9">
        <v>180</v>
      </c>
      <c r="E234" s="9">
        <v>446</v>
      </c>
      <c r="F234" s="9">
        <v>40.1</v>
      </c>
      <c r="G234" s="9">
        <v>259</v>
      </c>
      <c r="H234" s="8">
        <v>36.299999999999997</v>
      </c>
      <c r="I234" s="8">
        <v>50</v>
      </c>
      <c r="J234" s="8">
        <v>58</v>
      </c>
      <c r="K234" s="8">
        <v>90.7</v>
      </c>
      <c r="L234" s="9">
        <v>14</v>
      </c>
      <c r="M234" s="8">
        <v>8.9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1"/>
    </row>
    <row r="235" spans="1:38" ht="13">
      <c r="A235" s="8" t="s">
        <v>509</v>
      </c>
      <c r="B235" s="9" t="s">
        <v>144</v>
      </c>
      <c r="C235" s="9">
        <v>496</v>
      </c>
      <c r="D235" s="9">
        <v>182</v>
      </c>
      <c r="E235" s="9">
        <v>416</v>
      </c>
      <c r="F235" s="9">
        <v>43.5</v>
      </c>
      <c r="G235" s="9">
        <v>200</v>
      </c>
      <c r="H235" s="8">
        <v>38.6</v>
      </c>
      <c r="I235" s="8">
        <v>63</v>
      </c>
      <c r="J235" s="8">
        <v>86</v>
      </c>
      <c r="K235" s="8">
        <v>69.8</v>
      </c>
      <c r="L235" s="9">
        <v>11</v>
      </c>
      <c r="M235" s="8">
        <v>6.9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1"/>
    </row>
    <row r="236" spans="1:38" ht="13">
      <c r="A236" s="8" t="s">
        <v>511</v>
      </c>
      <c r="B236" s="9" t="s">
        <v>56</v>
      </c>
      <c r="C236" s="9">
        <v>492</v>
      </c>
      <c r="D236" s="9">
        <v>170</v>
      </c>
      <c r="E236" s="9">
        <v>377</v>
      </c>
      <c r="F236" s="9">
        <v>45.6</v>
      </c>
      <c r="G236" s="9">
        <v>212</v>
      </c>
      <c r="H236" s="8">
        <v>37.1</v>
      </c>
      <c r="I236" s="8">
        <v>74</v>
      </c>
      <c r="J236" s="8">
        <v>87</v>
      </c>
      <c r="K236" s="8">
        <v>82.8</v>
      </c>
      <c r="L236" s="9">
        <v>28</v>
      </c>
      <c r="M236" s="8">
        <v>9.8000000000000007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1"/>
    </row>
    <row r="237" spans="1:38" ht="13">
      <c r="A237" s="8" t="s">
        <v>513</v>
      </c>
      <c r="B237" s="8" t="s">
        <v>58</v>
      </c>
      <c r="C237" s="9">
        <v>490</v>
      </c>
      <c r="D237" s="9">
        <v>220</v>
      </c>
      <c r="E237" s="9">
        <v>391</v>
      </c>
      <c r="F237" s="9">
        <v>55.9</v>
      </c>
      <c r="G237" s="8">
        <v>0</v>
      </c>
      <c r="H237" s="8">
        <v>0</v>
      </c>
      <c r="I237" s="8">
        <v>50</v>
      </c>
      <c r="J237" s="8">
        <v>99</v>
      </c>
      <c r="K237" s="8">
        <v>53.6</v>
      </c>
      <c r="L237" s="9">
        <v>176</v>
      </c>
      <c r="M237" s="8">
        <v>11.7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1"/>
    </row>
    <row r="238" spans="1:38" ht="13">
      <c r="A238" s="8" t="s">
        <v>515</v>
      </c>
      <c r="B238" s="9" t="s">
        <v>56</v>
      </c>
      <c r="C238" s="9">
        <v>481</v>
      </c>
      <c r="D238" s="9">
        <v>178</v>
      </c>
      <c r="E238" s="9">
        <v>392</v>
      </c>
      <c r="F238" s="9">
        <v>45.8</v>
      </c>
      <c r="G238" s="9">
        <v>229</v>
      </c>
      <c r="H238" s="8">
        <v>38.200000000000003</v>
      </c>
      <c r="I238" s="8">
        <v>30</v>
      </c>
      <c r="J238" s="8">
        <v>44</v>
      </c>
      <c r="K238" s="8">
        <v>72.099999999999994</v>
      </c>
      <c r="L238" s="9">
        <v>74</v>
      </c>
      <c r="M238" s="8">
        <v>5.7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1"/>
    </row>
    <row r="239" spans="1:38" ht="13">
      <c r="A239" s="8" t="s">
        <v>517</v>
      </c>
      <c r="B239" s="9" t="s">
        <v>44</v>
      </c>
      <c r="C239" s="9">
        <v>480</v>
      </c>
      <c r="D239" s="9">
        <v>166</v>
      </c>
      <c r="E239" s="9">
        <v>342</v>
      </c>
      <c r="F239" s="9">
        <v>49</v>
      </c>
      <c r="G239" s="9">
        <v>115</v>
      </c>
      <c r="H239" s="8">
        <v>37.9</v>
      </c>
      <c r="I239" s="8">
        <v>102</v>
      </c>
      <c r="J239" s="8">
        <v>134</v>
      </c>
      <c r="K239" s="8">
        <v>75.400000000000006</v>
      </c>
      <c r="L239" s="9">
        <v>48</v>
      </c>
      <c r="M239" s="8">
        <v>12.2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1"/>
    </row>
    <row r="240" spans="1:38" ht="13">
      <c r="A240" s="8" t="s">
        <v>519</v>
      </c>
      <c r="B240" s="9" t="s">
        <v>68</v>
      </c>
      <c r="C240" s="9">
        <v>479</v>
      </c>
      <c r="D240" s="9">
        <v>179</v>
      </c>
      <c r="E240" s="9">
        <v>403</v>
      </c>
      <c r="F240" s="9">
        <v>44.4</v>
      </c>
      <c r="G240" s="9">
        <v>184</v>
      </c>
      <c r="H240" s="8">
        <v>35.5</v>
      </c>
      <c r="I240" s="8">
        <v>56</v>
      </c>
      <c r="J240" s="8">
        <v>71</v>
      </c>
      <c r="K240" s="8">
        <v>75</v>
      </c>
      <c r="L240" s="9">
        <v>36</v>
      </c>
      <c r="M240" s="8">
        <v>10.8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1"/>
    </row>
    <row r="241" spans="1:38" ht="13">
      <c r="A241" s="8" t="s">
        <v>521</v>
      </c>
      <c r="B241" s="9" t="s">
        <v>62</v>
      </c>
      <c r="C241" s="9">
        <v>474</v>
      </c>
      <c r="D241" s="9">
        <v>192</v>
      </c>
      <c r="E241" s="9">
        <v>437</v>
      </c>
      <c r="F241" s="9">
        <v>43.9</v>
      </c>
      <c r="G241" s="9">
        <v>222</v>
      </c>
      <c r="H241" s="8">
        <v>33.5</v>
      </c>
      <c r="I241" s="8">
        <v>15</v>
      </c>
      <c r="J241" s="8">
        <v>22</v>
      </c>
      <c r="K241" s="8">
        <v>68.2</v>
      </c>
      <c r="L241" s="9">
        <v>52</v>
      </c>
      <c r="M241" s="8">
        <v>7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1"/>
    </row>
    <row r="242" spans="1:38" ht="13">
      <c r="A242" s="8" t="s">
        <v>523</v>
      </c>
      <c r="B242" s="9" t="s">
        <v>76</v>
      </c>
      <c r="C242" s="9">
        <v>470</v>
      </c>
      <c r="D242" s="9">
        <v>165</v>
      </c>
      <c r="E242" s="9">
        <v>375</v>
      </c>
      <c r="F242" s="9">
        <v>44.2</v>
      </c>
      <c r="G242" s="9">
        <v>295</v>
      </c>
      <c r="H242" s="8">
        <v>38.6</v>
      </c>
      <c r="I242" s="8">
        <v>30</v>
      </c>
      <c r="J242" s="8">
        <v>35</v>
      </c>
      <c r="K242" s="8">
        <v>82.4</v>
      </c>
      <c r="L242" s="9">
        <v>55</v>
      </c>
      <c r="M242" s="8">
        <v>8.3000000000000007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1"/>
    </row>
    <row r="243" spans="1:38" ht="13">
      <c r="A243" s="8" t="s">
        <v>525</v>
      </c>
      <c r="B243" s="9" t="s">
        <v>74</v>
      </c>
      <c r="C243" s="9">
        <v>461</v>
      </c>
      <c r="D243" s="9">
        <v>166</v>
      </c>
      <c r="E243" s="9">
        <v>418</v>
      </c>
      <c r="F243" s="9">
        <v>40</v>
      </c>
      <c r="G243" s="9">
        <v>310</v>
      </c>
      <c r="H243" s="8">
        <v>35.299999999999997</v>
      </c>
      <c r="I243" s="8">
        <v>14</v>
      </c>
      <c r="J243" s="8">
        <v>22</v>
      </c>
      <c r="K243" s="8">
        <v>71.400000000000006</v>
      </c>
      <c r="L243" s="9">
        <v>22</v>
      </c>
      <c r="M243" s="8">
        <v>3.9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1"/>
    </row>
    <row r="244" spans="1:38" ht="13">
      <c r="A244" s="8" t="s">
        <v>527</v>
      </c>
      <c r="B244" s="9" t="s">
        <v>84</v>
      </c>
      <c r="C244" s="9">
        <v>458</v>
      </c>
      <c r="D244" s="9">
        <v>173</v>
      </c>
      <c r="E244" s="9">
        <v>360</v>
      </c>
      <c r="F244" s="9">
        <v>47.2</v>
      </c>
      <c r="G244" s="9">
        <v>188</v>
      </c>
      <c r="H244" s="8">
        <v>40.5</v>
      </c>
      <c r="I244" s="8">
        <v>45</v>
      </c>
      <c r="J244" s="8">
        <v>68</v>
      </c>
      <c r="K244" s="8">
        <v>66.7</v>
      </c>
      <c r="L244" s="9">
        <v>23</v>
      </c>
      <c r="M244" s="8">
        <v>8.6999999999999993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1"/>
    </row>
    <row r="245" spans="1:38" ht="13">
      <c r="A245" s="8" t="s">
        <v>529</v>
      </c>
      <c r="B245" s="9" t="s">
        <v>66</v>
      </c>
      <c r="C245" s="9">
        <v>455</v>
      </c>
      <c r="D245" s="9">
        <v>158</v>
      </c>
      <c r="E245" s="9">
        <v>337</v>
      </c>
      <c r="F245" s="9">
        <v>47.5</v>
      </c>
      <c r="G245" s="9">
        <v>145</v>
      </c>
      <c r="H245" s="8">
        <v>42.3</v>
      </c>
      <c r="I245" s="8">
        <v>79</v>
      </c>
      <c r="J245" s="8">
        <v>112</v>
      </c>
      <c r="K245" s="8">
        <v>67.8</v>
      </c>
      <c r="L245" s="9">
        <v>92</v>
      </c>
      <c r="M245" s="8">
        <v>8.1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1"/>
    </row>
    <row r="246" spans="1:38" ht="13">
      <c r="A246" s="8" t="s">
        <v>531</v>
      </c>
      <c r="B246" s="9" t="s">
        <v>140</v>
      </c>
      <c r="C246" s="9">
        <v>454</v>
      </c>
      <c r="D246" s="9">
        <v>168</v>
      </c>
      <c r="E246" s="9">
        <v>352</v>
      </c>
      <c r="F246" s="9">
        <v>47.7</v>
      </c>
      <c r="G246" s="9">
        <v>107</v>
      </c>
      <c r="H246" s="8">
        <v>30.5</v>
      </c>
      <c r="I246" s="8">
        <v>87</v>
      </c>
      <c r="J246" s="8">
        <v>128</v>
      </c>
      <c r="K246" s="8">
        <v>66.400000000000006</v>
      </c>
      <c r="L246" s="9">
        <v>87</v>
      </c>
      <c r="M246" s="8">
        <v>11.6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1"/>
    </row>
    <row r="247" spans="1:38" ht="13">
      <c r="A247" s="8" t="s">
        <v>533</v>
      </c>
      <c r="B247" s="9" t="s">
        <v>116</v>
      </c>
      <c r="C247" s="9">
        <v>452</v>
      </c>
      <c r="D247" s="9">
        <v>141</v>
      </c>
      <c r="E247" s="9">
        <v>315</v>
      </c>
      <c r="F247" s="9">
        <v>44.4</v>
      </c>
      <c r="G247" s="9">
        <v>78</v>
      </c>
      <c r="H247" s="8">
        <v>29.9</v>
      </c>
      <c r="I247" s="8">
        <v>148</v>
      </c>
      <c r="J247" s="8">
        <v>169</v>
      </c>
      <c r="K247" s="8">
        <v>88.2</v>
      </c>
      <c r="L247" s="9">
        <v>36</v>
      </c>
      <c r="M247" s="8">
        <v>16.899999999999999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1"/>
    </row>
    <row r="248" spans="1:38" ht="13">
      <c r="A248" s="8" t="s">
        <v>535</v>
      </c>
      <c r="B248" s="9" t="s">
        <v>196</v>
      </c>
      <c r="C248" s="9">
        <v>449</v>
      </c>
      <c r="D248" s="9">
        <v>163</v>
      </c>
      <c r="E248" s="9">
        <v>352</v>
      </c>
      <c r="F248" s="9">
        <v>46.9</v>
      </c>
      <c r="G248" s="9">
        <v>88</v>
      </c>
      <c r="H248" s="8">
        <v>33</v>
      </c>
      <c r="I248" s="8">
        <v>92</v>
      </c>
      <c r="J248" s="8">
        <v>123</v>
      </c>
      <c r="K248" s="8">
        <v>76.2</v>
      </c>
      <c r="L248" s="9">
        <v>35</v>
      </c>
      <c r="M248" s="8">
        <v>10.1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1"/>
    </row>
    <row r="249" spans="1:38" ht="13">
      <c r="A249" s="8" t="s">
        <v>537</v>
      </c>
      <c r="B249" s="9" t="s">
        <v>164</v>
      </c>
      <c r="C249" s="9">
        <v>449</v>
      </c>
      <c r="D249" s="9">
        <v>168</v>
      </c>
      <c r="E249" s="9">
        <v>382</v>
      </c>
      <c r="F249" s="9">
        <v>43.6</v>
      </c>
      <c r="G249" s="9">
        <v>139</v>
      </c>
      <c r="H249" s="8">
        <v>35</v>
      </c>
      <c r="I249" s="8">
        <v>67</v>
      </c>
      <c r="J249" s="8">
        <v>84</v>
      </c>
      <c r="K249" s="8">
        <v>78.8</v>
      </c>
      <c r="L249" s="9">
        <v>29</v>
      </c>
      <c r="M249" s="8">
        <v>8.5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1"/>
    </row>
    <row r="250" spans="1:38" ht="13">
      <c r="A250" s="8" t="s">
        <v>539</v>
      </c>
      <c r="B250" s="9" t="s">
        <v>66</v>
      </c>
      <c r="C250" s="9">
        <v>449</v>
      </c>
      <c r="D250" s="9">
        <v>159</v>
      </c>
      <c r="E250" s="9">
        <v>373</v>
      </c>
      <c r="F250" s="9">
        <v>42</v>
      </c>
      <c r="G250" s="9">
        <v>235</v>
      </c>
      <c r="H250" s="8">
        <v>34</v>
      </c>
      <c r="I250" s="8">
        <v>55</v>
      </c>
      <c r="J250" s="8">
        <v>83</v>
      </c>
      <c r="K250" s="8">
        <v>70</v>
      </c>
      <c r="L250" s="9">
        <v>83</v>
      </c>
      <c r="M250" s="8">
        <v>8.6999999999999993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1"/>
    </row>
    <row r="251" spans="1:38" ht="13">
      <c r="A251" s="8" t="s">
        <v>541</v>
      </c>
      <c r="B251" s="9" t="s">
        <v>146</v>
      </c>
      <c r="C251" s="9">
        <v>447</v>
      </c>
      <c r="D251" s="9">
        <v>161</v>
      </c>
      <c r="E251" s="9">
        <v>395</v>
      </c>
      <c r="F251" s="9">
        <v>40.5</v>
      </c>
      <c r="G251" s="9">
        <v>187</v>
      </c>
      <c r="H251" s="8">
        <v>34.9</v>
      </c>
      <c r="I251" s="8">
        <v>68</v>
      </c>
      <c r="J251" s="8">
        <v>83</v>
      </c>
      <c r="K251" s="8">
        <v>79.5</v>
      </c>
      <c r="L251" s="9">
        <v>57</v>
      </c>
      <c r="M251" s="8">
        <v>6.8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1"/>
    </row>
    <row r="252" spans="1:38" ht="13">
      <c r="A252" s="8" t="s">
        <v>543</v>
      </c>
      <c r="B252" s="9" t="s">
        <v>116</v>
      </c>
      <c r="C252" s="9">
        <v>444</v>
      </c>
      <c r="D252" s="9">
        <v>172</v>
      </c>
      <c r="E252" s="9">
        <v>378</v>
      </c>
      <c r="F252" s="9">
        <v>45.5</v>
      </c>
      <c r="G252" s="9">
        <v>189</v>
      </c>
      <c r="H252" s="8">
        <v>36.299999999999997</v>
      </c>
      <c r="I252" s="8">
        <v>31</v>
      </c>
      <c r="J252" s="8">
        <v>44</v>
      </c>
      <c r="K252" s="8">
        <v>69.599999999999994</v>
      </c>
      <c r="L252" s="9">
        <v>44</v>
      </c>
      <c r="M252" s="8">
        <v>6.2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1"/>
    </row>
    <row r="253" spans="1:38" ht="13">
      <c r="A253" s="8" t="s">
        <v>545</v>
      </c>
      <c r="B253" s="9" t="s">
        <v>60</v>
      </c>
      <c r="C253" s="9">
        <v>443</v>
      </c>
      <c r="D253" s="9">
        <v>150</v>
      </c>
      <c r="E253" s="9">
        <v>375</v>
      </c>
      <c r="F253" s="9">
        <v>40.200000000000003</v>
      </c>
      <c r="G253" s="9">
        <v>225</v>
      </c>
      <c r="H253" s="8">
        <v>33.5</v>
      </c>
      <c r="I253" s="8">
        <v>68</v>
      </c>
      <c r="J253" s="8">
        <v>83</v>
      </c>
      <c r="K253" s="8">
        <v>83.3</v>
      </c>
      <c r="L253" s="9">
        <v>53</v>
      </c>
      <c r="M253" s="8">
        <v>6.8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1"/>
    </row>
    <row r="254" spans="1:38" ht="13">
      <c r="A254" s="8" t="s">
        <v>547</v>
      </c>
      <c r="B254" s="9" t="s">
        <v>140</v>
      </c>
      <c r="C254" s="9">
        <v>442</v>
      </c>
      <c r="D254" s="9">
        <v>163</v>
      </c>
      <c r="E254" s="9">
        <v>340</v>
      </c>
      <c r="F254" s="9">
        <v>47.8</v>
      </c>
      <c r="G254" s="9">
        <v>184</v>
      </c>
      <c r="H254" s="8">
        <v>45.6</v>
      </c>
      <c r="I254" s="8">
        <v>34</v>
      </c>
      <c r="J254" s="8">
        <v>41</v>
      </c>
      <c r="K254" s="8">
        <v>84.6</v>
      </c>
      <c r="L254" s="9">
        <v>27</v>
      </c>
      <c r="M254" s="8">
        <v>8.3000000000000007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1"/>
    </row>
    <row r="255" spans="1:38" ht="13">
      <c r="A255" s="8" t="s">
        <v>549</v>
      </c>
      <c r="B255" s="9" t="s">
        <v>82</v>
      </c>
      <c r="C255" s="9">
        <v>442</v>
      </c>
      <c r="D255" s="9">
        <v>160</v>
      </c>
      <c r="E255" s="9">
        <v>307</v>
      </c>
      <c r="F255" s="9">
        <v>51.5</v>
      </c>
      <c r="G255" s="9">
        <v>198</v>
      </c>
      <c r="H255" s="8">
        <v>40.5</v>
      </c>
      <c r="I255" s="8">
        <v>45</v>
      </c>
      <c r="J255" s="8">
        <v>58</v>
      </c>
      <c r="K255" s="8">
        <v>78.599999999999994</v>
      </c>
      <c r="L255" s="9">
        <v>32</v>
      </c>
      <c r="M255" s="8">
        <v>10.8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1"/>
    </row>
    <row r="256" spans="1:38" ht="13">
      <c r="A256" s="8" t="s">
        <v>551</v>
      </c>
      <c r="B256" s="9" t="s">
        <v>114</v>
      </c>
      <c r="C256" s="9">
        <v>440</v>
      </c>
      <c r="D256" s="9">
        <v>159</v>
      </c>
      <c r="E256" s="9">
        <v>337</v>
      </c>
      <c r="F256" s="9">
        <v>47.5</v>
      </c>
      <c r="G256" s="9">
        <v>133</v>
      </c>
      <c r="H256" s="8">
        <v>36.1</v>
      </c>
      <c r="I256" s="8">
        <v>70</v>
      </c>
      <c r="J256" s="8">
        <v>85</v>
      </c>
      <c r="K256" s="8">
        <v>85.7</v>
      </c>
      <c r="L256" s="9">
        <v>15</v>
      </c>
      <c r="M256" s="8">
        <v>11.4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1"/>
    </row>
    <row r="257" spans="1:38" ht="13">
      <c r="A257" s="8" t="s">
        <v>553</v>
      </c>
      <c r="B257" s="8" t="s">
        <v>52</v>
      </c>
      <c r="C257" s="9">
        <v>438</v>
      </c>
      <c r="D257" s="9">
        <v>190</v>
      </c>
      <c r="E257" s="9">
        <v>277</v>
      </c>
      <c r="F257" s="9">
        <v>66.8</v>
      </c>
      <c r="G257" s="8">
        <v>0</v>
      </c>
      <c r="H257" s="8">
        <v>0</v>
      </c>
      <c r="I257" s="8">
        <v>66</v>
      </c>
      <c r="J257" s="8">
        <v>95</v>
      </c>
      <c r="K257" s="8">
        <v>69.099999999999994</v>
      </c>
      <c r="L257" s="9">
        <v>190</v>
      </c>
      <c r="M257" s="8">
        <v>11.4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1"/>
    </row>
    <row r="258" spans="1:38" ht="13">
      <c r="A258" s="8" t="s">
        <v>555</v>
      </c>
      <c r="B258" s="9" t="s">
        <v>122</v>
      </c>
      <c r="C258" s="9">
        <v>436</v>
      </c>
      <c r="D258" s="9">
        <v>181</v>
      </c>
      <c r="E258" s="9">
        <v>335</v>
      </c>
      <c r="F258" s="9">
        <v>53.9</v>
      </c>
      <c r="G258" s="9">
        <v>47</v>
      </c>
      <c r="H258" s="8">
        <v>28.6</v>
      </c>
      <c r="I258" s="8">
        <v>60</v>
      </c>
      <c r="J258" s="8">
        <v>107</v>
      </c>
      <c r="K258" s="8">
        <v>59.6</v>
      </c>
      <c r="L258" s="9">
        <v>214</v>
      </c>
      <c r="M258" s="8">
        <v>10.5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1"/>
    </row>
    <row r="259" spans="1:38" ht="13">
      <c r="A259" s="8" t="s">
        <v>557</v>
      </c>
      <c r="B259" s="9" t="s">
        <v>44</v>
      </c>
      <c r="C259" s="9">
        <v>435</v>
      </c>
      <c r="D259" s="9">
        <v>173</v>
      </c>
      <c r="E259" s="9">
        <v>352</v>
      </c>
      <c r="F259" s="9">
        <v>48.3</v>
      </c>
      <c r="G259" s="9">
        <v>173</v>
      </c>
      <c r="H259" s="8">
        <v>38.6</v>
      </c>
      <c r="I259" s="8">
        <v>28</v>
      </c>
      <c r="J259" s="8">
        <v>41</v>
      </c>
      <c r="K259" s="8">
        <v>71.8</v>
      </c>
      <c r="L259" s="9">
        <v>62</v>
      </c>
      <c r="M259" s="8">
        <v>9.3000000000000007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1"/>
    </row>
    <row r="260" spans="1:38" ht="13">
      <c r="A260" s="8" t="s">
        <v>559</v>
      </c>
      <c r="B260" s="9" t="s">
        <v>60</v>
      </c>
      <c r="C260" s="9">
        <v>432</v>
      </c>
      <c r="D260" s="9">
        <v>173</v>
      </c>
      <c r="E260" s="9">
        <v>317</v>
      </c>
      <c r="F260" s="9">
        <v>55.9</v>
      </c>
      <c r="G260" s="9">
        <v>50</v>
      </c>
      <c r="H260" s="8">
        <v>32.1</v>
      </c>
      <c r="I260" s="8">
        <v>65</v>
      </c>
      <c r="J260" s="8">
        <v>86</v>
      </c>
      <c r="K260" s="8">
        <v>75.900000000000006</v>
      </c>
      <c r="L260" s="9">
        <v>130</v>
      </c>
      <c r="M260" s="8">
        <v>9.6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1"/>
    </row>
    <row r="261" spans="1:38" ht="13">
      <c r="A261" s="8" t="s">
        <v>561</v>
      </c>
      <c r="B261" s="9" t="s">
        <v>84</v>
      </c>
      <c r="C261" s="9">
        <v>429</v>
      </c>
      <c r="D261" s="9">
        <v>165</v>
      </c>
      <c r="E261" s="9">
        <v>323</v>
      </c>
      <c r="F261" s="9">
        <v>50.8</v>
      </c>
      <c r="G261" s="9">
        <v>145</v>
      </c>
      <c r="H261" s="8">
        <v>32.4</v>
      </c>
      <c r="I261" s="8">
        <v>53</v>
      </c>
      <c r="J261" s="8">
        <v>66</v>
      </c>
      <c r="K261" s="8">
        <v>85.9</v>
      </c>
      <c r="L261" s="9">
        <v>86</v>
      </c>
      <c r="M261" s="8">
        <v>11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1"/>
    </row>
    <row r="262" spans="1:38" ht="13">
      <c r="A262" s="8" t="s">
        <v>563</v>
      </c>
      <c r="B262" s="9" t="s">
        <v>196</v>
      </c>
      <c r="C262" s="9">
        <v>419</v>
      </c>
      <c r="D262" s="9">
        <v>133</v>
      </c>
      <c r="E262" s="9">
        <v>373</v>
      </c>
      <c r="F262" s="9">
        <v>35.799999999999997</v>
      </c>
      <c r="G262" s="9">
        <v>262</v>
      </c>
      <c r="H262" s="8">
        <v>33.299999999999997</v>
      </c>
      <c r="I262" s="8">
        <v>69</v>
      </c>
      <c r="J262" s="8">
        <v>78</v>
      </c>
      <c r="K262" s="8">
        <v>83.8</v>
      </c>
      <c r="L262" s="9">
        <v>41</v>
      </c>
      <c r="M262" s="8">
        <v>6.1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1"/>
    </row>
    <row r="263" spans="1:38" ht="13">
      <c r="A263" s="8" t="s">
        <v>565</v>
      </c>
      <c r="B263" s="9" t="s">
        <v>146</v>
      </c>
      <c r="C263" s="9">
        <v>419</v>
      </c>
      <c r="D263" s="9">
        <v>148</v>
      </c>
      <c r="E263" s="9">
        <v>348</v>
      </c>
      <c r="F263" s="9">
        <v>42.9</v>
      </c>
      <c r="G263" s="9">
        <v>260</v>
      </c>
      <c r="H263" s="8">
        <v>40.5</v>
      </c>
      <c r="I263" s="8">
        <v>18</v>
      </c>
      <c r="J263" s="8">
        <v>18</v>
      </c>
      <c r="K263" s="8">
        <v>88.9</v>
      </c>
      <c r="L263" s="9">
        <v>35</v>
      </c>
      <c r="M263" s="8">
        <v>7.2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1"/>
    </row>
    <row r="264" spans="1:38" ht="13">
      <c r="A264" s="8" t="s">
        <v>567</v>
      </c>
      <c r="B264" s="9" t="s">
        <v>164</v>
      </c>
      <c r="C264" s="9">
        <v>416</v>
      </c>
      <c r="D264" s="9">
        <v>158</v>
      </c>
      <c r="E264" s="9">
        <v>350</v>
      </c>
      <c r="F264" s="9">
        <v>45.5</v>
      </c>
      <c r="G264" s="9">
        <v>165</v>
      </c>
      <c r="H264" s="8">
        <v>34.1</v>
      </c>
      <c r="I264" s="8">
        <v>46</v>
      </c>
      <c r="J264" s="8">
        <v>53</v>
      </c>
      <c r="K264" s="8">
        <v>83.6</v>
      </c>
      <c r="L264" s="9">
        <v>112</v>
      </c>
      <c r="M264" s="8">
        <v>8.6999999999999993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1"/>
    </row>
    <row r="265" spans="1:38" ht="13">
      <c r="A265" s="8" t="s">
        <v>569</v>
      </c>
      <c r="B265" s="9" t="s">
        <v>58</v>
      </c>
      <c r="C265" s="9">
        <v>410</v>
      </c>
      <c r="D265" s="9">
        <v>143</v>
      </c>
      <c r="E265" s="9">
        <v>291</v>
      </c>
      <c r="F265" s="9">
        <v>49.7</v>
      </c>
      <c r="G265" s="9">
        <v>205</v>
      </c>
      <c r="H265" s="8">
        <v>43.7</v>
      </c>
      <c r="I265" s="8">
        <v>34</v>
      </c>
      <c r="J265" s="8">
        <v>46</v>
      </c>
      <c r="K265" s="8">
        <v>71.099999999999994</v>
      </c>
      <c r="L265" s="9">
        <v>23</v>
      </c>
      <c r="M265" s="8">
        <v>8.6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1"/>
    </row>
    <row r="266" spans="1:38" ht="13">
      <c r="A266" s="8" t="s">
        <v>571</v>
      </c>
      <c r="B266" s="9" t="s">
        <v>88</v>
      </c>
      <c r="C266" s="9">
        <v>410</v>
      </c>
      <c r="D266" s="9">
        <v>154</v>
      </c>
      <c r="E266" s="9">
        <v>301</v>
      </c>
      <c r="F266" s="9">
        <v>50.7</v>
      </c>
      <c r="G266" s="9">
        <v>109</v>
      </c>
      <c r="H266" s="8">
        <v>30.2</v>
      </c>
      <c r="I266" s="8">
        <v>70</v>
      </c>
      <c r="J266" s="8">
        <v>77</v>
      </c>
      <c r="K266" s="8">
        <v>88.5</v>
      </c>
      <c r="L266" s="9">
        <v>102</v>
      </c>
      <c r="M266" s="8">
        <v>10.6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1"/>
    </row>
    <row r="267" spans="1:38" ht="13">
      <c r="A267" s="8" t="s">
        <v>573</v>
      </c>
      <c r="B267" s="8" t="s">
        <v>70</v>
      </c>
      <c r="C267" s="9">
        <v>409</v>
      </c>
      <c r="D267" s="9">
        <v>174</v>
      </c>
      <c r="E267" s="9">
        <v>304</v>
      </c>
      <c r="F267" s="9">
        <v>57.6</v>
      </c>
      <c r="G267" s="8">
        <v>0</v>
      </c>
      <c r="H267" s="8">
        <v>0</v>
      </c>
      <c r="I267" s="8">
        <v>62</v>
      </c>
      <c r="J267" s="8">
        <v>99</v>
      </c>
      <c r="K267" s="8">
        <v>57.8</v>
      </c>
      <c r="L267" s="9">
        <v>124</v>
      </c>
      <c r="M267" s="8">
        <v>12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1"/>
    </row>
    <row r="268" spans="1:38" ht="13">
      <c r="A268" s="8" t="s">
        <v>575</v>
      </c>
      <c r="B268" s="8" t="s">
        <v>140</v>
      </c>
      <c r="C268" s="9">
        <v>405</v>
      </c>
      <c r="D268" s="9">
        <v>170</v>
      </c>
      <c r="E268" s="9">
        <v>277</v>
      </c>
      <c r="F268" s="9">
        <v>59.6</v>
      </c>
      <c r="G268" s="9">
        <v>7</v>
      </c>
      <c r="H268" s="8">
        <v>0</v>
      </c>
      <c r="I268" s="8">
        <v>71</v>
      </c>
      <c r="J268" s="8">
        <v>114</v>
      </c>
      <c r="K268" s="8">
        <v>59.5</v>
      </c>
      <c r="L268" s="9">
        <v>185</v>
      </c>
      <c r="M268" s="8">
        <v>11.5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1"/>
    </row>
    <row r="269" spans="1:38" ht="13">
      <c r="A269" s="8" t="s">
        <v>577</v>
      </c>
      <c r="B269" s="9" t="s">
        <v>70</v>
      </c>
      <c r="C269" s="9">
        <v>403</v>
      </c>
      <c r="D269" s="9">
        <v>174</v>
      </c>
      <c r="E269" s="9">
        <v>298</v>
      </c>
      <c r="F269" s="9">
        <v>57.4</v>
      </c>
      <c r="G269" s="9">
        <v>93</v>
      </c>
      <c r="H269" s="8">
        <v>32.6</v>
      </c>
      <c r="I269" s="8">
        <v>25</v>
      </c>
      <c r="J269" s="8">
        <v>37</v>
      </c>
      <c r="K269" s="8">
        <v>71.099999999999994</v>
      </c>
      <c r="L269" s="9">
        <v>56</v>
      </c>
      <c r="M269" s="8">
        <v>10.4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1"/>
    </row>
    <row r="270" spans="1:38" ht="13">
      <c r="A270" s="8" t="s">
        <v>579</v>
      </c>
      <c r="B270" s="9" t="s">
        <v>146</v>
      </c>
      <c r="C270" s="9">
        <v>400</v>
      </c>
      <c r="D270" s="9">
        <v>155</v>
      </c>
      <c r="E270" s="9">
        <v>333</v>
      </c>
      <c r="F270" s="9">
        <v>46.5</v>
      </c>
      <c r="G270" s="9">
        <v>115</v>
      </c>
      <c r="H270" s="8">
        <v>37.4</v>
      </c>
      <c r="I270" s="8">
        <v>47</v>
      </c>
      <c r="J270" s="8">
        <v>56</v>
      </c>
      <c r="K270" s="8">
        <v>85.5</v>
      </c>
      <c r="L270" s="9">
        <v>16</v>
      </c>
      <c r="M270" s="8">
        <v>12.2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1"/>
    </row>
    <row r="271" spans="1:38" ht="13">
      <c r="A271" s="8" t="s">
        <v>581</v>
      </c>
      <c r="B271" s="9" t="s">
        <v>196</v>
      </c>
      <c r="C271" s="9">
        <v>395</v>
      </c>
      <c r="D271" s="9">
        <v>165</v>
      </c>
      <c r="E271" s="9">
        <v>315</v>
      </c>
      <c r="F271" s="9">
        <v>52.1</v>
      </c>
      <c r="G271" s="9">
        <v>45</v>
      </c>
      <c r="H271" s="8">
        <v>24.4</v>
      </c>
      <c r="I271" s="8">
        <v>55</v>
      </c>
      <c r="J271" s="8">
        <v>75</v>
      </c>
      <c r="K271" s="8">
        <v>75.7</v>
      </c>
      <c r="L271" s="9">
        <v>150</v>
      </c>
      <c r="M271" s="8">
        <v>13.4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1"/>
    </row>
    <row r="272" spans="1:38" ht="13">
      <c r="A272" s="8" t="s">
        <v>583</v>
      </c>
      <c r="B272" s="9" t="s">
        <v>146</v>
      </c>
      <c r="C272" s="9">
        <v>391</v>
      </c>
      <c r="D272" s="9">
        <v>158</v>
      </c>
      <c r="E272" s="9">
        <v>359</v>
      </c>
      <c r="F272" s="9">
        <v>43.8</v>
      </c>
      <c r="G272" s="9">
        <v>69</v>
      </c>
      <c r="H272" s="8">
        <v>24.3</v>
      </c>
      <c r="I272" s="8">
        <v>63</v>
      </c>
      <c r="J272" s="8">
        <v>82</v>
      </c>
      <c r="K272" s="8">
        <v>73.2</v>
      </c>
      <c r="L272" s="9">
        <v>107</v>
      </c>
      <c r="M272" s="8">
        <v>8.3000000000000007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1"/>
    </row>
    <row r="273" spans="1:38" ht="13">
      <c r="A273" s="8" t="s">
        <v>585</v>
      </c>
      <c r="B273" s="9" t="s">
        <v>98</v>
      </c>
      <c r="C273" s="9">
        <v>387</v>
      </c>
      <c r="D273" s="9">
        <v>141</v>
      </c>
      <c r="E273" s="9">
        <v>249</v>
      </c>
      <c r="F273" s="9">
        <v>56.2</v>
      </c>
      <c r="G273" s="9">
        <v>75</v>
      </c>
      <c r="H273" s="8">
        <v>36</v>
      </c>
      <c r="I273" s="8">
        <v>78</v>
      </c>
      <c r="J273" s="8">
        <v>111</v>
      </c>
      <c r="K273" s="8">
        <v>71.8</v>
      </c>
      <c r="L273" s="9">
        <v>39</v>
      </c>
      <c r="M273" s="8">
        <v>16.5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1"/>
    </row>
    <row r="274" spans="1:38" ht="13">
      <c r="A274" s="8" t="s">
        <v>587</v>
      </c>
      <c r="B274" s="9" t="s">
        <v>94</v>
      </c>
      <c r="C274" s="9">
        <v>384</v>
      </c>
      <c r="D274" s="9">
        <v>140</v>
      </c>
      <c r="E274" s="9">
        <v>281</v>
      </c>
      <c r="F274" s="9">
        <v>50.2</v>
      </c>
      <c r="G274" s="9">
        <v>159</v>
      </c>
      <c r="H274" s="8">
        <v>37.299999999999997</v>
      </c>
      <c r="I274" s="8">
        <v>43</v>
      </c>
      <c r="J274" s="8">
        <v>61</v>
      </c>
      <c r="K274" s="8">
        <v>74.099999999999994</v>
      </c>
      <c r="L274" s="9">
        <v>61</v>
      </c>
      <c r="M274" s="8">
        <v>12.4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1"/>
    </row>
    <row r="275" spans="1:38" ht="13">
      <c r="A275" s="8" t="s">
        <v>589</v>
      </c>
      <c r="B275" s="9" t="s">
        <v>164</v>
      </c>
      <c r="C275" s="9">
        <v>383</v>
      </c>
      <c r="D275" s="9">
        <v>132</v>
      </c>
      <c r="E275" s="9">
        <v>268</v>
      </c>
      <c r="F275" s="9">
        <v>50</v>
      </c>
      <c r="G275" s="9">
        <v>79</v>
      </c>
      <c r="H275" s="8">
        <v>41.8</v>
      </c>
      <c r="I275" s="8">
        <v>84</v>
      </c>
      <c r="J275" s="8">
        <v>110</v>
      </c>
      <c r="K275" s="8">
        <v>76.900000000000006</v>
      </c>
      <c r="L275" s="9">
        <v>62</v>
      </c>
      <c r="M275" s="8">
        <v>9.8000000000000007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1"/>
    </row>
    <row r="276" spans="1:38" ht="13">
      <c r="A276" s="8" t="s">
        <v>591</v>
      </c>
      <c r="B276" s="9" t="s">
        <v>44</v>
      </c>
      <c r="C276" s="9">
        <v>383</v>
      </c>
      <c r="D276" s="9">
        <v>140</v>
      </c>
      <c r="E276" s="9">
        <v>313</v>
      </c>
      <c r="F276" s="9">
        <v>44.6</v>
      </c>
      <c r="G276" s="9">
        <v>167</v>
      </c>
      <c r="H276" s="8">
        <v>35.299999999999997</v>
      </c>
      <c r="I276" s="8">
        <v>43</v>
      </c>
      <c r="J276" s="8">
        <v>49</v>
      </c>
      <c r="K276" s="8">
        <v>82.4</v>
      </c>
      <c r="L276" s="9">
        <v>38</v>
      </c>
      <c r="M276" s="8">
        <v>10.1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1"/>
    </row>
    <row r="277" spans="1:38" ht="13">
      <c r="A277" s="8" t="s">
        <v>593</v>
      </c>
      <c r="B277" s="9" t="s">
        <v>98</v>
      </c>
      <c r="C277" s="9">
        <v>383</v>
      </c>
      <c r="D277" s="9">
        <v>135</v>
      </c>
      <c r="E277" s="9">
        <v>327</v>
      </c>
      <c r="F277" s="9">
        <v>41.4</v>
      </c>
      <c r="G277" s="9">
        <v>149</v>
      </c>
      <c r="H277" s="8">
        <v>25.8</v>
      </c>
      <c r="I277" s="8">
        <v>71</v>
      </c>
      <c r="J277" s="8">
        <v>107</v>
      </c>
      <c r="K277" s="8">
        <v>68.2</v>
      </c>
      <c r="L277" s="9">
        <v>121</v>
      </c>
      <c r="M277" s="8">
        <v>10.8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1"/>
    </row>
    <row r="278" spans="1:38" ht="13">
      <c r="A278" s="8" t="s">
        <v>595</v>
      </c>
      <c r="B278" s="8" t="s">
        <v>74</v>
      </c>
      <c r="C278" s="9">
        <v>381</v>
      </c>
      <c r="D278" s="9">
        <v>162</v>
      </c>
      <c r="E278" s="9">
        <v>224</v>
      </c>
      <c r="F278" s="9">
        <v>72.2</v>
      </c>
      <c r="G278" s="9">
        <v>6</v>
      </c>
      <c r="H278" s="8">
        <v>0</v>
      </c>
      <c r="I278" s="8">
        <v>62</v>
      </c>
      <c r="J278" s="8">
        <v>101</v>
      </c>
      <c r="K278" s="8">
        <v>62.2</v>
      </c>
      <c r="L278" s="9">
        <v>78</v>
      </c>
      <c r="M278" s="8">
        <v>9.6999999999999993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1"/>
    </row>
    <row r="279" spans="1:38" ht="13">
      <c r="A279" s="8" t="s">
        <v>597</v>
      </c>
      <c r="B279" s="9" t="s">
        <v>88</v>
      </c>
      <c r="C279" s="9">
        <v>377</v>
      </c>
      <c r="D279" s="9">
        <v>133</v>
      </c>
      <c r="E279" s="9">
        <v>290</v>
      </c>
      <c r="F279" s="9">
        <v>45.7</v>
      </c>
      <c r="G279" s="9">
        <v>122</v>
      </c>
      <c r="H279" s="8">
        <v>33.6</v>
      </c>
      <c r="I279" s="8">
        <v>70</v>
      </c>
      <c r="J279" s="8">
        <v>99</v>
      </c>
      <c r="K279" s="8">
        <v>73.5</v>
      </c>
      <c r="L279" s="9">
        <v>17</v>
      </c>
      <c r="M279" s="8">
        <v>9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1"/>
    </row>
    <row r="280" spans="1:38" ht="13">
      <c r="A280" s="8" t="s">
        <v>599</v>
      </c>
      <c r="B280" s="9" t="s">
        <v>60</v>
      </c>
      <c r="C280" s="9">
        <v>376</v>
      </c>
      <c r="D280" s="9">
        <v>137</v>
      </c>
      <c r="E280" s="9">
        <v>296</v>
      </c>
      <c r="F280" s="9">
        <v>46.3</v>
      </c>
      <c r="G280" s="9">
        <v>154</v>
      </c>
      <c r="H280" s="8">
        <v>38.200000000000003</v>
      </c>
      <c r="I280" s="8">
        <v>46</v>
      </c>
      <c r="J280" s="8">
        <v>51</v>
      </c>
      <c r="K280" s="8">
        <v>84.3</v>
      </c>
      <c r="L280" s="9">
        <v>17</v>
      </c>
      <c r="M280" s="8">
        <v>9.5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1"/>
    </row>
    <row r="281" spans="1:38" ht="13">
      <c r="A281" s="8" t="s">
        <v>601</v>
      </c>
      <c r="B281" s="9" t="s">
        <v>64</v>
      </c>
      <c r="C281" s="9">
        <v>376</v>
      </c>
      <c r="D281" s="9">
        <v>165</v>
      </c>
      <c r="E281" s="9">
        <v>325</v>
      </c>
      <c r="F281" s="9">
        <v>50.2</v>
      </c>
      <c r="G281" s="9">
        <v>34</v>
      </c>
      <c r="H281" s="8">
        <v>27.8</v>
      </c>
      <c r="I281" s="8">
        <v>40</v>
      </c>
      <c r="J281" s="8">
        <v>68</v>
      </c>
      <c r="K281" s="8">
        <v>59.4</v>
      </c>
      <c r="L281" s="9">
        <v>103</v>
      </c>
      <c r="M281" s="8">
        <v>9.1999999999999993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1"/>
    </row>
    <row r="282" spans="1:38" ht="13">
      <c r="A282" s="8" t="s">
        <v>603</v>
      </c>
      <c r="B282" s="9" t="s">
        <v>88</v>
      </c>
      <c r="C282" s="9">
        <v>363</v>
      </c>
      <c r="D282" s="9">
        <v>126</v>
      </c>
      <c r="E282" s="9">
        <v>284</v>
      </c>
      <c r="F282" s="9">
        <v>44.6</v>
      </c>
      <c r="G282" s="9">
        <v>150</v>
      </c>
      <c r="H282" s="8">
        <v>32.700000000000003</v>
      </c>
      <c r="I282" s="8">
        <v>63</v>
      </c>
      <c r="J282" s="8">
        <v>79</v>
      </c>
      <c r="K282" s="8">
        <v>78.900000000000006</v>
      </c>
      <c r="L282" s="9">
        <v>63</v>
      </c>
      <c r="M282" s="8">
        <v>5.5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1"/>
    </row>
    <row r="283" spans="1:38" ht="13">
      <c r="A283" s="8" t="s">
        <v>605</v>
      </c>
      <c r="B283" s="9" t="s">
        <v>56</v>
      </c>
      <c r="C283" s="9">
        <v>360</v>
      </c>
      <c r="D283" s="9">
        <v>140</v>
      </c>
      <c r="E283" s="9">
        <v>305</v>
      </c>
      <c r="F283" s="9">
        <v>46.9</v>
      </c>
      <c r="G283" s="9">
        <v>67</v>
      </c>
      <c r="H283" s="8">
        <v>35.700000000000003</v>
      </c>
      <c r="I283" s="8">
        <v>49</v>
      </c>
      <c r="J283" s="8">
        <v>67</v>
      </c>
      <c r="K283" s="8">
        <v>73.8</v>
      </c>
      <c r="L283" s="9">
        <v>55</v>
      </c>
      <c r="M283" s="8">
        <v>10.8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1"/>
    </row>
    <row r="284" spans="1:38" ht="13">
      <c r="A284" s="8" t="s">
        <v>607</v>
      </c>
      <c r="B284" s="9" t="s">
        <v>54</v>
      </c>
      <c r="C284" s="9">
        <v>360</v>
      </c>
      <c r="D284" s="9">
        <v>138</v>
      </c>
      <c r="E284" s="9">
        <v>323</v>
      </c>
      <c r="F284" s="9">
        <v>41.8</v>
      </c>
      <c r="G284" s="9">
        <v>148</v>
      </c>
      <c r="H284" s="8">
        <v>28.5</v>
      </c>
      <c r="I284" s="8">
        <v>42</v>
      </c>
      <c r="J284" s="8">
        <v>64</v>
      </c>
      <c r="K284" s="8">
        <v>70.5</v>
      </c>
      <c r="L284" s="9">
        <v>53</v>
      </c>
      <c r="M284" s="8">
        <v>8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1"/>
    </row>
    <row r="285" spans="1:38" ht="13">
      <c r="A285" s="8" t="s">
        <v>609</v>
      </c>
      <c r="B285" s="9" t="s">
        <v>56</v>
      </c>
      <c r="C285" s="9">
        <v>358</v>
      </c>
      <c r="D285" s="9">
        <v>113</v>
      </c>
      <c r="E285" s="9">
        <v>270</v>
      </c>
      <c r="F285" s="9">
        <v>42.4</v>
      </c>
      <c r="G285" s="9">
        <v>206</v>
      </c>
      <c r="H285" s="8">
        <v>42.5</v>
      </c>
      <c r="I285" s="8">
        <v>39</v>
      </c>
      <c r="J285" s="8">
        <v>49</v>
      </c>
      <c r="K285" s="8">
        <v>77.599999999999994</v>
      </c>
      <c r="L285" s="9">
        <v>15</v>
      </c>
      <c r="M285" s="8">
        <v>8.8000000000000007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1"/>
    </row>
    <row r="286" spans="1:38" ht="13">
      <c r="A286" s="8" t="s">
        <v>611</v>
      </c>
      <c r="B286" s="9" t="s">
        <v>144</v>
      </c>
      <c r="C286" s="9">
        <v>356</v>
      </c>
      <c r="D286" s="9">
        <v>131</v>
      </c>
      <c r="E286" s="9">
        <v>306</v>
      </c>
      <c r="F286" s="9">
        <v>42.4</v>
      </c>
      <c r="G286" s="9">
        <v>104</v>
      </c>
      <c r="H286" s="8">
        <v>35.9</v>
      </c>
      <c r="I286" s="8">
        <v>63</v>
      </c>
      <c r="J286" s="8">
        <v>99</v>
      </c>
      <c r="K286" s="8">
        <v>62.2</v>
      </c>
      <c r="L286" s="9">
        <v>54</v>
      </c>
      <c r="M286" s="8">
        <v>6.3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1"/>
    </row>
    <row r="287" spans="1:38" ht="13">
      <c r="A287" s="8" t="s">
        <v>613</v>
      </c>
      <c r="B287" s="9" t="s">
        <v>140</v>
      </c>
      <c r="C287" s="9">
        <v>354</v>
      </c>
      <c r="D287" s="9">
        <v>114</v>
      </c>
      <c r="E287" s="9">
        <v>348</v>
      </c>
      <c r="F287" s="9">
        <v>33</v>
      </c>
      <c r="G287" s="9">
        <v>204</v>
      </c>
      <c r="H287" s="8">
        <v>28.3</v>
      </c>
      <c r="I287" s="8">
        <v>66</v>
      </c>
      <c r="J287" s="8">
        <v>96</v>
      </c>
      <c r="K287" s="8">
        <v>71.3</v>
      </c>
      <c r="L287" s="9">
        <v>72</v>
      </c>
      <c r="M287" s="8">
        <v>6.5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1"/>
    </row>
    <row r="288" spans="1:38" ht="13">
      <c r="A288" s="8" t="s">
        <v>615</v>
      </c>
      <c r="B288" s="9" t="s">
        <v>58</v>
      </c>
      <c r="C288" s="9">
        <v>353</v>
      </c>
      <c r="D288" s="9">
        <v>103</v>
      </c>
      <c r="E288" s="9">
        <v>259</v>
      </c>
      <c r="F288" s="9">
        <v>39.700000000000003</v>
      </c>
      <c r="G288" s="9">
        <v>216</v>
      </c>
      <c r="H288" s="8">
        <v>39</v>
      </c>
      <c r="I288" s="8">
        <v>66</v>
      </c>
      <c r="J288" s="8">
        <v>80</v>
      </c>
      <c r="K288" s="8">
        <v>82.1</v>
      </c>
      <c r="L288" s="9">
        <v>14</v>
      </c>
      <c r="M288" s="8">
        <v>6.8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1"/>
    </row>
    <row r="289" spans="1:38" ht="13">
      <c r="A289" s="8" t="s">
        <v>617</v>
      </c>
      <c r="B289" s="9" t="s">
        <v>116</v>
      </c>
      <c r="C289" s="9">
        <v>352</v>
      </c>
      <c r="D289" s="9">
        <v>127</v>
      </c>
      <c r="E289" s="9">
        <v>274</v>
      </c>
      <c r="F289" s="9">
        <v>46</v>
      </c>
      <c r="G289" s="9">
        <v>133</v>
      </c>
      <c r="H289" s="8">
        <v>38.299999999999997</v>
      </c>
      <c r="I289" s="8">
        <v>48</v>
      </c>
      <c r="J289" s="8">
        <v>55</v>
      </c>
      <c r="K289" s="8">
        <v>87.5</v>
      </c>
      <c r="L289" s="9">
        <v>14</v>
      </c>
      <c r="M289" s="8">
        <v>10.6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1"/>
    </row>
    <row r="290" spans="1:38" ht="13">
      <c r="A290" s="8" t="s">
        <v>619</v>
      </c>
      <c r="B290" s="9" t="s">
        <v>76</v>
      </c>
      <c r="C290" s="9">
        <v>347</v>
      </c>
      <c r="D290" s="9">
        <v>122</v>
      </c>
      <c r="E290" s="9">
        <v>286</v>
      </c>
      <c r="F290" s="9">
        <v>42.9</v>
      </c>
      <c r="G290" s="9">
        <v>143</v>
      </c>
      <c r="H290" s="8">
        <v>32.6</v>
      </c>
      <c r="I290" s="8">
        <v>54</v>
      </c>
      <c r="J290" s="8">
        <v>75</v>
      </c>
      <c r="K290" s="8">
        <v>72.400000000000006</v>
      </c>
      <c r="L290" s="9">
        <v>61</v>
      </c>
      <c r="M290" s="8">
        <v>6.4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1"/>
    </row>
    <row r="291" spans="1:38" ht="13">
      <c r="A291" s="8" t="s">
        <v>621</v>
      </c>
      <c r="B291" s="9" t="s">
        <v>50</v>
      </c>
      <c r="C291" s="9">
        <v>347</v>
      </c>
      <c r="D291" s="9">
        <v>134</v>
      </c>
      <c r="E291" s="9">
        <v>269</v>
      </c>
      <c r="F291" s="9">
        <v>48.7</v>
      </c>
      <c r="G291" s="9">
        <v>118</v>
      </c>
      <c r="H291" s="8">
        <v>40.799999999999997</v>
      </c>
      <c r="I291" s="8">
        <v>34</v>
      </c>
      <c r="J291" s="8">
        <v>45</v>
      </c>
      <c r="K291" s="8">
        <v>80</v>
      </c>
      <c r="L291" s="9">
        <v>22</v>
      </c>
      <c r="M291" s="8">
        <v>8.8000000000000007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1"/>
    </row>
    <row r="292" spans="1:38" ht="13">
      <c r="A292" s="8" t="s">
        <v>623</v>
      </c>
      <c r="B292" s="8" t="s">
        <v>70</v>
      </c>
      <c r="C292" s="9">
        <v>342</v>
      </c>
      <c r="D292" s="9">
        <v>144</v>
      </c>
      <c r="E292" s="9">
        <v>281</v>
      </c>
      <c r="F292" s="9">
        <v>51.4</v>
      </c>
      <c r="G292" s="9">
        <v>8</v>
      </c>
      <c r="H292" s="8">
        <v>40</v>
      </c>
      <c r="I292" s="8">
        <v>53</v>
      </c>
      <c r="J292" s="8">
        <v>99</v>
      </c>
      <c r="K292" s="8">
        <v>56.6</v>
      </c>
      <c r="L292" s="9">
        <v>182</v>
      </c>
      <c r="M292" s="8">
        <v>11.4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1"/>
    </row>
    <row r="293" spans="1:38" ht="13">
      <c r="A293" s="8" t="s">
        <v>625</v>
      </c>
      <c r="B293" s="9" t="s">
        <v>68</v>
      </c>
      <c r="C293" s="9">
        <v>341</v>
      </c>
      <c r="D293" s="9">
        <v>118</v>
      </c>
      <c r="E293" s="9">
        <v>267</v>
      </c>
      <c r="F293" s="9">
        <v>43.7</v>
      </c>
      <c r="G293" s="9">
        <v>180</v>
      </c>
      <c r="H293" s="8">
        <v>39.799999999999997</v>
      </c>
      <c r="I293" s="8">
        <v>31</v>
      </c>
      <c r="J293" s="8">
        <v>43</v>
      </c>
      <c r="K293" s="8">
        <v>82.9</v>
      </c>
      <c r="L293" s="9">
        <v>12</v>
      </c>
      <c r="M293" s="8">
        <v>8.1999999999999993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1"/>
    </row>
    <row r="294" spans="1:38" ht="13">
      <c r="A294" s="8" t="s">
        <v>627</v>
      </c>
      <c r="B294" s="9" t="s">
        <v>70</v>
      </c>
      <c r="C294" s="9">
        <v>340</v>
      </c>
      <c r="D294" s="9">
        <v>122</v>
      </c>
      <c r="E294" s="9">
        <v>273</v>
      </c>
      <c r="F294" s="9">
        <v>44.9</v>
      </c>
      <c r="G294" s="9">
        <v>181</v>
      </c>
      <c r="H294" s="8">
        <v>40.799999999999997</v>
      </c>
      <c r="I294" s="8">
        <v>21</v>
      </c>
      <c r="J294" s="8">
        <v>25</v>
      </c>
      <c r="K294" s="8">
        <v>77.8</v>
      </c>
      <c r="L294" s="9">
        <v>34</v>
      </c>
      <c r="M294" s="8">
        <v>9.5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1"/>
    </row>
    <row r="295" spans="1:38" ht="13">
      <c r="A295" s="8" t="s">
        <v>629</v>
      </c>
      <c r="B295" s="9" t="s">
        <v>164</v>
      </c>
      <c r="C295" s="9">
        <v>340</v>
      </c>
      <c r="D295" s="9">
        <v>131</v>
      </c>
      <c r="E295" s="9">
        <v>308</v>
      </c>
      <c r="F295" s="9">
        <v>42.1</v>
      </c>
      <c r="G295" s="9">
        <v>82</v>
      </c>
      <c r="H295" s="8">
        <v>33.299999999999997</v>
      </c>
      <c r="I295" s="8">
        <v>53</v>
      </c>
      <c r="J295" s="8">
        <v>66</v>
      </c>
      <c r="K295" s="8">
        <v>81.5</v>
      </c>
      <c r="L295" s="9">
        <v>41</v>
      </c>
      <c r="M295" s="8">
        <v>7.8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1"/>
    </row>
    <row r="296" spans="1:38" ht="13">
      <c r="A296" s="8" t="s">
        <v>631</v>
      </c>
      <c r="B296" s="9" t="s">
        <v>76</v>
      </c>
      <c r="C296" s="9">
        <v>336</v>
      </c>
      <c r="D296" s="9">
        <v>127</v>
      </c>
      <c r="E296" s="9">
        <v>270</v>
      </c>
      <c r="F296" s="9">
        <v>46.4</v>
      </c>
      <c r="G296" s="9">
        <v>149</v>
      </c>
      <c r="H296" s="8">
        <v>37.1</v>
      </c>
      <c r="I296" s="8">
        <v>33</v>
      </c>
      <c r="J296" s="8">
        <v>44</v>
      </c>
      <c r="K296" s="8">
        <v>71.7</v>
      </c>
      <c r="L296" s="9">
        <v>50</v>
      </c>
      <c r="M296" s="8">
        <v>5.7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1"/>
    </row>
    <row r="297" spans="1:38" ht="13">
      <c r="A297" s="8" t="s">
        <v>633</v>
      </c>
      <c r="B297" s="8" t="s">
        <v>116</v>
      </c>
      <c r="C297" s="9">
        <v>336</v>
      </c>
      <c r="D297" s="9">
        <v>133</v>
      </c>
      <c r="E297" s="9">
        <v>191</v>
      </c>
      <c r="F297" s="9">
        <v>70.3</v>
      </c>
      <c r="G297" s="8">
        <v>0</v>
      </c>
      <c r="H297" s="8">
        <v>0</v>
      </c>
      <c r="I297" s="8">
        <v>70</v>
      </c>
      <c r="J297" s="8">
        <v>99</v>
      </c>
      <c r="K297" s="8">
        <v>67</v>
      </c>
      <c r="L297" s="9">
        <v>93</v>
      </c>
      <c r="M297" s="8">
        <v>9.3000000000000007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1"/>
    </row>
    <row r="298" spans="1:38" ht="13">
      <c r="A298" s="8" t="s">
        <v>635</v>
      </c>
      <c r="B298" s="9" t="s">
        <v>84</v>
      </c>
      <c r="C298" s="9">
        <v>334</v>
      </c>
      <c r="D298" s="9">
        <v>120</v>
      </c>
      <c r="E298" s="9">
        <v>290</v>
      </c>
      <c r="F298" s="9">
        <v>41.8</v>
      </c>
      <c r="G298" s="9">
        <v>202</v>
      </c>
      <c r="H298" s="8">
        <v>34.200000000000003</v>
      </c>
      <c r="I298" s="8">
        <v>25</v>
      </c>
      <c r="J298" s="8">
        <v>25</v>
      </c>
      <c r="K298" s="8">
        <v>88.9</v>
      </c>
      <c r="L298" s="9">
        <v>44</v>
      </c>
      <c r="M298" s="8">
        <v>5.5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1"/>
    </row>
    <row r="299" spans="1:38" ht="13">
      <c r="A299" s="8" t="s">
        <v>637</v>
      </c>
      <c r="B299" s="9" t="s">
        <v>170</v>
      </c>
      <c r="C299" s="9">
        <v>334</v>
      </c>
      <c r="D299" s="9">
        <v>118</v>
      </c>
      <c r="E299" s="9">
        <v>300</v>
      </c>
      <c r="F299" s="9">
        <v>39.1</v>
      </c>
      <c r="G299" s="9">
        <v>201</v>
      </c>
      <c r="H299" s="8">
        <v>34.5</v>
      </c>
      <c r="I299" s="8">
        <v>27</v>
      </c>
      <c r="J299" s="8">
        <v>34</v>
      </c>
      <c r="K299" s="8">
        <v>80</v>
      </c>
      <c r="L299" s="9">
        <v>23</v>
      </c>
      <c r="M299" s="8">
        <v>6.7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1"/>
    </row>
    <row r="300" spans="1:38" ht="13">
      <c r="A300" s="8" t="s">
        <v>639</v>
      </c>
      <c r="B300" s="8" t="s">
        <v>54</v>
      </c>
      <c r="C300" s="9">
        <v>333</v>
      </c>
      <c r="D300" s="9">
        <v>126</v>
      </c>
      <c r="E300" s="9">
        <v>200</v>
      </c>
      <c r="F300" s="9">
        <v>61.9</v>
      </c>
      <c r="G300" s="9">
        <v>7</v>
      </c>
      <c r="H300" s="8">
        <v>0</v>
      </c>
      <c r="I300" s="8">
        <v>81</v>
      </c>
      <c r="J300" s="8">
        <v>126</v>
      </c>
      <c r="K300" s="8">
        <v>64.8</v>
      </c>
      <c r="L300" s="9">
        <v>118</v>
      </c>
      <c r="M300" s="8">
        <v>9.8000000000000007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1"/>
    </row>
    <row r="301" spans="1:38" ht="13">
      <c r="A301" s="8" t="s">
        <v>641</v>
      </c>
      <c r="B301" s="9" t="s">
        <v>88</v>
      </c>
      <c r="C301" s="9">
        <v>331</v>
      </c>
      <c r="D301" s="9">
        <v>129</v>
      </c>
      <c r="E301" s="9">
        <v>239</v>
      </c>
      <c r="F301" s="9">
        <v>53.8</v>
      </c>
      <c r="G301" s="9">
        <v>46</v>
      </c>
      <c r="H301" s="8">
        <v>39.6</v>
      </c>
      <c r="I301" s="8">
        <v>55</v>
      </c>
      <c r="J301" s="8">
        <v>69</v>
      </c>
      <c r="K301" s="8">
        <v>82.1</v>
      </c>
      <c r="L301" s="9">
        <v>32</v>
      </c>
      <c r="M301" s="8">
        <v>11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1"/>
    </row>
    <row r="302" spans="1:38" ht="13">
      <c r="A302" s="8" t="s">
        <v>643</v>
      </c>
      <c r="B302" s="9" t="s">
        <v>88</v>
      </c>
      <c r="C302" s="9">
        <v>329</v>
      </c>
      <c r="D302" s="9">
        <v>117</v>
      </c>
      <c r="E302" s="9">
        <v>270</v>
      </c>
      <c r="F302" s="9">
        <v>44.8</v>
      </c>
      <c r="G302" s="9">
        <v>102</v>
      </c>
      <c r="H302" s="8">
        <v>35.6</v>
      </c>
      <c r="I302" s="8">
        <v>51</v>
      </c>
      <c r="J302" s="8">
        <v>66</v>
      </c>
      <c r="K302" s="8">
        <v>71</v>
      </c>
      <c r="L302" s="9">
        <v>37</v>
      </c>
      <c r="M302" s="8">
        <v>5.6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1"/>
    </row>
    <row r="303" spans="1:38" ht="13">
      <c r="A303" s="8" t="s">
        <v>645</v>
      </c>
      <c r="B303" s="9" t="s">
        <v>114</v>
      </c>
      <c r="C303" s="9">
        <v>329</v>
      </c>
      <c r="D303" s="9">
        <v>119</v>
      </c>
      <c r="E303" s="9">
        <v>242</v>
      </c>
      <c r="F303" s="9">
        <v>49.6</v>
      </c>
      <c r="G303" s="9">
        <v>102</v>
      </c>
      <c r="H303" s="8">
        <v>37.299999999999997</v>
      </c>
      <c r="I303" s="8">
        <v>53</v>
      </c>
      <c r="J303" s="8">
        <v>67</v>
      </c>
      <c r="K303" s="8">
        <v>77.599999999999994</v>
      </c>
      <c r="L303" s="9">
        <v>25</v>
      </c>
      <c r="M303" s="8">
        <v>12.7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1"/>
    </row>
    <row r="304" spans="1:38" ht="13">
      <c r="A304" s="8" t="s">
        <v>647</v>
      </c>
      <c r="B304" s="9" t="s">
        <v>164</v>
      </c>
      <c r="C304" s="9">
        <v>323</v>
      </c>
      <c r="D304" s="9">
        <v>134</v>
      </c>
      <c r="E304" s="9">
        <v>235</v>
      </c>
      <c r="F304" s="9">
        <v>57.4</v>
      </c>
      <c r="G304" s="9">
        <v>67</v>
      </c>
      <c r="H304" s="8">
        <v>31.8</v>
      </c>
      <c r="I304" s="8">
        <v>34</v>
      </c>
      <c r="J304" s="8">
        <v>42</v>
      </c>
      <c r="K304" s="8">
        <v>77.3</v>
      </c>
      <c r="L304" s="9">
        <v>63</v>
      </c>
      <c r="M304" s="8">
        <v>9.6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1"/>
    </row>
    <row r="305" spans="1:38" ht="13">
      <c r="A305" s="8" t="s">
        <v>649</v>
      </c>
      <c r="B305" s="9" t="s">
        <v>76</v>
      </c>
      <c r="C305" s="9">
        <v>319</v>
      </c>
      <c r="D305" s="9">
        <v>112</v>
      </c>
      <c r="E305" s="9">
        <v>271</v>
      </c>
      <c r="F305" s="9">
        <v>41.3</v>
      </c>
      <c r="G305" s="9">
        <v>224</v>
      </c>
      <c r="H305" s="8">
        <v>36</v>
      </c>
      <c r="I305" s="8">
        <v>18</v>
      </c>
      <c r="J305" s="8">
        <v>30</v>
      </c>
      <c r="K305" s="8">
        <v>53.3</v>
      </c>
      <c r="L305" s="9">
        <v>53</v>
      </c>
      <c r="M305" s="8">
        <v>6.7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1"/>
    </row>
    <row r="306" spans="1:38" ht="13">
      <c r="A306" s="8" t="s">
        <v>651</v>
      </c>
      <c r="B306" s="9" t="s">
        <v>140</v>
      </c>
      <c r="C306" s="9">
        <v>315</v>
      </c>
      <c r="D306" s="9">
        <v>118</v>
      </c>
      <c r="E306" s="9">
        <v>291</v>
      </c>
      <c r="F306" s="9">
        <v>40.5</v>
      </c>
      <c r="G306" s="9">
        <v>165</v>
      </c>
      <c r="H306" s="8">
        <v>33.5</v>
      </c>
      <c r="I306" s="8">
        <v>24</v>
      </c>
      <c r="J306" s="8">
        <v>28</v>
      </c>
      <c r="K306" s="8">
        <v>80</v>
      </c>
      <c r="L306" s="9">
        <v>38</v>
      </c>
      <c r="M306" s="8">
        <v>4.5999999999999996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1"/>
    </row>
    <row r="307" spans="1:38" ht="13">
      <c r="A307" s="8" t="s">
        <v>653</v>
      </c>
      <c r="B307" s="9" t="s">
        <v>74</v>
      </c>
      <c r="C307" s="9">
        <v>314</v>
      </c>
      <c r="D307" s="9">
        <v>114</v>
      </c>
      <c r="E307" s="9">
        <v>257</v>
      </c>
      <c r="F307" s="9">
        <v>45.3</v>
      </c>
      <c r="G307" s="9">
        <v>108</v>
      </c>
      <c r="H307" s="8">
        <v>35.799999999999997</v>
      </c>
      <c r="I307" s="8">
        <v>46</v>
      </c>
      <c r="J307" s="8">
        <v>57</v>
      </c>
      <c r="K307" s="8">
        <v>79.7</v>
      </c>
      <c r="L307" s="9">
        <v>29</v>
      </c>
      <c r="M307" s="8">
        <v>8.1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1"/>
    </row>
    <row r="308" spans="1:38" ht="13">
      <c r="A308" s="8" t="s">
        <v>655</v>
      </c>
      <c r="B308" s="8" t="s">
        <v>144</v>
      </c>
      <c r="C308" s="9">
        <v>313</v>
      </c>
      <c r="D308" s="9">
        <v>133</v>
      </c>
      <c r="E308" s="9">
        <v>191</v>
      </c>
      <c r="F308" s="9">
        <v>70.2</v>
      </c>
      <c r="G308" s="8">
        <v>0</v>
      </c>
      <c r="H308" s="8">
        <v>0</v>
      </c>
      <c r="I308" s="8">
        <v>47</v>
      </c>
      <c r="J308" s="8">
        <v>72</v>
      </c>
      <c r="K308" s="8">
        <v>63</v>
      </c>
      <c r="L308" s="9">
        <v>104</v>
      </c>
      <c r="M308" s="8">
        <v>12.4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1"/>
    </row>
    <row r="309" spans="1:38" ht="13">
      <c r="A309" s="8" t="s">
        <v>657</v>
      </c>
      <c r="B309" s="9" t="s">
        <v>62</v>
      </c>
      <c r="C309" s="9">
        <v>312</v>
      </c>
      <c r="D309" s="9">
        <v>101</v>
      </c>
      <c r="E309" s="9">
        <v>242</v>
      </c>
      <c r="F309" s="9">
        <v>43.7</v>
      </c>
      <c r="G309" s="9">
        <v>203</v>
      </c>
      <c r="H309" s="8">
        <v>43.3</v>
      </c>
      <c r="I309" s="8">
        <v>16</v>
      </c>
      <c r="J309" s="8">
        <v>23</v>
      </c>
      <c r="K309" s="8">
        <v>81</v>
      </c>
      <c r="L309" s="9">
        <v>47</v>
      </c>
      <c r="M309" s="8">
        <v>6.9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1"/>
    </row>
    <row r="310" spans="1:38" ht="13">
      <c r="A310" s="8" t="s">
        <v>659</v>
      </c>
      <c r="B310" s="9" t="s">
        <v>122</v>
      </c>
      <c r="C310" s="9">
        <v>312</v>
      </c>
      <c r="D310" s="9">
        <v>120</v>
      </c>
      <c r="E310" s="9">
        <v>228</v>
      </c>
      <c r="F310" s="9">
        <v>51.5</v>
      </c>
      <c r="G310" s="9">
        <v>72</v>
      </c>
      <c r="H310" s="8">
        <v>38.9</v>
      </c>
      <c r="I310" s="8">
        <v>48</v>
      </c>
      <c r="J310" s="8">
        <v>72</v>
      </c>
      <c r="K310" s="8">
        <v>69</v>
      </c>
      <c r="L310" s="9">
        <v>60</v>
      </c>
      <c r="M310" s="8">
        <v>10.7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1"/>
    </row>
    <row r="311" spans="1:38" ht="13">
      <c r="A311" s="8" t="s">
        <v>661</v>
      </c>
      <c r="B311" s="8" t="s">
        <v>52</v>
      </c>
      <c r="C311" s="9">
        <v>310</v>
      </c>
      <c r="D311" s="9">
        <v>130</v>
      </c>
      <c r="E311" s="9">
        <v>205</v>
      </c>
      <c r="F311" s="9">
        <v>65</v>
      </c>
      <c r="G311" s="8">
        <v>0</v>
      </c>
      <c r="H311" s="8">
        <v>0</v>
      </c>
      <c r="I311" s="8">
        <v>43</v>
      </c>
      <c r="J311" s="8">
        <v>62</v>
      </c>
      <c r="K311" s="8">
        <v>75.400000000000006</v>
      </c>
      <c r="L311" s="9">
        <v>87</v>
      </c>
      <c r="M311" s="8">
        <v>10.199999999999999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1"/>
    </row>
    <row r="312" spans="1:38" ht="13">
      <c r="A312" s="8" t="s">
        <v>663</v>
      </c>
      <c r="B312" s="9" t="s">
        <v>114</v>
      </c>
      <c r="C312" s="9">
        <v>306</v>
      </c>
      <c r="D312" s="9">
        <v>102</v>
      </c>
      <c r="E312" s="9">
        <v>258</v>
      </c>
      <c r="F312" s="9">
        <v>39.299999999999997</v>
      </c>
      <c r="G312" s="9">
        <v>139</v>
      </c>
      <c r="H312" s="8">
        <v>34.799999999999997</v>
      </c>
      <c r="I312" s="8">
        <v>54</v>
      </c>
      <c r="J312" s="8">
        <v>71</v>
      </c>
      <c r="K312" s="8">
        <v>76.099999999999994</v>
      </c>
      <c r="L312" s="9">
        <v>17</v>
      </c>
      <c r="M312" s="8">
        <v>8.6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1"/>
    </row>
    <row r="313" spans="1:38" ht="13">
      <c r="A313" s="8" t="s">
        <v>665</v>
      </c>
      <c r="B313" s="9" t="s">
        <v>114</v>
      </c>
      <c r="C313" s="9">
        <v>305</v>
      </c>
      <c r="D313" s="9">
        <v>103</v>
      </c>
      <c r="E313" s="9">
        <v>240</v>
      </c>
      <c r="F313" s="9">
        <v>43.3</v>
      </c>
      <c r="G313" s="9">
        <v>55</v>
      </c>
      <c r="H313" s="8">
        <v>28.6</v>
      </c>
      <c r="I313" s="8">
        <v>82</v>
      </c>
      <c r="J313" s="8">
        <v>91</v>
      </c>
      <c r="K313" s="8">
        <v>88</v>
      </c>
      <c r="L313" s="9">
        <v>22</v>
      </c>
      <c r="M313" s="8">
        <v>11.3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1"/>
    </row>
    <row r="314" spans="1:38" ht="13">
      <c r="A314" s="8" t="s">
        <v>667</v>
      </c>
      <c r="B314" s="9" t="s">
        <v>164</v>
      </c>
      <c r="C314" s="9">
        <v>304</v>
      </c>
      <c r="D314" s="9">
        <v>114</v>
      </c>
      <c r="E314" s="9">
        <v>246</v>
      </c>
      <c r="F314" s="9">
        <v>45.6</v>
      </c>
      <c r="G314" s="9">
        <v>128</v>
      </c>
      <c r="H314" s="8">
        <v>39.5</v>
      </c>
      <c r="I314" s="8">
        <v>26</v>
      </c>
      <c r="J314" s="8">
        <v>35</v>
      </c>
      <c r="K314" s="8">
        <v>80</v>
      </c>
      <c r="L314" s="9">
        <v>18</v>
      </c>
      <c r="M314" s="8">
        <v>7.2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1"/>
    </row>
    <row r="315" spans="1:38" ht="13">
      <c r="A315" s="8" t="s">
        <v>669</v>
      </c>
      <c r="B315" s="9" t="s">
        <v>146</v>
      </c>
      <c r="C315" s="9">
        <v>304</v>
      </c>
      <c r="D315" s="9">
        <v>114</v>
      </c>
      <c r="E315" s="9">
        <v>260</v>
      </c>
      <c r="F315" s="9">
        <v>44.4</v>
      </c>
      <c r="G315" s="9">
        <v>53</v>
      </c>
      <c r="H315" s="8">
        <v>32.700000000000003</v>
      </c>
      <c r="I315" s="8">
        <v>53</v>
      </c>
      <c r="J315" s="8">
        <v>70</v>
      </c>
      <c r="K315" s="8">
        <v>77.099999999999994</v>
      </c>
      <c r="L315" s="9">
        <v>88</v>
      </c>
      <c r="M315" s="8">
        <v>8.8000000000000007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1"/>
    </row>
    <row r="316" spans="1:38" ht="13">
      <c r="A316" s="8" t="s">
        <v>671</v>
      </c>
      <c r="B316" s="9" t="s">
        <v>116</v>
      </c>
      <c r="C316" s="9">
        <v>292</v>
      </c>
      <c r="D316" s="9">
        <v>116</v>
      </c>
      <c r="E316" s="9">
        <v>236</v>
      </c>
      <c r="F316" s="9">
        <v>50</v>
      </c>
      <c r="G316" s="9">
        <v>20</v>
      </c>
      <c r="H316" s="8">
        <v>15</v>
      </c>
      <c r="I316" s="8">
        <v>56</v>
      </c>
      <c r="J316" s="8">
        <v>92</v>
      </c>
      <c r="K316" s="8">
        <v>62.2</v>
      </c>
      <c r="L316" s="9">
        <v>108</v>
      </c>
      <c r="M316" s="8">
        <v>10.9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1"/>
    </row>
    <row r="317" spans="1:38" ht="13">
      <c r="A317" s="8" t="s">
        <v>673</v>
      </c>
      <c r="B317" s="9" t="s">
        <v>122</v>
      </c>
      <c r="C317" s="9">
        <v>290</v>
      </c>
      <c r="D317" s="9">
        <v>117</v>
      </c>
      <c r="E317" s="9">
        <v>276</v>
      </c>
      <c r="F317" s="9">
        <v>41.9</v>
      </c>
      <c r="G317" s="9">
        <v>117</v>
      </c>
      <c r="H317" s="8">
        <v>22.5</v>
      </c>
      <c r="I317" s="8">
        <v>28</v>
      </c>
      <c r="J317" s="8">
        <v>55</v>
      </c>
      <c r="K317" s="8">
        <v>45.6</v>
      </c>
      <c r="L317" s="9">
        <v>76</v>
      </c>
      <c r="M317" s="8">
        <v>6.1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1"/>
    </row>
    <row r="318" spans="1:38" ht="13">
      <c r="A318" s="8" t="s">
        <v>675</v>
      </c>
      <c r="B318" s="9" t="s">
        <v>116</v>
      </c>
      <c r="C318" s="9">
        <v>287</v>
      </c>
      <c r="D318" s="9">
        <v>111</v>
      </c>
      <c r="E318" s="9">
        <v>230</v>
      </c>
      <c r="F318" s="9">
        <v>48.7</v>
      </c>
      <c r="G318" s="9">
        <v>70</v>
      </c>
      <c r="H318" s="8">
        <v>40</v>
      </c>
      <c r="I318" s="8">
        <v>33</v>
      </c>
      <c r="J318" s="8">
        <v>45</v>
      </c>
      <c r="K318" s="8">
        <v>73.3</v>
      </c>
      <c r="L318" s="9">
        <v>12</v>
      </c>
      <c r="M318" s="8">
        <v>10.6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1"/>
    </row>
    <row r="319" spans="1:38" ht="13">
      <c r="A319" s="8" t="s">
        <v>677</v>
      </c>
      <c r="B319" s="9" t="s">
        <v>64</v>
      </c>
      <c r="C319" s="9">
        <v>285</v>
      </c>
      <c r="D319" s="9">
        <v>105</v>
      </c>
      <c r="E319" s="9">
        <v>230</v>
      </c>
      <c r="F319" s="9">
        <v>46.1</v>
      </c>
      <c r="G319" s="9">
        <v>155</v>
      </c>
      <c r="H319" s="8">
        <v>39.700000000000003</v>
      </c>
      <c r="I319" s="8">
        <v>10</v>
      </c>
      <c r="J319" s="8">
        <v>20</v>
      </c>
      <c r="K319" s="8">
        <v>66.7</v>
      </c>
      <c r="L319" s="9">
        <v>10</v>
      </c>
      <c r="M319" s="8">
        <v>6.2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1"/>
    </row>
    <row r="320" spans="1:38" ht="13">
      <c r="A320" s="8" t="s">
        <v>679</v>
      </c>
      <c r="B320" s="9" t="s">
        <v>140</v>
      </c>
      <c r="C320" s="9">
        <v>284</v>
      </c>
      <c r="D320" s="9">
        <v>96</v>
      </c>
      <c r="E320" s="9">
        <v>212</v>
      </c>
      <c r="F320" s="9">
        <v>44.3</v>
      </c>
      <c r="G320" s="9">
        <v>92</v>
      </c>
      <c r="H320" s="8">
        <v>34.799999999999997</v>
      </c>
      <c r="I320" s="8">
        <v>64</v>
      </c>
      <c r="J320" s="8">
        <v>84</v>
      </c>
      <c r="K320" s="8">
        <v>74.099999999999994</v>
      </c>
      <c r="L320" s="9">
        <v>44</v>
      </c>
      <c r="M320" s="8">
        <v>10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1"/>
    </row>
    <row r="321" spans="1:38" ht="13">
      <c r="A321" s="8" t="s">
        <v>681</v>
      </c>
      <c r="B321" s="9" t="s">
        <v>140</v>
      </c>
      <c r="C321" s="9">
        <v>281</v>
      </c>
      <c r="D321" s="9">
        <v>104</v>
      </c>
      <c r="E321" s="9">
        <v>302</v>
      </c>
      <c r="F321" s="9">
        <v>34.6</v>
      </c>
      <c r="G321" s="9">
        <v>130</v>
      </c>
      <c r="H321" s="8">
        <v>25.4</v>
      </c>
      <c r="I321" s="8">
        <v>40</v>
      </c>
      <c r="J321" s="8">
        <v>50</v>
      </c>
      <c r="K321" s="8">
        <v>82</v>
      </c>
      <c r="L321" s="9">
        <v>40</v>
      </c>
      <c r="M321" s="8">
        <v>6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1"/>
    </row>
    <row r="322" spans="1:38" ht="13">
      <c r="A322" s="8" t="s">
        <v>683</v>
      </c>
      <c r="B322" s="8" t="s">
        <v>62</v>
      </c>
      <c r="C322" s="9">
        <v>281</v>
      </c>
      <c r="D322" s="9">
        <v>116</v>
      </c>
      <c r="E322" s="9">
        <v>195</v>
      </c>
      <c r="F322" s="9">
        <v>59.3</v>
      </c>
      <c r="G322" s="9">
        <v>6</v>
      </c>
      <c r="H322" s="8">
        <v>50</v>
      </c>
      <c r="I322" s="8">
        <v>49</v>
      </c>
      <c r="J322" s="8">
        <v>73</v>
      </c>
      <c r="K322" s="8">
        <v>66.2</v>
      </c>
      <c r="L322" s="9">
        <v>61</v>
      </c>
      <c r="M322" s="8">
        <v>11.1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1"/>
    </row>
    <row r="323" spans="1:38" ht="13">
      <c r="A323" s="8" t="s">
        <v>685</v>
      </c>
      <c r="B323" s="9" t="s">
        <v>44</v>
      </c>
      <c r="C323" s="9">
        <v>277</v>
      </c>
      <c r="D323" s="9">
        <v>99</v>
      </c>
      <c r="E323" s="9">
        <v>221</v>
      </c>
      <c r="F323" s="9">
        <v>43.9</v>
      </c>
      <c r="G323" s="9">
        <v>155</v>
      </c>
      <c r="H323" s="8">
        <v>39.9</v>
      </c>
      <c r="I323" s="8">
        <v>24</v>
      </c>
      <c r="J323" s="8">
        <v>28</v>
      </c>
      <c r="K323" s="8">
        <v>76.7</v>
      </c>
      <c r="L323" s="9">
        <v>47</v>
      </c>
      <c r="M323" s="8">
        <v>12.4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1"/>
    </row>
    <row r="324" spans="1:38" ht="13">
      <c r="A324" s="8" t="s">
        <v>687</v>
      </c>
      <c r="B324" s="9" t="s">
        <v>170</v>
      </c>
      <c r="C324" s="9">
        <v>275</v>
      </c>
      <c r="D324" s="9">
        <v>112</v>
      </c>
      <c r="E324" s="9">
        <v>202</v>
      </c>
      <c r="F324" s="9">
        <v>55.2</v>
      </c>
      <c r="G324" s="9">
        <v>56</v>
      </c>
      <c r="H324" s="8">
        <v>25.9</v>
      </c>
      <c r="I324" s="8">
        <v>39</v>
      </c>
      <c r="J324" s="8">
        <v>47</v>
      </c>
      <c r="K324" s="8">
        <v>78.7</v>
      </c>
      <c r="L324" s="9">
        <v>30</v>
      </c>
      <c r="M324" s="8">
        <v>6.1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1"/>
    </row>
    <row r="325" spans="1:38" ht="13">
      <c r="A325" s="8" t="s">
        <v>689</v>
      </c>
      <c r="B325" s="9" t="s">
        <v>144</v>
      </c>
      <c r="C325" s="9">
        <v>274</v>
      </c>
      <c r="D325" s="9">
        <v>99</v>
      </c>
      <c r="E325" s="9">
        <v>188</v>
      </c>
      <c r="F325" s="9">
        <v>52.1</v>
      </c>
      <c r="G325" s="9">
        <v>59</v>
      </c>
      <c r="H325" s="8">
        <v>40</v>
      </c>
      <c r="I325" s="8">
        <v>56</v>
      </c>
      <c r="J325" s="8">
        <v>66</v>
      </c>
      <c r="K325" s="8">
        <v>83.3</v>
      </c>
      <c r="L325" s="9">
        <v>13</v>
      </c>
      <c r="M325" s="8">
        <v>11.9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1"/>
    </row>
    <row r="326" spans="1:38" ht="13">
      <c r="A326" s="8" t="s">
        <v>691</v>
      </c>
      <c r="B326" s="9" t="s">
        <v>54</v>
      </c>
      <c r="C326" s="9">
        <v>271</v>
      </c>
      <c r="D326" s="9">
        <v>94</v>
      </c>
      <c r="E326" s="9">
        <v>275</v>
      </c>
      <c r="F326" s="9">
        <v>34.799999999999997</v>
      </c>
      <c r="G326" s="9">
        <v>123</v>
      </c>
      <c r="H326" s="8">
        <v>36</v>
      </c>
      <c r="I326" s="8">
        <v>33</v>
      </c>
      <c r="J326" s="8">
        <v>41</v>
      </c>
      <c r="K326" s="8">
        <v>82.9</v>
      </c>
      <c r="L326" s="9">
        <v>21</v>
      </c>
      <c r="M326" s="8">
        <v>6.1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1"/>
    </row>
    <row r="327" spans="1:38" ht="13">
      <c r="A327" s="8" t="s">
        <v>693</v>
      </c>
      <c r="B327" s="9" t="s">
        <v>98</v>
      </c>
      <c r="C327" s="9">
        <v>270</v>
      </c>
      <c r="D327" s="9">
        <v>96</v>
      </c>
      <c r="E327" s="9">
        <v>264</v>
      </c>
      <c r="F327" s="9">
        <v>37.4</v>
      </c>
      <c r="G327" s="9">
        <v>186</v>
      </c>
      <c r="H327" s="8">
        <v>29.6</v>
      </c>
      <c r="I327" s="8">
        <v>18</v>
      </c>
      <c r="J327" s="8">
        <v>24</v>
      </c>
      <c r="K327" s="8">
        <v>69.599999999999994</v>
      </c>
      <c r="L327" s="9">
        <v>18</v>
      </c>
      <c r="M327" s="8">
        <v>4.5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1"/>
    </row>
    <row r="328" spans="1:38" ht="13">
      <c r="A328" s="8" t="s">
        <v>695</v>
      </c>
      <c r="B328" s="9" t="s">
        <v>196</v>
      </c>
      <c r="C328" s="9">
        <v>266</v>
      </c>
      <c r="D328" s="9">
        <v>95</v>
      </c>
      <c r="E328" s="9">
        <v>221</v>
      </c>
      <c r="F328" s="9">
        <v>42.7</v>
      </c>
      <c r="G328" s="9">
        <v>78</v>
      </c>
      <c r="H328" s="8">
        <v>31.2</v>
      </c>
      <c r="I328" s="8">
        <v>56</v>
      </c>
      <c r="J328" s="8">
        <v>73</v>
      </c>
      <c r="K328" s="8">
        <v>75.3</v>
      </c>
      <c r="L328" s="9">
        <v>31</v>
      </c>
      <c r="M328" s="8">
        <v>8.6999999999999993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1"/>
    </row>
    <row r="329" spans="1:38" ht="13">
      <c r="A329" s="8" t="s">
        <v>697</v>
      </c>
      <c r="B329" s="9" t="s">
        <v>88</v>
      </c>
      <c r="C329" s="9">
        <v>266</v>
      </c>
      <c r="D329" s="9">
        <v>88</v>
      </c>
      <c r="E329" s="9">
        <v>242</v>
      </c>
      <c r="F329" s="9">
        <v>36.6</v>
      </c>
      <c r="G329" s="9">
        <v>196</v>
      </c>
      <c r="H329" s="8">
        <v>34.4</v>
      </c>
      <c r="I329" s="8">
        <v>21</v>
      </c>
      <c r="J329" s="8">
        <v>28</v>
      </c>
      <c r="K329" s="8">
        <v>81.5</v>
      </c>
      <c r="L329" s="9">
        <v>25</v>
      </c>
      <c r="M329" s="8">
        <v>7.8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1"/>
    </row>
    <row r="330" spans="1:38" ht="13">
      <c r="A330" s="8" t="s">
        <v>699</v>
      </c>
      <c r="B330" s="9" t="s">
        <v>116</v>
      </c>
      <c r="C330" s="9">
        <v>265</v>
      </c>
      <c r="D330" s="9">
        <v>86</v>
      </c>
      <c r="E330" s="9">
        <v>203</v>
      </c>
      <c r="F330" s="9">
        <v>42.6</v>
      </c>
      <c r="G330" s="9">
        <v>137</v>
      </c>
      <c r="H330" s="8">
        <v>40.9</v>
      </c>
      <c r="I330" s="8">
        <v>35</v>
      </c>
      <c r="J330" s="8">
        <v>47</v>
      </c>
      <c r="K330" s="8">
        <v>75</v>
      </c>
      <c r="L330" s="9">
        <v>8</v>
      </c>
      <c r="M330" s="8">
        <v>6.7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1"/>
    </row>
    <row r="331" spans="1:38" ht="13">
      <c r="A331" s="8" t="s">
        <v>701</v>
      </c>
      <c r="B331" s="8" t="s">
        <v>54</v>
      </c>
      <c r="C331" s="9">
        <v>256</v>
      </c>
      <c r="D331" s="9">
        <v>116</v>
      </c>
      <c r="E331" s="9">
        <v>189</v>
      </c>
      <c r="F331" s="9">
        <v>60.4</v>
      </c>
      <c r="G331" s="8">
        <v>0</v>
      </c>
      <c r="H331" s="8">
        <v>0</v>
      </c>
      <c r="I331" s="8">
        <v>31</v>
      </c>
      <c r="J331" s="8">
        <v>49</v>
      </c>
      <c r="K331" s="8">
        <v>58</v>
      </c>
      <c r="L331" s="9">
        <v>67</v>
      </c>
      <c r="M331" s="8">
        <v>7.3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1"/>
    </row>
    <row r="332" spans="1:38" ht="13">
      <c r="A332" s="8" t="s">
        <v>703</v>
      </c>
      <c r="B332" s="9" t="s">
        <v>60</v>
      </c>
      <c r="C332" s="9">
        <v>255</v>
      </c>
      <c r="D332" s="9">
        <v>94</v>
      </c>
      <c r="E332" s="9">
        <v>250</v>
      </c>
      <c r="F332" s="9">
        <v>36.9</v>
      </c>
      <c r="G332" s="9">
        <v>187</v>
      </c>
      <c r="H332" s="8">
        <v>34.4</v>
      </c>
      <c r="I332" s="8">
        <v>10</v>
      </c>
      <c r="J332" s="8">
        <v>10</v>
      </c>
      <c r="K332" s="8">
        <v>72.7</v>
      </c>
      <c r="L332" s="9">
        <v>21</v>
      </c>
      <c r="M332" s="8">
        <v>6.1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1"/>
    </row>
    <row r="333" spans="1:38" ht="13">
      <c r="A333" s="8" t="s">
        <v>705</v>
      </c>
      <c r="B333" s="8" t="s">
        <v>62</v>
      </c>
      <c r="C333" s="9">
        <v>255</v>
      </c>
      <c r="D333" s="9">
        <v>117</v>
      </c>
      <c r="E333" s="9">
        <v>224</v>
      </c>
      <c r="F333" s="9">
        <v>52</v>
      </c>
      <c r="G333" s="8">
        <v>0</v>
      </c>
      <c r="H333" s="8">
        <v>0</v>
      </c>
      <c r="I333" s="8">
        <v>26</v>
      </c>
      <c r="J333" s="8">
        <v>31</v>
      </c>
      <c r="K333" s="8">
        <v>72.7</v>
      </c>
      <c r="L333" s="9">
        <v>46</v>
      </c>
      <c r="M333" s="8">
        <v>10.3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1"/>
    </row>
    <row r="334" spans="1:38" ht="13">
      <c r="A334" s="8" t="s">
        <v>707</v>
      </c>
      <c r="B334" s="9" t="s">
        <v>56</v>
      </c>
      <c r="C334" s="9">
        <v>253</v>
      </c>
      <c r="D334" s="9">
        <v>88</v>
      </c>
      <c r="E334" s="9">
        <v>204</v>
      </c>
      <c r="F334" s="9">
        <v>43.8</v>
      </c>
      <c r="G334" s="9">
        <v>94</v>
      </c>
      <c r="H334" s="8">
        <v>33.700000000000003</v>
      </c>
      <c r="I334" s="8">
        <v>39</v>
      </c>
      <c r="J334" s="8">
        <v>61</v>
      </c>
      <c r="K334" s="8">
        <v>67.2</v>
      </c>
      <c r="L334" s="9">
        <v>28</v>
      </c>
      <c r="M334" s="8">
        <v>5.5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1"/>
    </row>
    <row r="335" spans="1:38" ht="13">
      <c r="A335" s="8" t="s">
        <v>709</v>
      </c>
      <c r="B335" s="9" t="s">
        <v>116</v>
      </c>
      <c r="C335" s="9">
        <v>248</v>
      </c>
      <c r="D335" s="9">
        <v>90</v>
      </c>
      <c r="E335" s="9">
        <v>212</v>
      </c>
      <c r="F335" s="9">
        <v>42</v>
      </c>
      <c r="G335" s="9">
        <v>128</v>
      </c>
      <c r="H335" s="8">
        <v>35.4</v>
      </c>
      <c r="I335" s="8">
        <v>24</v>
      </c>
      <c r="J335" s="8">
        <v>30</v>
      </c>
      <c r="K335" s="8">
        <v>80</v>
      </c>
      <c r="L335" s="9">
        <v>6</v>
      </c>
      <c r="M335" s="8">
        <v>9.1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1"/>
    </row>
    <row r="336" spans="1:38" ht="13">
      <c r="A336" s="8" t="s">
        <v>711</v>
      </c>
      <c r="B336" s="9" t="s">
        <v>54</v>
      </c>
      <c r="C336" s="9">
        <v>245</v>
      </c>
      <c r="D336" s="9">
        <v>97</v>
      </c>
      <c r="E336" s="9">
        <v>184</v>
      </c>
      <c r="F336" s="9">
        <v>52.5</v>
      </c>
      <c r="G336" s="9">
        <v>94</v>
      </c>
      <c r="H336" s="8">
        <v>34.4</v>
      </c>
      <c r="I336" s="8">
        <v>22</v>
      </c>
      <c r="J336" s="8">
        <v>25</v>
      </c>
      <c r="K336" s="8">
        <v>76.900000000000006</v>
      </c>
      <c r="L336" s="9">
        <v>22</v>
      </c>
      <c r="M336" s="8">
        <v>11.4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1"/>
    </row>
    <row r="337" spans="1:38" ht="13">
      <c r="A337" s="8" t="s">
        <v>713</v>
      </c>
      <c r="B337" s="9" t="s">
        <v>98</v>
      </c>
      <c r="C337" s="9">
        <v>238</v>
      </c>
      <c r="D337" s="9">
        <v>81</v>
      </c>
      <c r="E337" s="9">
        <v>191</v>
      </c>
      <c r="F337" s="9">
        <v>42.1</v>
      </c>
      <c r="G337" s="9">
        <v>162</v>
      </c>
      <c r="H337" s="8">
        <v>40</v>
      </c>
      <c r="I337" s="8">
        <v>17</v>
      </c>
      <c r="J337" s="8">
        <v>17</v>
      </c>
      <c r="K337" s="8">
        <v>88.2</v>
      </c>
      <c r="L337" s="9">
        <v>17</v>
      </c>
      <c r="M337" s="8">
        <v>6.1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1"/>
    </row>
    <row r="338" spans="1:38" ht="13">
      <c r="A338" s="8" t="s">
        <v>715</v>
      </c>
      <c r="B338" s="9" t="s">
        <v>146</v>
      </c>
      <c r="C338" s="9">
        <v>237</v>
      </c>
      <c r="D338" s="9">
        <v>81</v>
      </c>
      <c r="E338" s="9">
        <v>190</v>
      </c>
      <c r="F338" s="9">
        <v>42.1</v>
      </c>
      <c r="G338" s="9">
        <v>101</v>
      </c>
      <c r="H338" s="8">
        <v>32.700000000000003</v>
      </c>
      <c r="I338" s="8">
        <v>44</v>
      </c>
      <c r="J338" s="8">
        <v>62</v>
      </c>
      <c r="K338" s="8">
        <v>68.3</v>
      </c>
      <c r="L338" s="9">
        <v>21</v>
      </c>
      <c r="M338" s="8">
        <v>8.1999999999999993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1"/>
    </row>
    <row r="339" spans="1:38" ht="13">
      <c r="A339" s="8" t="s">
        <v>717</v>
      </c>
      <c r="B339" s="9" t="s">
        <v>94</v>
      </c>
      <c r="C339" s="9">
        <v>235</v>
      </c>
      <c r="D339" s="9">
        <v>89</v>
      </c>
      <c r="E339" s="9">
        <v>188</v>
      </c>
      <c r="F339" s="9">
        <v>45.8</v>
      </c>
      <c r="G339" s="9">
        <v>85</v>
      </c>
      <c r="H339" s="8">
        <v>40.5</v>
      </c>
      <c r="I339" s="8">
        <v>28</v>
      </c>
      <c r="J339" s="8">
        <v>33</v>
      </c>
      <c r="K339" s="8">
        <v>81.8</v>
      </c>
      <c r="L339" s="9">
        <v>5</v>
      </c>
      <c r="M339" s="8">
        <v>8.6999999999999993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1"/>
    </row>
    <row r="340" spans="1:38" ht="13">
      <c r="A340" s="8" t="s">
        <v>719</v>
      </c>
      <c r="B340" s="9" t="s">
        <v>44</v>
      </c>
      <c r="C340" s="9">
        <v>234</v>
      </c>
      <c r="D340" s="9">
        <v>90</v>
      </c>
      <c r="E340" s="9">
        <v>184</v>
      </c>
      <c r="F340" s="9">
        <v>49.5</v>
      </c>
      <c r="G340" s="9">
        <v>61</v>
      </c>
      <c r="H340" s="8">
        <v>38.299999999999997</v>
      </c>
      <c r="I340" s="8">
        <v>29</v>
      </c>
      <c r="J340" s="8">
        <v>36</v>
      </c>
      <c r="K340" s="8">
        <v>82.9</v>
      </c>
      <c r="L340" s="9">
        <v>18</v>
      </c>
      <c r="M340" s="8">
        <v>8.1999999999999993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1"/>
    </row>
    <row r="341" spans="1:38" ht="13">
      <c r="A341" s="8" t="s">
        <v>721</v>
      </c>
      <c r="B341" s="9" t="s">
        <v>54</v>
      </c>
      <c r="C341" s="9">
        <v>234</v>
      </c>
      <c r="D341" s="9">
        <v>81</v>
      </c>
      <c r="E341" s="9">
        <v>194</v>
      </c>
      <c r="F341" s="9">
        <v>42.6</v>
      </c>
      <c r="G341" s="9">
        <v>86</v>
      </c>
      <c r="H341" s="8">
        <v>36</v>
      </c>
      <c r="I341" s="8">
        <v>36</v>
      </c>
      <c r="J341" s="8">
        <v>41</v>
      </c>
      <c r="K341" s="8">
        <v>85.7</v>
      </c>
      <c r="L341" s="9">
        <v>14</v>
      </c>
      <c r="M341" s="8">
        <v>9.6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1"/>
    </row>
    <row r="342" spans="1:38" ht="13">
      <c r="A342" s="8" t="s">
        <v>723</v>
      </c>
      <c r="B342" s="9" t="s">
        <v>70</v>
      </c>
      <c r="C342" s="9">
        <v>230</v>
      </c>
      <c r="D342" s="9">
        <v>84</v>
      </c>
      <c r="E342" s="9">
        <v>179</v>
      </c>
      <c r="F342" s="9">
        <v>45.8</v>
      </c>
      <c r="G342" s="9">
        <v>101</v>
      </c>
      <c r="H342" s="8">
        <v>33</v>
      </c>
      <c r="I342" s="8">
        <v>28</v>
      </c>
      <c r="J342" s="8">
        <v>45</v>
      </c>
      <c r="K342" s="8">
        <v>69</v>
      </c>
      <c r="L342" s="9">
        <v>73</v>
      </c>
      <c r="M342" s="8">
        <v>7.3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1"/>
    </row>
    <row r="343" spans="1:38" ht="13">
      <c r="A343" s="8" t="s">
        <v>725</v>
      </c>
      <c r="B343" s="9" t="s">
        <v>170</v>
      </c>
      <c r="C343" s="9">
        <v>230</v>
      </c>
      <c r="D343" s="9">
        <v>85</v>
      </c>
      <c r="E343" s="9">
        <v>255</v>
      </c>
      <c r="F343" s="9">
        <v>32.299999999999997</v>
      </c>
      <c r="G343" s="9">
        <v>135</v>
      </c>
      <c r="H343" s="8">
        <v>25.9</v>
      </c>
      <c r="I343" s="8">
        <v>30</v>
      </c>
      <c r="J343" s="8">
        <v>40</v>
      </c>
      <c r="K343" s="8">
        <v>72.5</v>
      </c>
      <c r="L343" s="9">
        <v>25</v>
      </c>
      <c r="M343" s="8">
        <v>2.1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1"/>
    </row>
    <row r="344" spans="1:38" ht="13">
      <c r="A344" s="8" t="s">
        <v>727</v>
      </c>
      <c r="B344" s="9" t="s">
        <v>68</v>
      </c>
      <c r="C344" s="9">
        <v>229</v>
      </c>
      <c r="D344" s="9">
        <v>83</v>
      </c>
      <c r="E344" s="9">
        <v>239</v>
      </c>
      <c r="F344" s="9">
        <v>35.1</v>
      </c>
      <c r="G344" s="9">
        <v>140</v>
      </c>
      <c r="H344" s="8">
        <v>33.799999999999997</v>
      </c>
      <c r="I344" s="8">
        <v>16</v>
      </c>
      <c r="J344" s="8">
        <v>16</v>
      </c>
      <c r="K344" s="8">
        <v>81.3</v>
      </c>
      <c r="L344" s="9">
        <v>16</v>
      </c>
      <c r="M344" s="8">
        <v>6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1"/>
    </row>
    <row r="345" spans="1:38" ht="13">
      <c r="A345" s="8" t="s">
        <v>729</v>
      </c>
      <c r="B345" s="8" t="s">
        <v>114</v>
      </c>
      <c r="C345" s="9">
        <v>229</v>
      </c>
      <c r="D345" s="9">
        <v>90</v>
      </c>
      <c r="E345" s="9">
        <v>140</v>
      </c>
      <c r="F345" s="9">
        <v>64.7</v>
      </c>
      <c r="G345" s="9">
        <v>3</v>
      </c>
      <c r="H345" s="8">
        <v>0</v>
      </c>
      <c r="I345" s="8">
        <v>50</v>
      </c>
      <c r="J345" s="8">
        <v>59</v>
      </c>
      <c r="K345" s="8">
        <v>83.3</v>
      </c>
      <c r="L345" s="9">
        <v>62</v>
      </c>
      <c r="M345" s="8">
        <v>13.5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1"/>
    </row>
    <row r="346" spans="1:38" ht="13">
      <c r="A346" s="8" t="s">
        <v>731</v>
      </c>
      <c r="B346" s="9" t="s">
        <v>50</v>
      </c>
      <c r="C346" s="9">
        <v>228</v>
      </c>
      <c r="D346" s="9">
        <v>94</v>
      </c>
      <c r="E346" s="9">
        <v>194</v>
      </c>
      <c r="F346" s="9">
        <v>47.7</v>
      </c>
      <c r="G346" s="9">
        <v>74</v>
      </c>
      <c r="H346" s="8">
        <v>39.5</v>
      </c>
      <c r="I346" s="8">
        <v>13</v>
      </c>
      <c r="J346" s="8">
        <v>27</v>
      </c>
      <c r="K346" s="8">
        <v>50</v>
      </c>
      <c r="L346" s="9">
        <v>67</v>
      </c>
      <c r="M346" s="8">
        <v>5.0999999999999996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1"/>
    </row>
    <row r="347" spans="1:38" ht="13">
      <c r="A347" s="8" t="s">
        <v>733</v>
      </c>
      <c r="B347" s="8" t="s">
        <v>68</v>
      </c>
      <c r="C347" s="9">
        <v>226</v>
      </c>
      <c r="D347" s="9">
        <v>93</v>
      </c>
      <c r="E347" s="9">
        <v>168</v>
      </c>
      <c r="F347" s="9">
        <v>54.5</v>
      </c>
      <c r="G347" s="8">
        <v>0</v>
      </c>
      <c r="H347" s="8">
        <v>0</v>
      </c>
      <c r="I347" s="8">
        <v>41</v>
      </c>
      <c r="J347" s="8">
        <v>93</v>
      </c>
      <c r="K347" s="8">
        <v>46.2</v>
      </c>
      <c r="L347" s="9">
        <v>168</v>
      </c>
      <c r="M347" s="8">
        <v>10.9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1"/>
    </row>
    <row r="348" spans="1:38" ht="13">
      <c r="A348" s="8" t="s">
        <v>735</v>
      </c>
      <c r="B348" s="9" t="s">
        <v>46</v>
      </c>
      <c r="C348" s="9">
        <v>221</v>
      </c>
      <c r="D348" s="9">
        <v>93</v>
      </c>
      <c r="E348" s="9">
        <v>211</v>
      </c>
      <c r="F348" s="9">
        <v>44.1</v>
      </c>
      <c r="G348" s="9">
        <v>74</v>
      </c>
      <c r="H348" s="8">
        <v>33.799999999999997</v>
      </c>
      <c r="I348" s="8">
        <v>10</v>
      </c>
      <c r="J348" s="8">
        <v>15</v>
      </c>
      <c r="K348" s="8">
        <v>53.3</v>
      </c>
      <c r="L348" s="9">
        <v>10</v>
      </c>
      <c r="M348" s="8">
        <v>7.8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1"/>
    </row>
    <row r="349" spans="1:38" ht="13">
      <c r="A349" s="8" t="s">
        <v>737</v>
      </c>
      <c r="B349" s="9" t="s">
        <v>114</v>
      </c>
      <c r="C349" s="9">
        <v>220</v>
      </c>
      <c r="D349" s="9">
        <v>81</v>
      </c>
      <c r="E349" s="9">
        <v>212</v>
      </c>
      <c r="F349" s="9">
        <v>38.5</v>
      </c>
      <c r="G349" s="9">
        <v>90</v>
      </c>
      <c r="H349" s="8">
        <v>26.7</v>
      </c>
      <c r="I349" s="8">
        <v>32</v>
      </c>
      <c r="J349" s="8">
        <v>38</v>
      </c>
      <c r="K349" s="8">
        <v>86.5</v>
      </c>
      <c r="L349" s="9">
        <v>9</v>
      </c>
      <c r="M349" s="8">
        <v>5.3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1"/>
    </row>
    <row r="350" spans="1:38" ht="13">
      <c r="A350" s="8" t="s">
        <v>739</v>
      </c>
      <c r="B350" s="9" t="s">
        <v>50</v>
      </c>
      <c r="C350" s="9">
        <v>217</v>
      </c>
      <c r="D350" s="9">
        <v>82</v>
      </c>
      <c r="E350" s="9">
        <v>176</v>
      </c>
      <c r="F350" s="9">
        <v>46.9</v>
      </c>
      <c r="G350" s="9">
        <v>82</v>
      </c>
      <c r="H350" s="8">
        <v>32.1</v>
      </c>
      <c r="I350" s="8">
        <v>25</v>
      </c>
      <c r="J350" s="8">
        <v>33</v>
      </c>
      <c r="K350" s="8">
        <v>77.400000000000006</v>
      </c>
      <c r="L350" s="9">
        <v>21</v>
      </c>
      <c r="M350" s="8">
        <v>8.8000000000000007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1"/>
    </row>
    <row r="351" spans="1:38" ht="13">
      <c r="A351" s="8" t="s">
        <v>741</v>
      </c>
      <c r="B351" s="9" t="s">
        <v>94</v>
      </c>
      <c r="C351" s="9">
        <v>215</v>
      </c>
      <c r="D351" s="9">
        <v>81</v>
      </c>
      <c r="E351" s="9">
        <v>186</v>
      </c>
      <c r="F351" s="9">
        <v>43.5</v>
      </c>
      <c r="G351" s="9">
        <v>58</v>
      </c>
      <c r="H351" s="8">
        <v>29.3</v>
      </c>
      <c r="I351" s="8">
        <v>41</v>
      </c>
      <c r="J351" s="8">
        <v>64</v>
      </c>
      <c r="K351" s="8">
        <v>62.3</v>
      </c>
      <c r="L351" s="9">
        <v>17</v>
      </c>
      <c r="M351" s="8">
        <v>6.6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1"/>
    </row>
    <row r="352" spans="1:38" ht="13">
      <c r="A352" s="8" t="s">
        <v>743</v>
      </c>
      <c r="B352" s="9" t="s">
        <v>82</v>
      </c>
      <c r="C352" s="9">
        <v>209</v>
      </c>
      <c r="D352" s="9">
        <v>75</v>
      </c>
      <c r="E352" s="9">
        <v>200</v>
      </c>
      <c r="F352" s="9">
        <v>37.200000000000003</v>
      </c>
      <c r="G352" s="9">
        <v>96</v>
      </c>
      <c r="H352" s="8">
        <v>33.700000000000003</v>
      </c>
      <c r="I352" s="8">
        <v>29</v>
      </c>
      <c r="J352" s="8">
        <v>41</v>
      </c>
      <c r="K352" s="8">
        <v>72.5</v>
      </c>
      <c r="L352" s="9">
        <v>26</v>
      </c>
      <c r="M352" s="8">
        <v>6.4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1"/>
    </row>
    <row r="353" spans="1:38" ht="13">
      <c r="A353" s="8" t="s">
        <v>745</v>
      </c>
      <c r="B353" s="8" t="s">
        <v>48</v>
      </c>
      <c r="C353" s="9">
        <v>207</v>
      </c>
      <c r="D353" s="9">
        <v>90</v>
      </c>
      <c r="E353" s="9">
        <v>140</v>
      </c>
      <c r="F353" s="9">
        <v>65</v>
      </c>
      <c r="G353" s="8">
        <v>0</v>
      </c>
      <c r="H353" s="8">
        <v>0</v>
      </c>
      <c r="I353" s="8">
        <v>28</v>
      </c>
      <c r="J353" s="8">
        <v>62</v>
      </c>
      <c r="K353" s="8">
        <v>42.2</v>
      </c>
      <c r="L353" s="9">
        <v>84</v>
      </c>
      <c r="M353" s="8">
        <v>11.5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1"/>
    </row>
    <row r="354" spans="1:38" ht="13">
      <c r="A354" s="8" t="s">
        <v>747</v>
      </c>
      <c r="B354" s="9" t="s">
        <v>164</v>
      </c>
      <c r="C354" s="9">
        <v>206</v>
      </c>
      <c r="D354" s="9">
        <v>76</v>
      </c>
      <c r="E354" s="9">
        <v>172</v>
      </c>
      <c r="F354" s="9">
        <v>43.6</v>
      </c>
      <c r="G354" s="9">
        <v>72</v>
      </c>
      <c r="H354" s="8">
        <v>30.6</v>
      </c>
      <c r="I354" s="8">
        <v>34</v>
      </c>
      <c r="J354" s="8">
        <v>40</v>
      </c>
      <c r="K354" s="8">
        <v>82.5</v>
      </c>
      <c r="L354" s="9">
        <v>22</v>
      </c>
      <c r="M354" s="8">
        <v>6.2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1"/>
    </row>
    <row r="355" spans="1:38" ht="13">
      <c r="A355" s="8" t="s">
        <v>749</v>
      </c>
      <c r="B355" s="9" t="s">
        <v>58</v>
      </c>
      <c r="C355" s="9">
        <v>204</v>
      </c>
      <c r="D355" s="9">
        <v>79</v>
      </c>
      <c r="E355" s="9">
        <v>156</v>
      </c>
      <c r="F355" s="9">
        <v>51.6</v>
      </c>
      <c r="G355" s="9">
        <v>77</v>
      </c>
      <c r="H355" s="8">
        <v>44.7</v>
      </c>
      <c r="I355" s="8">
        <v>10</v>
      </c>
      <c r="J355" s="8">
        <v>12</v>
      </c>
      <c r="K355" s="8">
        <v>69.2</v>
      </c>
      <c r="L355" s="9">
        <v>24</v>
      </c>
      <c r="M355" s="8">
        <v>10.6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1"/>
    </row>
    <row r="356" spans="1:38" ht="13">
      <c r="A356" s="8" t="s">
        <v>751</v>
      </c>
      <c r="B356" s="9" t="s">
        <v>144</v>
      </c>
      <c r="C356" s="9">
        <v>203</v>
      </c>
      <c r="D356" s="9">
        <v>68</v>
      </c>
      <c r="E356" s="9">
        <v>172</v>
      </c>
      <c r="F356" s="9">
        <v>40.200000000000003</v>
      </c>
      <c r="G356" s="9">
        <v>52</v>
      </c>
      <c r="H356" s="8">
        <v>23.5</v>
      </c>
      <c r="I356" s="8">
        <v>47</v>
      </c>
      <c r="J356" s="8">
        <v>78</v>
      </c>
      <c r="K356" s="8">
        <v>64.5</v>
      </c>
      <c r="L356" s="9">
        <v>42</v>
      </c>
      <c r="M356" s="8">
        <v>8.1999999999999993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1"/>
    </row>
    <row r="357" spans="1:38" ht="13">
      <c r="A357" s="8" t="s">
        <v>753</v>
      </c>
      <c r="B357" s="9" t="s">
        <v>68</v>
      </c>
      <c r="C357" s="9">
        <v>202</v>
      </c>
      <c r="D357" s="9">
        <v>80</v>
      </c>
      <c r="E357" s="9">
        <v>151</v>
      </c>
      <c r="F357" s="9">
        <v>53.3</v>
      </c>
      <c r="G357" s="9">
        <v>25</v>
      </c>
      <c r="H357" s="8">
        <v>42.3</v>
      </c>
      <c r="I357" s="8">
        <v>25</v>
      </c>
      <c r="J357" s="8">
        <v>42</v>
      </c>
      <c r="K357" s="8">
        <v>67.5</v>
      </c>
      <c r="L357" s="9">
        <v>55</v>
      </c>
      <c r="M357" s="8">
        <v>9.6999999999999993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1"/>
    </row>
    <row r="358" spans="1:38" ht="13">
      <c r="A358" s="8" t="s">
        <v>755</v>
      </c>
      <c r="B358" s="9" t="s">
        <v>48</v>
      </c>
      <c r="C358" s="9">
        <v>201</v>
      </c>
      <c r="D358" s="9">
        <v>78</v>
      </c>
      <c r="E358" s="9">
        <v>181</v>
      </c>
      <c r="F358" s="9">
        <v>42.8</v>
      </c>
      <c r="G358" s="9">
        <v>103</v>
      </c>
      <c r="H358" s="8">
        <v>39.6</v>
      </c>
      <c r="I358" s="8">
        <v>5</v>
      </c>
      <c r="J358" s="8">
        <v>10</v>
      </c>
      <c r="K358" s="8">
        <v>75</v>
      </c>
      <c r="L358" s="9">
        <v>15</v>
      </c>
      <c r="M358" s="8">
        <v>7.8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1"/>
    </row>
    <row r="359" spans="1:38" ht="13">
      <c r="A359" s="8" t="s">
        <v>757</v>
      </c>
      <c r="B359" s="8" t="s">
        <v>144</v>
      </c>
      <c r="C359" s="9">
        <v>200</v>
      </c>
      <c r="D359" s="9">
        <v>88</v>
      </c>
      <c r="E359" s="9">
        <v>108</v>
      </c>
      <c r="F359" s="9">
        <v>79.8</v>
      </c>
      <c r="G359" s="9">
        <v>4</v>
      </c>
      <c r="H359" s="8">
        <v>20</v>
      </c>
      <c r="I359" s="8">
        <v>24</v>
      </c>
      <c r="J359" s="8">
        <v>32</v>
      </c>
      <c r="K359" s="8">
        <v>71.900000000000006</v>
      </c>
      <c r="L359" s="9">
        <v>40</v>
      </c>
      <c r="M359" s="8">
        <v>13.1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1"/>
    </row>
    <row r="360" spans="1:38" ht="13">
      <c r="A360" s="8" t="s">
        <v>759</v>
      </c>
      <c r="B360" s="9" t="s">
        <v>58</v>
      </c>
      <c r="C360" s="9">
        <v>198</v>
      </c>
      <c r="D360" s="9">
        <v>73</v>
      </c>
      <c r="E360" s="9">
        <v>172</v>
      </c>
      <c r="F360" s="9">
        <v>42.1</v>
      </c>
      <c r="G360" s="9">
        <v>83</v>
      </c>
      <c r="H360" s="8">
        <v>25.9</v>
      </c>
      <c r="I360" s="8">
        <v>33</v>
      </c>
      <c r="J360" s="8">
        <v>43</v>
      </c>
      <c r="K360" s="8">
        <v>76.2</v>
      </c>
      <c r="L360" s="9">
        <v>43</v>
      </c>
      <c r="M360" s="8">
        <v>8.5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1"/>
    </row>
    <row r="361" spans="1:38" ht="13">
      <c r="A361" s="8" t="s">
        <v>761</v>
      </c>
      <c r="B361" s="9" t="s">
        <v>164</v>
      </c>
      <c r="C361" s="9">
        <v>196</v>
      </c>
      <c r="D361" s="9">
        <v>67</v>
      </c>
      <c r="E361" s="9">
        <v>159</v>
      </c>
      <c r="F361" s="9">
        <v>43</v>
      </c>
      <c r="G361" s="9">
        <v>81</v>
      </c>
      <c r="H361" s="8">
        <v>32.5</v>
      </c>
      <c r="I361" s="8">
        <v>33</v>
      </c>
      <c r="J361" s="8">
        <v>52</v>
      </c>
      <c r="K361" s="8">
        <v>68</v>
      </c>
      <c r="L361" s="9">
        <v>26</v>
      </c>
      <c r="M361" s="8">
        <v>6.7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1"/>
    </row>
    <row r="362" spans="1:38" ht="13">
      <c r="A362" s="8" t="s">
        <v>763</v>
      </c>
      <c r="B362" s="9" t="s">
        <v>54</v>
      </c>
      <c r="C362" s="9">
        <v>195</v>
      </c>
      <c r="D362" s="9">
        <v>69</v>
      </c>
      <c r="E362" s="9">
        <v>158</v>
      </c>
      <c r="F362" s="9">
        <v>43</v>
      </c>
      <c r="G362" s="9">
        <v>89</v>
      </c>
      <c r="H362" s="8">
        <v>43.3</v>
      </c>
      <c r="I362" s="8">
        <v>20</v>
      </c>
      <c r="J362" s="8">
        <v>23</v>
      </c>
      <c r="K362" s="8">
        <v>86.4</v>
      </c>
      <c r="L362" s="9">
        <v>23</v>
      </c>
      <c r="M362" s="8">
        <v>10.5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1"/>
    </row>
    <row r="363" spans="1:38" ht="13">
      <c r="A363" s="8" t="s">
        <v>765</v>
      </c>
      <c r="B363" s="9" t="s">
        <v>122</v>
      </c>
      <c r="C363" s="9">
        <v>193</v>
      </c>
      <c r="D363" s="9">
        <v>69</v>
      </c>
      <c r="E363" s="9">
        <v>166</v>
      </c>
      <c r="F363" s="9">
        <v>42.2</v>
      </c>
      <c r="G363" s="9">
        <v>106</v>
      </c>
      <c r="H363" s="8">
        <v>32.1</v>
      </c>
      <c r="I363" s="8">
        <v>18</v>
      </c>
      <c r="J363" s="8">
        <v>23</v>
      </c>
      <c r="K363" s="8">
        <v>90.9</v>
      </c>
      <c r="L363" s="9">
        <v>46</v>
      </c>
      <c r="M363" s="8">
        <v>7.7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1"/>
    </row>
    <row r="364" spans="1:38" ht="13">
      <c r="A364" s="8" t="s">
        <v>767</v>
      </c>
      <c r="B364" s="9" t="s">
        <v>76</v>
      </c>
      <c r="C364" s="9">
        <v>189</v>
      </c>
      <c r="D364" s="9">
        <v>71</v>
      </c>
      <c r="E364" s="9">
        <v>138</v>
      </c>
      <c r="F364" s="9">
        <v>51.4</v>
      </c>
      <c r="G364" s="9">
        <v>46</v>
      </c>
      <c r="H364" s="8">
        <v>43.8</v>
      </c>
      <c r="I364" s="8">
        <v>26</v>
      </c>
      <c r="J364" s="8">
        <v>31</v>
      </c>
      <c r="K364" s="8">
        <v>71.900000000000006</v>
      </c>
      <c r="L364" s="9">
        <v>20</v>
      </c>
      <c r="M364" s="8">
        <v>9.1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1"/>
    </row>
    <row r="365" spans="1:38" ht="13">
      <c r="A365" s="8" t="s">
        <v>769</v>
      </c>
      <c r="B365" s="9" t="s">
        <v>68</v>
      </c>
      <c r="C365" s="9">
        <v>187</v>
      </c>
      <c r="D365" s="9">
        <v>68</v>
      </c>
      <c r="E365" s="9">
        <v>146</v>
      </c>
      <c r="F365" s="9">
        <v>47.3</v>
      </c>
      <c r="G365" s="9">
        <v>47</v>
      </c>
      <c r="H365" s="8">
        <v>34.799999999999997</v>
      </c>
      <c r="I365" s="8">
        <v>31</v>
      </c>
      <c r="J365" s="8">
        <v>47</v>
      </c>
      <c r="K365" s="8">
        <v>68.099999999999994</v>
      </c>
      <c r="L365" s="9">
        <v>52</v>
      </c>
      <c r="M365" s="8">
        <v>7.1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1"/>
    </row>
    <row r="366" spans="1:38" ht="13">
      <c r="A366" s="8" t="s">
        <v>771</v>
      </c>
      <c r="B366" s="9" t="s">
        <v>60</v>
      </c>
      <c r="C366" s="9">
        <v>185</v>
      </c>
      <c r="D366" s="9">
        <v>72</v>
      </c>
      <c r="E366" s="9">
        <v>144</v>
      </c>
      <c r="F366" s="9">
        <v>50.7</v>
      </c>
      <c r="G366" s="9">
        <v>27</v>
      </c>
      <c r="H366" s="8">
        <v>28.6</v>
      </c>
      <c r="I366" s="8">
        <v>32</v>
      </c>
      <c r="J366" s="8">
        <v>41</v>
      </c>
      <c r="K366" s="8">
        <v>76.2</v>
      </c>
      <c r="L366" s="9">
        <v>41</v>
      </c>
      <c r="M366" s="8">
        <v>11.5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1"/>
    </row>
    <row r="367" spans="1:38" ht="13">
      <c r="A367" s="8" t="s">
        <v>773</v>
      </c>
      <c r="B367" s="9" t="s">
        <v>140</v>
      </c>
      <c r="C367" s="9">
        <v>183</v>
      </c>
      <c r="D367" s="9">
        <v>70</v>
      </c>
      <c r="E367" s="9">
        <v>161</v>
      </c>
      <c r="F367" s="9">
        <v>43.5</v>
      </c>
      <c r="G367" s="9">
        <v>60</v>
      </c>
      <c r="H367" s="8">
        <v>40</v>
      </c>
      <c r="I367" s="8">
        <v>20</v>
      </c>
      <c r="J367" s="8">
        <v>21</v>
      </c>
      <c r="K367" s="8">
        <v>90.5</v>
      </c>
      <c r="L367" s="9">
        <v>12</v>
      </c>
      <c r="M367" s="8">
        <v>9.8000000000000007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1"/>
    </row>
    <row r="368" spans="1:38" ht="13">
      <c r="A368" s="8" t="s">
        <v>775</v>
      </c>
      <c r="B368" s="9" t="s">
        <v>48</v>
      </c>
      <c r="C368" s="9">
        <v>182</v>
      </c>
      <c r="D368" s="9">
        <v>68</v>
      </c>
      <c r="E368" s="9">
        <v>143</v>
      </c>
      <c r="F368" s="9">
        <v>49.6</v>
      </c>
      <c r="G368" s="9">
        <v>51</v>
      </c>
      <c r="H368" s="8">
        <v>32.700000000000003</v>
      </c>
      <c r="I368" s="8">
        <v>29</v>
      </c>
      <c r="J368" s="8">
        <v>46</v>
      </c>
      <c r="K368" s="8">
        <v>61.4</v>
      </c>
      <c r="L368" s="9">
        <v>34</v>
      </c>
      <c r="M368" s="8">
        <v>6.3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1"/>
    </row>
    <row r="369" spans="1:38" ht="13">
      <c r="A369" s="8" t="s">
        <v>777</v>
      </c>
      <c r="B369" s="9" t="s">
        <v>82</v>
      </c>
      <c r="C369" s="9">
        <v>178</v>
      </c>
      <c r="D369" s="9">
        <v>68</v>
      </c>
      <c r="E369" s="9">
        <v>167</v>
      </c>
      <c r="F369" s="9">
        <v>40.1</v>
      </c>
      <c r="G369" s="9">
        <v>95</v>
      </c>
      <c r="H369" s="8">
        <v>27.4</v>
      </c>
      <c r="I369" s="8">
        <v>19</v>
      </c>
      <c r="J369" s="8">
        <v>24</v>
      </c>
      <c r="K369" s="8">
        <v>79.2</v>
      </c>
      <c r="L369" s="9">
        <v>22</v>
      </c>
      <c r="M369" s="8">
        <v>6.5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1"/>
    </row>
    <row r="370" spans="1:38" ht="13">
      <c r="A370" s="8" t="s">
        <v>779</v>
      </c>
      <c r="B370" s="9" t="s">
        <v>98</v>
      </c>
      <c r="C370" s="9">
        <v>175</v>
      </c>
      <c r="D370" s="9">
        <v>60</v>
      </c>
      <c r="E370" s="9">
        <v>155</v>
      </c>
      <c r="F370" s="9">
        <v>40.299999999999997</v>
      </c>
      <c r="G370" s="9">
        <v>105</v>
      </c>
      <c r="H370" s="8">
        <v>36.4</v>
      </c>
      <c r="I370" s="8">
        <v>15</v>
      </c>
      <c r="J370" s="8">
        <v>20</v>
      </c>
      <c r="K370" s="8">
        <v>77.8</v>
      </c>
      <c r="L370" s="9">
        <v>15</v>
      </c>
      <c r="M370" s="8">
        <v>7.5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1"/>
    </row>
    <row r="371" spans="1:38" ht="13">
      <c r="A371" s="8" t="s">
        <v>781</v>
      </c>
      <c r="B371" s="9" t="s">
        <v>144</v>
      </c>
      <c r="C371" s="9">
        <v>174</v>
      </c>
      <c r="D371" s="9">
        <v>64</v>
      </c>
      <c r="E371" s="9">
        <v>134</v>
      </c>
      <c r="F371" s="9">
        <v>47.8</v>
      </c>
      <c r="G371" s="9">
        <v>54</v>
      </c>
      <c r="H371" s="8">
        <v>43.4</v>
      </c>
      <c r="I371" s="8">
        <v>24</v>
      </c>
      <c r="J371" s="8">
        <v>32</v>
      </c>
      <c r="K371" s="8">
        <v>74.2</v>
      </c>
      <c r="L371" s="9">
        <v>4</v>
      </c>
      <c r="M371" s="8">
        <v>8.3000000000000007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1"/>
    </row>
    <row r="372" spans="1:38" ht="13">
      <c r="A372" s="8" t="s">
        <v>783</v>
      </c>
      <c r="B372" s="9" t="s">
        <v>68</v>
      </c>
      <c r="C372" s="9">
        <v>173</v>
      </c>
      <c r="D372" s="9">
        <v>61</v>
      </c>
      <c r="E372" s="9">
        <v>122</v>
      </c>
      <c r="F372" s="9">
        <v>50.4</v>
      </c>
      <c r="G372" s="9">
        <v>80</v>
      </c>
      <c r="H372" s="8">
        <v>36.700000000000003</v>
      </c>
      <c r="I372" s="8">
        <v>22</v>
      </c>
      <c r="J372" s="8">
        <v>26</v>
      </c>
      <c r="K372" s="8">
        <v>80.8</v>
      </c>
      <c r="L372" s="9">
        <v>10</v>
      </c>
      <c r="M372" s="8">
        <v>8.5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1"/>
    </row>
    <row r="373" spans="1:38" ht="13">
      <c r="A373" s="8" t="s">
        <v>785</v>
      </c>
      <c r="B373" s="9" t="s">
        <v>76</v>
      </c>
      <c r="C373" s="9">
        <v>169</v>
      </c>
      <c r="D373" s="9">
        <v>66</v>
      </c>
      <c r="E373" s="9">
        <v>150</v>
      </c>
      <c r="F373" s="9">
        <v>43</v>
      </c>
      <c r="G373" s="9">
        <v>56</v>
      </c>
      <c r="H373" s="8">
        <v>34.5</v>
      </c>
      <c r="I373" s="8">
        <v>19</v>
      </c>
      <c r="J373" s="8">
        <v>24</v>
      </c>
      <c r="K373" s="8">
        <v>79.2</v>
      </c>
      <c r="L373" s="9">
        <v>38</v>
      </c>
      <c r="M373" s="8">
        <v>7.5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1"/>
    </row>
    <row r="374" spans="1:38" ht="13">
      <c r="A374" s="8" t="s">
        <v>787</v>
      </c>
      <c r="B374" s="9" t="s">
        <v>144</v>
      </c>
      <c r="C374" s="9">
        <v>168</v>
      </c>
      <c r="D374" s="9">
        <v>68</v>
      </c>
      <c r="E374" s="9">
        <v>136</v>
      </c>
      <c r="F374" s="9">
        <v>49.6</v>
      </c>
      <c r="G374" s="9">
        <v>56</v>
      </c>
      <c r="H374" s="8">
        <v>40.700000000000003</v>
      </c>
      <c r="I374" s="8">
        <v>12</v>
      </c>
      <c r="J374" s="8">
        <v>12</v>
      </c>
      <c r="K374" s="8">
        <v>92.3</v>
      </c>
      <c r="L374" s="9">
        <v>24</v>
      </c>
      <c r="M374" s="8">
        <v>6.7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1"/>
    </row>
    <row r="375" spans="1:38" ht="13">
      <c r="A375" s="8" t="s">
        <v>789</v>
      </c>
      <c r="B375" s="9" t="s">
        <v>58</v>
      </c>
      <c r="C375" s="9">
        <v>167</v>
      </c>
      <c r="D375" s="9">
        <v>65</v>
      </c>
      <c r="E375" s="9">
        <v>161</v>
      </c>
      <c r="F375" s="9">
        <v>40.1</v>
      </c>
      <c r="G375" s="9">
        <v>81</v>
      </c>
      <c r="H375" s="8">
        <v>32.9</v>
      </c>
      <c r="I375" s="8">
        <v>12</v>
      </c>
      <c r="J375" s="8">
        <v>12</v>
      </c>
      <c r="K375" s="8">
        <v>100</v>
      </c>
      <c r="L375" s="9">
        <v>6</v>
      </c>
      <c r="M375" s="8">
        <v>7.4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1"/>
    </row>
    <row r="376" spans="1:38" ht="13">
      <c r="A376" s="8" t="s">
        <v>791</v>
      </c>
      <c r="B376" s="9" t="s">
        <v>140</v>
      </c>
      <c r="C376" s="9">
        <v>166</v>
      </c>
      <c r="D376" s="9">
        <v>54</v>
      </c>
      <c r="E376" s="9">
        <v>123</v>
      </c>
      <c r="F376" s="9">
        <v>43.9</v>
      </c>
      <c r="G376" s="9">
        <v>74</v>
      </c>
      <c r="H376" s="8">
        <v>36.5</v>
      </c>
      <c r="I376" s="8">
        <v>30</v>
      </c>
      <c r="J376" s="8">
        <v>37</v>
      </c>
      <c r="K376" s="8">
        <v>83.8</v>
      </c>
      <c r="L376" s="9">
        <v>18</v>
      </c>
      <c r="M376" s="8">
        <v>7.6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1"/>
    </row>
    <row r="377" spans="1:38" ht="13">
      <c r="A377" s="8" t="s">
        <v>793</v>
      </c>
      <c r="B377" s="9" t="s">
        <v>46</v>
      </c>
      <c r="C377" s="9">
        <v>164</v>
      </c>
      <c r="D377" s="9">
        <v>56</v>
      </c>
      <c r="E377" s="9">
        <v>120</v>
      </c>
      <c r="F377" s="9">
        <v>46.7</v>
      </c>
      <c r="G377" s="9">
        <v>52</v>
      </c>
      <c r="H377" s="8">
        <v>43.1</v>
      </c>
      <c r="I377" s="8">
        <v>28</v>
      </c>
      <c r="J377" s="8">
        <v>36</v>
      </c>
      <c r="K377" s="8">
        <v>78.400000000000006</v>
      </c>
      <c r="L377" s="9">
        <v>28</v>
      </c>
      <c r="M377" s="8">
        <v>5.7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1"/>
    </row>
    <row r="378" spans="1:38" ht="13">
      <c r="A378" s="8" t="s">
        <v>795</v>
      </c>
      <c r="B378" s="9" t="s">
        <v>164</v>
      </c>
      <c r="C378" s="9">
        <v>163</v>
      </c>
      <c r="D378" s="9">
        <v>61</v>
      </c>
      <c r="E378" s="9">
        <v>129</v>
      </c>
      <c r="F378" s="9">
        <v>47.3</v>
      </c>
      <c r="G378" s="9">
        <v>38</v>
      </c>
      <c r="H378" s="8">
        <v>24.3</v>
      </c>
      <c r="I378" s="8">
        <v>30</v>
      </c>
      <c r="J378" s="8">
        <v>38</v>
      </c>
      <c r="K378" s="8">
        <v>83.8</v>
      </c>
      <c r="L378" s="9">
        <v>46</v>
      </c>
      <c r="M378" s="8">
        <v>8.1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1"/>
    </row>
    <row r="379" spans="1:38" ht="13">
      <c r="A379" s="8" t="s">
        <v>797</v>
      </c>
      <c r="B379" s="9" t="s">
        <v>170</v>
      </c>
      <c r="C379" s="9">
        <v>163</v>
      </c>
      <c r="D379" s="9">
        <v>57</v>
      </c>
      <c r="E379" s="9">
        <v>137</v>
      </c>
      <c r="F379" s="9">
        <v>42.2</v>
      </c>
      <c r="G379" s="9">
        <v>99</v>
      </c>
      <c r="H379" s="8">
        <v>31.6</v>
      </c>
      <c r="I379" s="8">
        <v>15</v>
      </c>
      <c r="J379" s="8">
        <v>19</v>
      </c>
      <c r="K379" s="8">
        <v>85</v>
      </c>
      <c r="L379" s="9">
        <v>42</v>
      </c>
      <c r="M379" s="8">
        <v>6.3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1"/>
    </row>
    <row r="380" spans="1:38" ht="13">
      <c r="A380" s="8" t="s">
        <v>799</v>
      </c>
      <c r="B380" s="9" t="s">
        <v>84</v>
      </c>
      <c r="C380" s="9">
        <v>162</v>
      </c>
      <c r="D380" s="9">
        <v>59</v>
      </c>
      <c r="E380" s="9">
        <v>123</v>
      </c>
      <c r="F380" s="9">
        <v>47.5</v>
      </c>
      <c r="G380" s="9">
        <v>39</v>
      </c>
      <c r="H380" s="8">
        <v>37.5</v>
      </c>
      <c r="I380" s="8">
        <v>31</v>
      </c>
      <c r="J380" s="8">
        <v>39</v>
      </c>
      <c r="K380" s="8">
        <v>77.5</v>
      </c>
      <c r="L380" s="9">
        <v>14</v>
      </c>
      <c r="M380" s="8">
        <v>8.9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1"/>
    </row>
    <row r="381" spans="1:38" ht="13">
      <c r="A381" s="8" t="s">
        <v>801</v>
      </c>
      <c r="B381" s="9" t="s">
        <v>74</v>
      </c>
      <c r="C381" s="9">
        <v>162</v>
      </c>
      <c r="D381" s="9">
        <v>64</v>
      </c>
      <c r="E381" s="9">
        <v>145</v>
      </c>
      <c r="F381" s="9">
        <v>43.8</v>
      </c>
      <c r="G381" s="9">
        <v>67</v>
      </c>
      <c r="H381" s="8">
        <v>38.200000000000003</v>
      </c>
      <c r="I381" s="8">
        <v>9</v>
      </c>
      <c r="J381" s="8">
        <v>12</v>
      </c>
      <c r="K381" s="8">
        <v>81.8</v>
      </c>
      <c r="L381" s="9">
        <v>38</v>
      </c>
      <c r="M381" s="8">
        <v>8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1"/>
    </row>
    <row r="382" spans="1:38" ht="13">
      <c r="A382" s="8" t="s">
        <v>803</v>
      </c>
      <c r="B382" s="8" t="s">
        <v>94</v>
      </c>
      <c r="C382" s="9">
        <v>158</v>
      </c>
      <c r="D382" s="9">
        <v>68</v>
      </c>
      <c r="E382" s="9">
        <v>119</v>
      </c>
      <c r="F382" s="9">
        <v>58.1</v>
      </c>
      <c r="G382" s="8">
        <v>0</v>
      </c>
      <c r="H382" s="8">
        <v>0</v>
      </c>
      <c r="I382" s="8">
        <v>22</v>
      </c>
      <c r="J382" s="8">
        <v>32</v>
      </c>
      <c r="K382" s="8">
        <v>63.6</v>
      </c>
      <c r="L382" s="9">
        <v>58</v>
      </c>
      <c r="M382" s="8">
        <v>11.3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1"/>
    </row>
    <row r="383" spans="1:38" ht="13">
      <c r="A383" s="8" t="s">
        <v>805</v>
      </c>
      <c r="B383" s="9" t="s">
        <v>122</v>
      </c>
      <c r="C383" s="9">
        <v>156</v>
      </c>
      <c r="D383" s="9">
        <v>57</v>
      </c>
      <c r="E383" s="9">
        <v>140</v>
      </c>
      <c r="F383" s="9">
        <v>40.799999999999997</v>
      </c>
      <c r="G383" s="9">
        <v>57</v>
      </c>
      <c r="H383" s="8">
        <v>27.1</v>
      </c>
      <c r="I383" s="8">
        <v>21</v>
      </c>
      <c r="J383" s="8">
        <v>31</v>
      </c>
      <c r="K383" s="8">
        <v>76.7</v>
      </c>
      <c r="L383" s="9">
        <v>26</v>
      </c>
      <c r="M383" s="8">
        <v>5.5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1"/>
    </row>
    <row r="384" spans="1:38" ht="13">
      <c r="A384" s="8" t="s">
        <v>807</v>
      </c>
      <c r="B384" s="9" t="s">
        <v>114</v>
      </c>
      <c r="C384" s="9">
        <v>156</v>
      </c>
      <c r="D384" s="9">
        <v>59</v>
      </c>
      <c r="E384" s="9">
        <v>129</v>
      </c>
      <c r="F384" s="9">
        <v>45.7</v>
      </c>
      <c r="G384" s="9">
        <v>51</v>
      </c>
      <c r="H384" s="8">
        <v>32.700000000000003</v>
      </c>
      <c r="I384" s="8">
        <v>23</v>
      </c>
      <c r="J384" s="8">
        <v>35</v>
      </c>
      <c r="K384" s="8">
        <v>65.7</v>
      </c>
      <c r="L384" s="9">
        <v>20</v>
      </c>
      <c r="M384" s="8">
        <v>7.8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1"/>
    </row>
    <row r="385" spans="1:38" ht="13">
      <c r="A385" s="8" t="s">
        <v>809</v>
      </c>
      <c r="B385" s="9" t="s">
        <v>88</v>
      </c>
      <c r="C385" s="9">
        <v>155</v>
      </c>
      <c r="D385" s="9">
        <v>54</v>
      </c>
      <c r="E385" s="9">
        <v>148</v>
      </c>
      <c r="F385" s="9">
        <v>37.700000000000003</v>
      </c>
      <c r="G385" s="9">
        <v>104</v>
      </c>
      <c r="H385" s="8">
        <v>33.299999999999997</v>
      </c>
      <c r="I385" s="8">
        <v>7</v>
      </c>
      <c r="J385" s="8">
        <v>11</v>
      </c>
      <c r="K385" s="8">
        <v>80</v>
      </c>
      <c r="L385" s="9">
        <v>4</v>
      </c>
      <c r="M385" s="8">
        <v>8.1999999999999993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1"/>
    </row>
    <row r="386" spans="1:38" ht="13">
      <c r="A386" s="8" t="s">
        <v>811</v>
      </c>
      <c r="B386" s="9" t="s">
        <v>68</v>
      </c>
      <c r="C386" s="9">
        <v>152</v>
      </c>
      <c r="D386" s="9">
        <v>56</v>
      </c>
      <c r="E386" s="9">
        <v>125</v>
      </c>
      <c r="F386" s="9">
        <v>45.6</v>
      </c>
      <c r="G386" s="9">
        <v>59</v>
      </c>
      <c r="H386" s="8">
        <v>31.1</v>
      </c>
      <c r="I386" s="8">
        <v>20</v>
      </c>
      <c r="J386" s="8">
        <v>26</v>
      </c>
      <c r="K386" s="8">
        <v>76.900000000000006</v>
      </c>
      <c r="L386" s="9">
        <v>13</v>
      </c>
      <c r="M386" s="8">
        <v>8.9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1"/>
    </row>
    <row r="387" spans="1:38" ht="13">
      <c r="A387" s="8" t="s">
        <v>813</v>
      </c>
      <c r="B387" s="9" t="s">
        <v>62</v>
      </c>
      <c r="C387" s="9">
        <v>152</v>
      </c>
      <c r="D387" s="9">
        <v>59</v>
      </c>
      <c r="E387" s="9">
        <v>133</v>
      </c>
      <c r="F387" s="9">
        <v>43.3</v>
      </c>
      <c r="G387" s="9">
        <v>37</v>
      </c>
      <c r="H387" s="8">
        <v>21.1</v>
      </c>
      <c r="I387" s="8">
        <v>30</v>
      </c>
      <c r="J387" s="8">
        <v>33</v>
      </c>
      <c r="K387" s="8">
        <v>80</v>
      </c>
      <c r="L387" s="9">
        <v>22</v>
      </c>
      <c r="M387" s="8">
        <v>7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1"/>
    </row>
    <row r="388" spans="1:38" ht="13">
      <c r="A388" s="8" t="s">
        <v>815</v>
      </c>
      <c r="B388" s="9" t="s">
        <v>98</v>
      </c>
      <c r="C388" s="9">
        <v>152</v>
      </c>
      <c r="D388" s="9">
        <v>56</v>
      </c>
      <c r="E388" s="9">
        <v>146</v>
      </c>
      <c r="F388" s="9">
        <v>38.1</v>
      </c>
      <c r="G388" s="9">
        <v>78</v>
      </c>
      <c r="H388" s="8">
        <v>28.6</v>
      </c>
      <c r="I388" s="8">
        <v>19</v>
      </c>
      <c r="J388" s="8">
        <v>22</v>
      </c>
      <c r="K388" s="8">
        <v>85.7</v>
      </c>
      <c r="L388" s="9">
        <v>25</v>
      </c>
      <c r="M388" s="8">
        <v>7.1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1"/>
    </row>
    <row r="389" spans="1:38" ht="13">
      <c r="A389" s="8" t="s">
        <v>817</v>
      </c>
      <c r="B389" s="9" t="s">
        <v>140</v>
      </c>
      <c r="C389" s="9">
        <v>151</v>
      </c>
      <c r="D389" s="9">
        <v>58</v>
      </c>
      <c r="E389" s="9">
        <v>126</v>
      </c>
      <c r="F389" s="9">
        <v>46.8</v>
      </c>
      <c r="G389" s="9">
        <v>40</v>
      </c>
      <c r="H389" s="8">
        <v>34.1</v>
      </c>
      <c r="I389" s="8">
        <v>18</v>
      </c>
      <c r="J389" s="8">
        <v>22</v>
      </c>
      <c r="K389" s="8">
        <v>81.8</v>
      </c>
      <c r="L389" s="9">
        <v>29</v>
      </c>
      <c r="M389" s="8">
        <v>8.3000000000000007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1"/>
    </row>
    <row r="390" spans="1:38" ht="13">
      <c r="A390" s="8" t="s">
        <v>819</v>
      </c>
      <c r="B390" s="9" t="s">
        <v>46</v>
      </c>
      <c r="C390" s="9">
        <v>149</v>
      </c>
      <c r="D390" s="9">
        <v>48</v>
      </c>
      <c r="E390" s="9">
        <v>118</v>
      </c>
      <c r="F390" s="9">
        <v>39.799999999999997</v>
      </c>
      <c r="G390" s="9">
        <v>82</v>
      </c>
      <c r="H390" s="8">
        <v>39</v>
      </c>
      <c r="I390" s="8">
        <v>24</v>
      </c>
      <c r="J390" s="8">
        <v>26</v>
      </c>
      <c r="K390" s="8">
        <v>88.5</v>
      </c>
      <c r="L390" s="9">
        <v>5</v>
      </c>
      <c r="M390" s="8">
        <v>10.8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1"/>
    </row>
    <row r="391" spans="1:38" ht="13">
      <c r="A391" s="8" t="s">
        <v>821</v>
      </c>
      <c r="B391" s="9" t="s">
        <v>74</v>
      </c>
      <c r="C391" s="9">
        <v>148</v>
      </c>
      <c r="D391" s="9">
        <v>58</v>
      </c>
      <c r="E391" s="9">
        <v>122</v>
      </c>
      <c r="F391" s="9">
        <v>48.8</v>
      </c>
      <c r="G391" s="9">
        <v>32</v>
      </c>
      <c r="H391" s="8">
        <v>28.1</v>
      </c>
      <c r="I391" s="8">
        <v>22</v>
      </c>
      <c r="J391" s="8">
        <v>36</v>
      </c>
      <c r="K391" s="8">
        <v>55.6</v>
      </c>
      <c r="L391" s="9">
        <v>68</v>
      </c>
      <c r="M391" s="8">
        <v>8.1999999999999993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1"/>
    </row>
    <row r="392" spans="1:38" ht="13">
      <c r="A392" s="8" t="s">
        <v>823</v>
      </c>
      <c r="B392" s="9" t="s">
        <v>58</v>
      </c>
      <c r="C392" s="9">
        <v>147</v>
      </c>
      <c r="D392" s="9">
        <v>60</v>
      </c>
      <c r="E392" s="9">
        <v>112</v>
      </c>
      <c r="F392" s="9">
        <v>53.1</v>
      </c>
      <c r="G392" s="9">
        <v>28</v>
      </c>
      <c r="H392" s="8">
        <v>25.9</v>
      </c>
      <c r="I392" s="8">
        <v>21</v>
      </c>
      <c r="J392" s="8">
        <v>32</v>
      </c>
      <c r="K392" s="8">
        <v>63.6</v>
      </c>
      <c r="L392" s="9">
        <v>35</v>
      </c>
      <c r="M392" s="8">
        <v>8.1999999999999993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1"/>
    </row>
    <row r="393" spans="1:38" ht="13">
      <c r="A393" s="8" t="s">
        <v>825</v>
      </c>
      <c r="B393" s="9" t="s">
        <v>66</v>
      </c>
      <c r="C393" s="9">
        <v>147</v>
      </c>
      <c r="D393" s="9">
        <v>50</v>
      </c>
      <c r="E393" s="9">
        <v>118</v>
      </c>
      <c r="F393" s="9">
        <v>42.7</v>
      </c>
      <c r="G393" s="9">
        <v>101</v>
      </c>
      <c r="H393" s="8">
        <v>43.6</v>
      </c>
      <c r="I393" s="8">
        <v>4</v>
      </c>
      <c r="J393" s="8">
        <v>4</v>
      </c>
      <c r="K393" s="8">
        <v>60</v>
      </c>
      <c r="L393" s="9">
        <v>4</v>
      </c>
      <c r="M393" s="8">
        <v>5.0999999999999996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1"/>
    </row>
    <row r="394" spans="1:38" ht="13">
      <c r="A394" s="8" t="s">
        <v>827</v>
      </c>
      <c r="B394" s="9" t="s">
        <v>98</v>
      </c>
      <c r="C394" s="9">
        <v>144</v>
      </c>
      <c r="D394" s="9">
        <v>53</v>
      </c>
      <c r="E394" s="9">
        <v>134</v>
      </c>
      <c r="F394" s="9">
        <v>38.299999999999997</v>
      </c>
      <c r="G394" s="9">
        <v>101</v>
      </c>
      <c r="H394" s="8">
        <v>35.6</v>
      </c>
      <c r="I394" s="8">
        <v>5</v>
      </c>
      <c r="J394" s="8">
        <v>14</v>
      </c>
      <c r="K394" s="8">
        <v>58.3</v>
      </c>
      <c r="L394" s="9">
        <v>19</v>
      </c>
      <c r="M394" s="8">
        <v>4.3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1"/>
    </row>
    <row r="395" spans="1:38" ht="13">
      <c r="A395" s="8" t="s">
        <v>829</v>
      </c>
      <c r="B395" s="8" t="s">
        <v>94</v>
      </c>
      <c r="C395" s="9">
        <v>143</v>
      </c>
      <c r="D395" s="9">
        <v>67</v>
      </c>
      <c r="E395" s="9">
        <v>115</v>
      </c>
      <c r="F395" s="9">
        <v>58.8</v>
      </c>
      <c r="G395" s="8">
        <v>0</v>
      </c>
      <c r="H395" s="8">
        <v>0</v>
      </c>
      <c r="I395" s="8">
        <v>11</v>
      </c>
      <c r="J395" s="8">
        <v>25</v>
      </c>
      <c r="K395" s="8">
        <v>40</v>
      </c>
      <c r="L395" s="9">
        <v>42</v>
      </c>
      <c r="M395" s="8">
        <v>8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1"/>
    </row>
    <row r="396" spans="1:38" ht="13">
      <c r="A396" s="8" t="s">
        <v>831</v>
      </c>
      <c r="B396" s="9" t="s">
        <v>164</v>
      </c>
      <c r="C396" s="9">
        <v>141</v>
      </c>
      <c r="D396" s="9">
        <v>53</v>
      </c>
      <c r="E396" s="9">
        <v>109</v>
      </c>
      <c r="F396" s="9">
        <v>48.6</v>
      </c>
      <c r="G396" s="9">
        <v>43</v>
      </c>
      <c r="H396" s="8">
        <v>32.6</v>
      </c>
      <c r="I396" s="8">
        <v>22</v>
      </c>
      <c r="J396" s="8">
        <v>29</v>
      </c>
      <c r="K396" s="8">
        <v>73.3</v>
      </c>
      <c r="L396" s="9">
        <v>13</v>
      </c>
      <c r="M396" s="8">
        <v>7.9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1"/>
    </row>
    <row r="397" spans="1:38" ht="13">
      <c r="A397" s="8" t="s">
        <v>833</v>
      </c>
      <c r="B397" s="9" t="s">
        <v>44</v>
      </c>
      <c r="C397" s="9">
        <v>141</v>
      </c>
      <c r="D397" s="9">
        <v>56</v>
      </c>
      <c r="E397" s="9">
        <v>126</v>
      </c>
      <c r="F397" s="9">
        <v>43.2</v>
      </c>
      <c r="G397" s="9">
        <v>70</v>
      </c>
      <c r="H397" s="8">
        <v>32.4</v>
      </c>
      <c r="I397" s="8">
        <v>11</v>
      </c>
      <c r="J397" s="8">
        <v>15</v>
      </c>
      <c r="K397" s="8">
        <v>68.8</v>
      </c>
      <c r="L397" s="9">
        <v>19</v>
      </c>
      <c r="M397" s="8">
        <v>8.8000000000000007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1"/>
    </row>
    <row r="398" spans="1:38" ht="13">
      <c r="A398" s="8" t="s">
        <v>835</v>
      </c>
      <c r="B398" s="9" t="s">
        <v>46</v>
      </c>
      <c r="C398" s="9">
        <v>138</v>
      </c>
      <c r="D398" s="9">
        <v>54</v>
      </c>
      <c r="E398" s="9">
        <v>115</v>
      </c>
      <c r="F398" s="9">
        <v>48.2</v>
      </c>
      <c r="G398" s="9">
        <v>32</v>
      </c>
      <c r="H398" s="8">
        <v>35.5</v>
      </c>
      <c r="I398" s="8">
        <v>16</v>
      </c>
      <c r="J398" s="8">
        <v>22</v>
      </c>
      <c r="K398" s="8">
        <v>81</v>
      </c>
      <c r="L398" s="9">
        <v>10</v>
      </c>
      <c r="M398" s="8">
        <v>8.1999999999999993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1"/>
    </row>
    <row r="399" spans="1:38" ht="13">
      <c r="A399" s="8" t="s">
        <v>837</v>
      </c>
      <c r="B399" s="9" t="s">
        <v>164</v>
      </c>
      <c r="C399" s="9">
        <v>138</v>
      </c>
      <c r="D399" s="9">
        <v>51</v>
      </c>
      <c r="E399" s="9">
        <v>112</v>
      </c>
      <c r="F399" s="9">
        <v>46.4</v>
      </c>
      <c r="G399" s="9">
        <v>54</v>
      </c>
      <c r="H399" s="8">
        <v>27.8</v>
      </c>
      <c r="I399" s="8">
        <v>19</v>
      </c>
      <c r="J399" s="8">
        <v>26</v>
      </c>
      <c r="K399" s="8">
        <v>70.400000000000006</v>
      </c>
      <c r="L399" s="9">
        <v>32</v>
      </c>
      <c r="M399" s="8">
        <v>10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1"/>
    </row>
    <row r="400" spans="1:38" ht="13">
      <c r="A400" s="8" t="s">
        <v>839</v>
      </c>
      <c r="B400" s="9" t="s">
        <v>46</v>
      </c>
      <c r="C400" s="9">
        <v>137</v>
      </c>
      <c r="D400" s="9">
        <v>51</v>
      </c>
      <c r="E400" s="9">
        <v>105</v>
      </c>
      <c r="F400" s="9">
        <v>49.5</v>
      </c>
      <c r="G400" s="9">
        <v>35</v>
      </c>
      <c r="H400" s="8">
        <v>27.8</v>
      </c>
      <c r="I400" s="8">
        <v>23</v>
      </c>
      <c r="J400" s="8">
        <v>35</v>
      </c>
      <c r="K400" s="8">
        <v>68.599999999999994</v>
      </c>
      <c r="L400" s="9">
        <v>31</v>
      </c>
      <c r="M400" s="8">
        <v>10.1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1"/>
    </row>
    <row r="401" spans="1:38" ht="13">
      <c r="A401" s="8" t="s">
        <v>841</v>
      </c>
      <c r="B401" s="9" t="s">
        <v>116</v>
      </c>
      <c r="C401" s="9">
        <v>137</v>
      </c>
      <c r="D401" s="9">
        <v>42</v>
      </c>
      <c r="E401" s="9">
        <v>116</v>
      </c>
      <c r="F401" s="9">
        <v>35</v>
      </c>
      <c r="G401" s="9">
        <v>88</v>
      </c>
      <c r="H401" s="8">
        <v>33</v>
      </c>
      <c r="I401" s="8">
        <v>28</v>
      </c>
      <c r="J401" s="8">
        <v>32</v>
      </c>
      <c r="K401" s="8">
        <v>81.8</v>
      </c>
      <c r="L401" s="9">
        <v>11</v>
      </c>
      <c r="M401" s="8">
        <v>6.7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1"/>
    </row>
    <row r="402" spans="1:38" ht="13">
      <c r="A402" s="8" t="s">
        <v>843</v>
      </c>
      <c r="B402" s="9" t="s">
        <v>66</v>
      </c>
      <c r="C402" s="9">
        <v>137</v>
      </c>
      <c r="D402" s="9">
        <v>47</v>
      </c>
      <c r="E402" s="9">
        <v>126</v>
      </c>
      <c r="F402" s="9">
        <v>37</v>
      </c>
      <c r="G402" s="9">
        <v>61</v>
      </c>
      <c r="H402" s="8">
        <v>29.5</v>
      </c>
      <c r="I402" s="8">
        <v>25</v>
      </c>
      <c r="J402" s="8">
        <v>43</v>
      </c>
      <c r="K402" s="8">
        <v>59.1</v>
      </c>
      <c r="L402" s="9">
        <v>18</v>
      </c>
      <c r="M402" s="8">
        <v>7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1"/>
    </row>
    <row r="403" spans="1:38" ht="13">
      <c r="A403" s="8" t="s">
        <v>845</v>
      </c>
      <c r="B403" s="9" t="s">
        <v>82</v>
      </c>
      <c r="C403" s="9">
        <v>136</v>
      </c>
      <c r="D403" s="9">
        <v>56</v>
      </c>
      <c r="E403" s="9">
        <v>105</v>
      </c>
      <c r="F403" s="9">
        <v>51.9</v>
      </c>
      <c r="G403" s="9">
        <v>19</v>
      </c>
      <c r="H403" s="8">
        <v>15.8</v>
      </c>
      <c r="I403" s="8">
        <v>22</v>
      </c>
      <c r="J403" s="8">
        <v>34</v>
      </c>
      <c r="K403" s="8">
        <v>65.7</v>
      </c>
      <c r="L403" s="9">
        <v>37</v>
      </c>
      <c r="M403" s="8">
        <v>12.3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1"/>
    </row>
    <row r="404" spans="1:38" ht="13">
      <c r="A404" s="8" t="s">
        <v>847</v>
      </c>
      <c r="B404" s="9" t="s">
        <v>116</v>
      </c>
      <c r="C404" s="9">
        <v>136</v>
      </c>
      <c r="D404" s="9">
        <v>53</v>
      </c>
      <c r="E404" s="9">
        <v>133</v>
      </c>
      <c r="F404" s="9">
        <v>39.1</v>
      </c>
      <c r="G404" s="9">
        <v>74</v>
      </c>
      <c r="H404" s="8">
        <v>33.799999999999997</v>
      </c>
      <c r="I404" s="8">
        <v>6</v>
      </c>
      <c r="J404" s="8">
        <v>9</v>
      </c>
      <c r="K404" s="8">
        <v>77.8</v>
      </c>
      <c r="L404" s="9">
        <v>9</v>
      </c>
      <c r="M404" s="8">
        <v>6.7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1"/>
    </row>
    <row r="405" spans="1:38" ht="13">
      <c r="A405" s="8" t="s">
        <v>849</v>
      </c>
      <c r="B405" s="9" t="s">
        <v>66</v>
      </c>
      <c r="C405" s="9">
        <v>136</v>
      </c>
      <c r="D405" s="9">
        <v>56</v>
      </c>
      <c r="E405" s="9">
        <v>84</v>
      </c>
      <c r="F405" s="9">
        <v>65.099999999999994</v>
      </c>
      <c r="G405" s="9">
        <v>8</v>
      </c>
      <c r="H405" s="8">
        <v>37.5</v>
      </c>
      <c r="I405" s="8">
        <v>24</v>
      </c>
      <c r="J405" s="8">
        <v>36</v>
      </c>
      <c r="K405" s="8">
        <v>63.9</v>
      </c>
      <c r="L405" s="9">
        <v>24</v>
      </c>
      <c r="M405" s="8">
        <v>8.6999999999999993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1"/>
    </row>
    <row r="406" spans="1:38" ht="13">
      <c r="A406" s="8" t="s">
        <v>851</v>
      </c>
      <c r="B406" s="9" t="s">
        <v>44</v>
      </c>
      <c r="C406" s="9">
        <v>135</v>
      </c>
      <c r="D406" s="9">
        <v>49</v>
      </c>
      <c r="E406" s="9">
        <v>135</v>
      </c>
      <c r="F406" s="9">
        <v>38.299999999999997</v>
      </c>
      <c r="G406" s="9">
        <v>65</v>
      </c>
      <c r="H406" s="8">
        <v>25.4</v>
      </c>
      <c r="I406" s="8">
        <v>16</v>
      </c>
      <c r="J406" s="8">
        <v>27</v>
      </c>
      <c r="K406" s="8">
        <v>60.7</v>
      </c>
      <c r="L406" s="9">
        <v>32</v>
      </c>
      <c r="M406" s="8">
        <v>6.6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1"/>
    </row>
    <row r="407" spans="1:38" ht="13">
      <c r="A407" s="8" t="s">
        <v>853</v>
      </c>
      <c r="B407" s="9" t="s">
        <v>48</v>
      </c>
      <c r="C407" s="9">
        <v>133</v>
      </c>
      <c r="D407" s="9">
        <v>46</v>
      </c>
      <c r="E407" s="9">
        <v>122</v>
      </c>
      <c r="F407" s="9">
        <v>37.5</v>
      </c>
      <c r="G407" s="9">
        <v>77</v>
      </c>
      <c r="H407" s="8">
        <v>31.1</v>
      </c>
      <c r="I407" s="8">
        <v>20</v>
      </c>
      <c r="J407" s="8">
        <v>26</v>
      </c>
      <c r="K407" s="8">
        <v>75</v>
      </c>
      <c r="L407" s="9">
        <v>26</v>
      </c>
      <c r="M407" s="8">
        <v>5.7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1"/>
    </row>
    <row r="408" spans="1:38" ht="13">
      <c r="A408" s="8" t="s">
        <v>855</v>
      </c>
      <c r="B408" s="9" t="s">
        <v>114</v>
      </c>
      <c r="C408" s="9">
        <v>128</v>
      </c>
      <c r="D408" s="9">
        <v>41</v>
      </c>
      <c r="E408" s="9">
        <v>87</v>
      </c>
      <c r="F408" s="9">
        <v>48.9</v>
      </c>
      <c r="G408" s="9">
        <v>31</v>
      </c>
      <c r="H408" s="8">
        <v>32.299999999999997</v>
      </c>
      <c r="I408" s="8">
        <v>31</v>
      </c>
      <c r="J408" s="8">
        <v>51</v>
      </c>
      <c r="K408" s="8">
        <v>66</v>
      </c>
      <c r="L408" s="9">
        <v>20</v>
      </c>
      <c r="M408" s="8">
        <v>7.1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1"/>
    </row>
    <row r="409" spans="1:38" ht="13">
      <c r="A409" s="8" t="s">
        <v>857</v>
      </c>
      <c r="B409" s="9" t="s">
        <v>64</v>
      </c>
      <c r="C409" s="9">
        <v>124</v>
      </c>
      <c r="D409" s="9">
        <v>44</v>
      </c>
      <c r="E409" s="9">
        <v>132</v>
      </c>
      <c r="F409" s="9">
        <v>34.4</v>
      </c>
      <c r="G409" s="9">
        <v>72</v>
      </c>
      <c r="H409" s="8">
        <v>27.4</v>
      </c>
      <c r="I409" s="8">
        <v>16</v>
      </c>
      <c r="J409" s="8">
        <v>24</v>
      </c>
      <c r="K409" s="8">
        <v>60</v>
      </c>
      <c r="L409" s="9">
        <v>28</v>
      </c>
      <c r="M409" s="8">
        <v>6.1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1"/>
    </row>
    <row r="410" spans="1:38" ht="13">
      <c r="A410" s="8" t="s">
        <v>859</v>
      </c>
      <c r="B410" s="9" t="s">
        <v>56</v>
      </c>
      <c r="C410" s="9">
        <v>122</v>
      </c>
      <c r="D410" s="9">
        <v>41</v>
      </c>
      <c r="E410" s="9">
        <v>115</v>
      </c>
      <c r="F410" s="9">
        <v>35.700000000000003</v>
      </c>
      <c r="G410" s="9">
        <v>67</v>
      </c>
      <c r="H410" s="8">
        <v>35.799999999999997</v>
      </c>
      <c r="I410" s="8">
        <v>16</v>
      </c>
      <c r="J410" s="8">
        <v>23</v>
      </c>
      <c r="K410" s="8">
        <v>69.599999999999994</v>
      </c>
      <c r="L410" s="9">
        <v>23</v>
      </c>
      <c r="M410" s="8">
        <v>10.9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1"/>
    </row>
    <row r="411" spans="1:38" ht="13">
      <c r="A411" s="8" t="s">
        <v>861</v>
      </c>
      <c r="B411" s="9" t="s">
        <v>44</v>
      </c>
      <c r="C411" s="9">
        <v>122</v>
      </c>
      <c r="D411" s="9">
        <v>42</v>
      </c>
      <c r="E411" s="9">
        <v>96</v>
      </c>
      <c r="F411" s="9">
        <v>44.3</v>
      </c>
      <c r="G411" s="9">
        <v>67</v>
      </c>
      <c r="H411" s="8">
        <v>33.299999999999997</v>
      </c>
      <c r="I411" s="8">
        <v>13</v>
      </c>
      <c r="J411" s="8">
        <v>19</v>
      </c>
      <c r="K411" s="8">
        <v>77.8</v>
      </c>
      <c r="L411" s="9">
        <v>16</v>
      </c>
      <c r="M411" s="8">
        <v>10.1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1"/>
    </row>
    <row r="412" spans="1:38" ht="13">
      <c r="A412" s="8" t="s">
        <v>863</v>
      </c>
      <c r="B412" s="9" t="s">
        <v>146</v>
      </c>
      <c r="C412" s="9">
        <v>122</v>
      </c>
      <c r="D412" s="9">
        <v>47</v>
      </c>
      <c r="E412" s="9">
        <v>99</v>
      </c>
      <c r="F412" s="9">
        <v>46.9</v>
      </c>
      <c r="G412" s="9">
        <v>16</v>
      </c>
      <c r="H412" s="8">
        <v>12.5</v>
      </c>
      <c r="I412" s="8">
        <v>29</v>
      </c>
      <c r="J412" s="8">
        <v>39</v>
      </c>
      <c r="K412" s="8">
        <v>76.3</v>
      </c>
      <c r="L412" s="9">
        <v>52</v>
      </c>
      <c r="M412" s="8">
        <v>7.4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1"/>
    </row>
    <row r="413" spans="1:38" ht="13">
      <c r="A413" s="8" t="s">
        <v>865</v>
      </c>
      <c r="B413" s="9" t="s">
        <v>140</v>
      </c>
      <c r="C413" s="9">
        <v>120</v>
      </c>
      <c r="D413" s="9">
        <v>42</v>
      </c>
      <c r="E413" s="9">
        <v>106</v>
      </c>
      <c r="F413" s="9">
        <v>39</v>
      </c>
      <c r="G413" s="9">
        <v>34</v>
      </c>
      <c r="H413" s="8">
        <v>39.4</v>
      </c>
      <c r="I413" s="8">
        <v>26</v>
      </c>
      <c r="J413" s="8">
        <v>34</v>
      </c>
      <c r="K413" s="8">
        <v>73.5</v>
      </c>
      <c r="L413" s="9">
        <v>14</v>
      </c>
      <c r="M413" s="8">
        <v>7.7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1"/>
    </row>
    <row r="414" spans="1:38" ht="13">
      <c r="A414" s="8" t="s">
        <v>867</v>
      </c>
      <c r="B414" s="9" t="s">
        <v>46</v>
      </c>
      <c r="C414" s="9">
        <v>120</v>
      </c>
      <c r="D414" s="9">
        <v>46</v>
      </c>
      <c r="E414" s="9">
        <v>92</v>
      </c>
      <c r="F414" s="9">
        <v>48.9</v>
      </c>
      <c r="G414" s="9">
        <v>41</v>
      </c>
      <c r="H414" s="8">
        <v>32.6</v>
      </c>
      <c r="I414" s="8">
        <v>18</v>
      </c>
      <c r="J414" s="8">
        <v>18</v>
      </c>
      <c r="K414" s="8">
        <v>89.5</v>
      </c>
      <c r="L414" s="9">
        <v>14</v>
      </c>
      <c r="M414" s="8">
        <v>9.5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1"/>
    </row>
    <row r="415" spans="1:38" ht="13">
      <c r="A415" s="8" t="s">
        <v>869</v>
      </c>
      <c r="B415" s="9" t="s">
        <v>146</v>
      </c>
      <c r="C415" s="9">
        <v>118</v>
      </c>
      <c r="D415" s="9">
        <v>42</v>
      </c>
      <c r="E415" s="9">
        <v>87</v>
      </c>
      <c r="F415" s="9">
        <v>48.3</v>
      </c>
      <c r="G415" s="9">
        <v>39</v>
      </c>
      <c r="H415" s="8">
        <v>30.8</v>
      </c>
      <c r="I415" s="8">
        <v>22</v>
      </c>
      <c r="J415" s="8">
        <v>25</v>
      </c>
      <c r="K415" s="8">
        <v>88</v>
      </c>
      <c r="L415" s="9">
        <v>14</v>
      </c>
      <c r="M415" s="8">
        <v>10.6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1"/>
    </row>
    <row r="416" spans="1:38" ht="13">
      <c r="A416" s="8" t="s">
        <v>871</v>
      </c>
      <c r="B416" s="8" t="s">
        <v>144</v>
      </c>
      <c r="C416" s="9">
        <v>116</v>
      </c>
      <c r="D416" s="9">
        <v>44</v>
      </c>
      <c r="E416" s="9">
        <v>61</v>
      </c>
      <c r="F416" s="9">
        <v>68.900000000000006</v>
      </c>
      <c r="G416" s="9">
        <v>6</v>
      </c>
      <c r="H416" s="8">
        <v>40</v>
      </c>
      <c r="I416" s="8">
        <v>28</v>
      </c>
      <c r="J416" s="8">
        <v>44</v>
      </c>
      <c r="K416" s="8">
        <v>65.099999999999994</v>
      </c>
      <c r="L416" s="9">
        <v>50</v>
      </c>
      <c r="M416" s="8">
        <v>7.3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1"/>
    </row>
    <row r="417" spans="1:38" ht="13">
      <c r="A417" s="8" t="s">
        <v>873</v>
      </c>
      <c r="B417" s="9" t="s">
        <v>122</v>
      </c>
      <c r="C417" s="9">
        <v>116</v>
      </c>
      <c r="D417" s="9">
        <v>50</v>
      </c>
      <c r="E417" s="9">
        <v>78</v>
      </c>
      <c r="F417" s="9">
        <v>64.099999999999994</v>
      </c>
      <c r="G417" s="9">
        <v>4</v>
      </c>
      <c r="H417" s="8">
        <v>33.299999999999997</v>
      </c>
      <c r="I417" s="8">
        <v>16</v>
      </c>
      <c r="J417" s="8">
        <v>18</v>
      </c>
      <c r="K417" s="8">
        <v>88.2</v>
      </c>
      <c r="L417" s="9">
        <v>36</v>
      </c>
      <c r="M417" s="8">
        <v>13.7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1"/>
    </row>
    <row r="418" spans="1:38" ht="13">
      <c r="A418" s="8" t="s">
        <v>875</v>
      </c>
      <c r="B418" s="9" t="s">
        <v>196</v>
      </c>
      <c r="C418" s="9">
        <v>115</v>
      </c>
      <c r="D418" s="9">
        <v>45</v>
      </c>
      <c r="E418" s="9">
        <v>109</v>
      </c>
      <c r="F418" s="9">
        <v>41.7</v>
      </c>
      <c r="G418" s="9">
        <v>50</v>
      </c>
      <c r="H418" s="8">
        <v>38</v>
      </c>
      <c r="I418" s="8">
        <v>8</v>
      </c>
      <c r="J418" s="8">
        <v>11</v>
      </c>
      <c r="K418" s="8">
        <v>70</v>
      </c>
      <c r="L418" s="9">
        <v>17</v>
      </c>
      <c r="M418" s="8">
        <v>6.6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1"/>
    </row>
    <row r="419" spans="1:38" ht="13">
      <c r="A419" s="8" t="s">
        <v>877</v>
      </c>
      <c r="B419" s="9" t="s">
        <v>196</v>
      </c>
      <c r="C419" s="9">
        <v>114</v>
      </c>
      <c r="D419" s="9">
        <v>40</v>
      </c>
      <c r="E419" s="9">
        <v>96</v>
      </c>
      <c r="F419" s="9">
        <v>40.6</v>
      </c>
      <c r="G419" s="9">
        <v>74</v>
      </c>
      <c r="H419" s="8">
        <v>44.6</v>
      </c>
      <c r="I419" s="8">
        <v>4</v>
      </c>
      <c r="J419" s="8">
        <v>6</v>
      </c>
      <c r="K419" s="8">
        <v>60</v>
      </c>
      <c r="L419" s="9">
        <v>4</v>
      </c>
      <c r="M419" s="8">
        <v>6.5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1"/>
    </row>
    <row r="420" spans="1:38" ht="13">
      <c r="A420" s="8" t="s">
        <v>879</v>
      </c>
      <c r="B420" s="9" t="s">
        <v>122</v>
      </c>
      <c r="C420" s="9">
        <v>113</v>
      </c>
      <c r="D420" s="9">
        <v>42</v>
      </c>
      <c r="E420" s="9">
        <v>89</v>
      </c>
      <c r="F420" s="9">
        <v>47.7</v>
      </c>
      <c r="G420" s="9">
        <v>48</v>
      </c>
      <c r="H420" s="8">
        <v>43.8</v>
      </c>
      <c r="I420" s="8">
        <v>8</v>
      </c>
      <c r="J420" s="8">
        <v>15</v>
      </c>
      <c r="K420" s="8">
        <v>46.7</v>
      </c>
      <c r="L420" s="9">
        <v>14</v>
      </c>
      <c r="M420" s="8">
        <v>11.4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1"/>
    </row>
    <row r="421" spans="1:38" ht="13">
      <c r="A421" s="8" t="s">
        <v>881</v>
      </c>
      <c r="B421" s="9" t="s">
        <v>52</v>
      </c>
      <c r="C421" s="9">
        <v>112</v>
      </c>
      <c r="D421" s="9">
        <v>40</v>
      </c>
      <c r="E421" s="9">
        <v>109</v>
      </c>
      <c r="F421" s="9">
        <v>35.5</v>
      </c>
      <c r="G421" s="9">
        <v>81</v>
      </c>
      <c r="H421" s="8">
        <v>31.7</v>
      </c>
      <c r="I421" s="8">
        <v>9</v>
      </c>
      <c r="J421" s="8">
        <v>12</v>
      </c>
      <c r="K421" s="8">
        <v>75</v>
      </c>
      <c r="L421" s="9">
        <v>19</v>
      </c>
      <c r="M421" s="8">
        <v>7.4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1"/>
    </row>
    <row r="422" spans="1:38" ht="13">
      <c r="A422" s="8" t="s">
        <v>883</v>
      </c>
      <c r="B422" s="9" t="s">
        <v>140</v>
      </c>
      <c r="C422" s="9">
        <v>110</v>
      </c>
      <c r="D422" s="9">
        <v>42</v>
      </c>
      <c r="E422" s="9">
        <v>131</v>
      </c>
      <c r="F422" s="9">
        <v>32.299999999999997</v>
      </c>
      <c r="G422" s="9">
        <v>56</v>
      </c>
      <c r="H422" s="8">
        <v>21.4</v>
      </c>
      <c r="I422" s="8">
        <v>14</v>
      </c>
      <c r="J422" s="8">
        <v>15</v>
      </c>
      <c r="K422" s="8">
        <v>86.7</v>
      </c>
      <c r="L422" s="9">
        <v>14</v>
      </c>
      <c r="M422" s="8">
        <v>5.0999999999999996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1"/>
    </row>
    <row r="423" spans="1:38" ht="13">
      <c r="A423" s="8" t="s">
        <v>885</v>
      </c>
      <c r="B423" s="9" t="s">
        <v>62</v>
      </c>
      <c r="C423" s="9">
        <v>110</v>
      </c>
      <c r="D423" s="9">
        <v>35</v>
      </c>
      <c r="E423" s="9">
        <v>96</v>
      </c>
      <c r="F423" s="9">
        <v>37.5</v>
      </c>
      <c r="G423" s="9">
        <v>75</v>
      </c>
      <c r="H423" s="8">
        <v>34.700000000000003</v>
      </c>
      <c r="I423" s="8">
        <v>12</v>
      </c>
      <c r="J423" s="8">
        <v>15</v>
      </c>
      <c r="K423" s="8">
        <v>92.9</v>
      </c>
      <c r="L423" s="9">
        <v>3</v>
      </c>
      <c r="M423" s="8">
        <v>5.5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1"/>
    </row>
    <row r="424" spans="1:38" ht="13">
      <c r="A424" s="8" t="s">
        <v>887</v>
      </c>
      <c r="B424" s="9" t="s">
        <v>82</v>
      </c>
      <c r="C424" s="9">
        <v>110</v>
      </c>
      <c r="D424" s="9">
        <v>41</v>
      </c>
      <c r="E424" s="9">
        <v>92</v>
      </c>
      <c r="F424" s="9">
        <v>45.1</v>
      </c>
      <c r="G424" s="9">
        <v>60</v>
      </c>
      <c r="H424" s="8">
        <v>37.1</v>
      </c>
      <c r="I424" s="8">
        <v>9</v>
      </c>
      <c r="J424" s="8">
        <v>9</v>
      </c>
      <c r="K424" s="8">
        <v>87.5</v>
      </c>
      <c r="L424" s="9">
        <v>37</v>
      </c>
      <c r="M424" s="8">
        <v>9.4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1"/>
    </row>
    <row r="425" spans="1:38" ht="13">
      <c r="A425" s="8" t="s">
        <v>889</v>
      </c>
      <c r="B425" s="9" t="s">
        <v>196</v>
      </c>
      <c r="C425" s="9">
        <v>109</v>
      </c>
      <c r="D425" s="9">
        <v>45</v>
      </c>
      <c r="E425" s="9">
        <v>102</v>
      </c>
      <c r="F425" s="9">
        <v>44.1</v>
      </c>
      <c r="G425" s="9">
        <v>35</v>
      </c>
      <c r="H425" s="8">
        <v>25.7</v>
      </c>
      <c r="I425" s="8">
        <v>10</v>
      </c>
      <c r="J425" s="8">
        <v>16</v>
      </c>
      <c r="K425" s="8">
        <v>62.5</v>
      </c>
      <c r="L425" s="9">
        <v>17</v>
      </c>
      <c r="M425" s="8">
        <v>8.6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1"/>
    </row>
    <row r="426" spans="1:38" ht="13">
      <c r="A426" s="8" t="s">
        <v>891</v>
      </c>
      <c r="B426" s="9" t="s">
        <v>52</v>
      </c>
      <c r="C426" s="9">
        <v>109</v>
      </c>
      <c r="D426" s="9">
        <v>39</v>
      </c>
      <c r="E426" s="9">
        <v>91</v>
      </c>
      <c r="F426" s="9">
        <v>42.2</v>
      </c>
      <c r="G426" s="9">
        <v>65</v>
      </c>
      <c r="H426" s="8">
        <v>36.4</v>
      </c>
      <c r="I426" s="8">
        <v>8</v>
      </c>
      <c r="J426" s="8">
        <v>13</v>
      </c>
      <c r="K426" s="8">
        <v>66.7</v>
      </c>
      <c r="L426" s="9">
        <v>26</v>
      </c>
      <c r="M426" s="8">
        <v>8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1"/>
    </row>
    <row r="427" spans="1:38" ht="13">
      <c r="A427" s="8" t="s">
        <v>893</v>
      </c>
      <c r="B427" s="9" t="s">
        <v>170</v>
      </c>
      <c r="C427" s="9">
        <v>108</v>
      </c>
      <c r="D427" s="9">
        <v>34</v>
      </c>
      <c r="E427" s="9">
        <v>90</v>
      </c>
      <c r="F427" s="9">
        <v>38.9</v>
      </c>
      <c r="G427" s="9">
        <v>47</v>
      </c>
      <c r="H427" s="8">
        <v>25</v>
      </c>
      <c r="I427" s="8">
        <v>26</v>
      </c>
      <c r="J427" s="8">
        <v>39</v>
      </c>
      <c r="K427" s="8">
        <v>71.099999999999994</v>
      </c>
      <c r="L427" s="9">
        <v>17</v>
      </c>
      <c r="M427" s="8">
        <v>6.3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1"/>
    </row>
    <row r="428" spans="1:38" ht="13">
      <c r="A428" s="8" t="s">
        <v>895</v>
      </c>
      <c r="B428" s="8" t="s">
        <v>140</v>
      </c>
      <c r="C428" s="9">
        <v>107</v>
      </c>
      <c r="D428" s="9">
        <v>48</v>
      </c>
      <c r="E428" s="9">
        <v>96</v>
      </c>
      <c r="F428" s="9">
        <v>49.5</v>
      </c>
      <c r="G428" s="9">
        <v>4</v>
      </c>
      <c r="H428" s="8">
        <v>50</v>
      </c>
      <c r="I428" s="8">
        <v>11</v>
      </c>
      <c r="J428" s="8">
        <v>19</v>
      </c>
      <c r="K428" s="8">
        <v>60</v>
      </c>
      <c r="L428" s="9">
        <v>52</v>
      </c>
      <c r="M428" s="8">
        <v>6.8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1"/>
    </row>
    <row r="429" spans="1:38" ht="13">
      <c r="A429" s="8" t="s">
        <v>897</v>
      </c>
      <c r="B429" s="9" t="s">
        <v>116</v>
      </c>
      <c r="C429" s="9">
        <v>107</v>
      </c>
      <c r="D429" s="9">
        <v>38</v>
      </c>
      <c r="E429" s="9">
        <v>98</v>
      </c>
      <c r="F429" s="9">
        <v>37.799999999999997</v>
      </c>
      <c r="G429" s="9">
        <v>47</v>
      </c>
      <c r="H429" s="8">
        <v>30.4</v>
      </c>
      <c r="I429" s="8">
        <v>18</v>
      </c>
      <c r="J429" s="8">
        <v>21</v>
      </c>
      <c r="K429" s="8">
        <v>85.7</v>
      </c>
      <c r="L429" s="9">
        <v>3</v>
      </c>
      <c r="M429" s="8">
        <v>4.9000000000000004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1"/>
    </row>
    <row r="430" spans="1:38" ht="13">
      <c r="A430" s="8" t="s">
        <v>899</v>
      </c>
      <c r="B430" s="9" t="s">
        <v>74</v>
      </c>
      <c r="C430" s="9">
        <v>106</v>
      </c>
      <c r="D430" s="9">
        <v>40</v>
      </c>
      <c r="E430" s="9">
        <v>92</v>
      </c>
      <c r="F430" s="9">
        <v>40.4</v>
      </c>
      <c r="G430" s="9">
        <v>46</v>
      </c>
      <c r="H430" s="8">
        <v>27.7</v>
      </c>
      <c r="I430" s="8">
        <v>17</v>
      </c>
      <c r="J430" s="8">
        <v>26</v>
      </c>
      <c r="K430" s="8">
        <v>61.5</v>
      </c>
      <c r="L430" s="9">
        <v>17</v>
      </c>
      <c r="M430" s="8">
        <v>4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1"/>
    </row>
    <row r="431" spans="1:38" ht="13">
      <c r="A431" s="8" t="s">
        <v>901</v>
      </c>
      <c r="B431" s="8" t="s">
        <v>170</v>
      </c>
      <c r="C431" s="9">
        <v>106</v>
      </c>
      <c r="D431" s="9">
        <v>42</v>
      </c>
      <c r="E431" s="9">
        <v>70</v>
      </c>
      <c r="F431" s="9">
        <v>60</v>
      </c>
      <c r="G431" s="8">
        <v>0</v>
      </c>
      <c r="H431" s="8">
        <v>0</v>
      </c>
      <c r="I431" s="8">
        <v>22</v>
      </c>
      <c r="J431" s="8">
        <v>31</v>
      </c>
      <c r="K431" s="8">
        <v>74.2</v>
      </c>
      <c r="L431" s="9">
        <v>46</v>
      </c>
      <c r="M431" s="8">
        <v>14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1"/>
    </row>
    <row r="432" spans="1:38" ht="13">
      <c r="A432" s="8" t="s">
        <v>903</v>
      </c>
      <c r="B432" s="9" t="s">
        <v>84</v>
      </c>
      <c r="C432" s="9">
        <v>105</v>
      </c>
      <c r="D432" s="9">
        <v>35</v>
      </c>
      <c r="E432" s="9">
        <v>90</v>
      </c>
      <c r="F432" s="9">
        <v>38</v>
      </c>
      <c r="G432" s="9">
        <v>50</v>
      </c>
      <c r="H432" s="8">
        <v>30</v>
      </c>
      <c r="I432" s="8">
        <v>20</v>
      </c>
      <c r="J432" s="8">
        <v>20</v>
      </c>
      <c r="K432" s="8">
        <v>81.8</v>
      </c>
      <c r="L432" s="9">
        <v>25</v>
      </c>
      <c r="M432" s="8">
        <v>5.9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1"/>
    </row>
    <row r="433" spans="1:38" ht="13">
      <c r="A433" s="8" t="s">
        <v>905</v>
      </c>
      <c r="B433" s="9" t="s">
        <v>82</v>
      </c>
      <c r="C433" s="9">
        <v>105</v>
      </c>
      <c r="D433" s="9">
        <v>35</v>
      </c>
      <c r="E433" s="9">
        <v>83</v>
      </c>
      <c r="F433" s="9">
        <v>41.5</v>
      </c>
      <c r="G433" s="9">
        <v>53</v>
      </c>
      <c r="H433" s="8">
        <v>36.5</v>
      </c>
      <c r="I433" s="8">
        <v>20</v>
      </c>
      <c r="J433" s="8">
        <v>20</v>
      </c>
      <c r="K433" s="8">
        <v>100</v>
      </c>
      <c r="L433" s="9">
        <v>13</v>
      </c>
      <c r="M433" s="8">
        <v>8.6999999999999993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1"/>
    </row>
    <row r="434" spans="1:38" ht="13">
      <c r="A434" s="8" t="s">
        <v>907</v>
      </c>
      <c r="B434" s="9" t="s">
        <v>74</v>
      </c>
      <c r="C434" s="9">
        <v>102</v>
      </c>
      <c r="D434" s="9">
        <v>37</v>
      </c>
      <c r="E434" s="9">
        <v>95</v>
      </c>
      <c r="F434" s="9">
        <v>38.5</v>
      </c>
      <c r="G434" s="9">
        <v>48</v>
      </c>
      <c r="H434" s="8">
        <v>26.5</v>
      </c>
      <c r="I434" s="8">
        <v>17</v>
      </c>
      <c r="J434" s="8">
        <v>20</v>
      </c>
      <c r="K434" s="8">
        <v>76.2</v>
      </c>
      <c r="L434" s="9">
        <v>24</v>
      </c>
      <c r="M434" s="8">
        <v>3.5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1"/>
    </row>
    <row r="435" spans="1:38" ht="13">
      <c r="A435" s="8" t="s">
        <v>909</v>
      </c>
      <c r="B435" s="9" t="s">
        <v>70</v>
      </c>
      <c r="C435" s="9">
        <v>98</v>
      </c>
      <c r="D435" s="9">
        <v>43</v>
      </c>
      <c r="E435" s="9">
        <v>101</v>
      </c>
      <c r="F435" s="9">
        <v>40.6</v>
      </c>
      <c r="G435" s="9">
        <v>23</v>
      </c>
      <c r="H435" s="8">
        <v>22.7</v>
      </c>
      <c r="I435" s="8">
        <v>12</v>
      </c>
      <c r="J435" s="8">
        <v>16</v>
      </c>
      <c r="K435" s="8">
        <v>73.3</v>
      </c>
      <c r="L435" s="9">
        <v>16</v>
      </c>
      <c r="M435" s="8">
        <v>9.3000000000000007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1"/>
    </row>
    <row r="436" spans="1:38" ht="13">
      <c r="A436" s="8" t="s">
        <v>911</v>
      </c>
      <c r="B436" s="9" t="s">
        <v>94</v>
      </c>
      <c r="C436" s="9">
        <v>97</v>
      </c>
      <c r="D436" s="9">
        <v>32</v>
      </c>
      <c r="E436" s="9">
        <v>74</v>
      </c>
      <c r="F436" s="9">
        <v>43.1</v>
      </c>
      <c r="G436" s="9">
        <v>46</v>
      </c>
      <c r="H436" s="8">
        <v>41.3</v>
      </c>
      <c r="I436" s="8">
        <v>18</v>
      </c>
      <c r="J436" s="8">
        <v>23</v>
      </c>
      <c r="K436" s="8">
        <v>77.3</v>
      </c>
      <c r="L436" s="9">
        <v>5</v>
      </c>
      <c r="M436" s="8">
        <v>8.3000000000000007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1"/>
    </row>
    <row r="437" spans="1:38" ht="13">
      <c r="A437" s="8" t="s">
        <v>913</v>
      </c>
      <c r="B437" s="8" t="s">
        <v>74</v>
      </c>
      <c r="C437" s="9">
        <v>95</v>
      </c>
      <c r="D437" s="9">
        <v>42</v>
      </c>
      <c r="E437" s="9">
        <v>72</v>
      </c>
      <c r="F437" s="9">
        <v>55.4</v>
      </c>
      <c r="G437" s="8">
        <v>0</v>
      </c>
      <c r="H437" s="8">
        <v>0</v>
      </c>
      <c r="I437" s="8">
        <v>11</v>
      </c>
      <c r="J437" s="8">
        <v>34</v>
      </c>
      <c r="K437" s="8">
        <v>39.4</v>
      </c>
      <c r="L437" s="9">
        <v>46</v>
      </c>
      <c r="M437" s="8">
        <v>4.4000000000000004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1"/>
    </row>
    <row r="438" spans="1:38" ht="13">
      <c r="A438" s="8" t="s">
        <v>915</v>
      </c>
      <c r="B438" s="8" t="s">
        <v>50</v>
      </c>
      <c r="C438" s="9">
        <v>95</v>
      </c>
      <c r="D438" s="9">
        <v>42</v>
      </c>
      <c r="E438" s="9">
        <v>69</v>
      </c>
      <c r="F438" s="9">
        <v>63.4</v>
      </c>
      <c r="G438" s="8">
        <v>0</v>
      </c>
      <c r="H438" s="8">
        <v>0</v>
      </c>
      <c r="I438" s="8">
        <v>11</v>
      </c>
      <c r="J438" s="8">
        <v>11</v>
      </c>
      <c r="K438" s="8">
        <v>61.5</v>
      </c>
      <c r="L438" s="9">
        <v>69</v>
      </c>
      <c r="M438" s="8">
        <v>7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1"/>
    </row>
    <row r="439" spans="1:38" ht="13">
      <c r="A439" s="8" t="s">
        <v>917</v>
      </c>
      <c r="B439" s="9" t="s">
        <v>196</v>
      </c>
      <c r="C439" s="9">
        <v>94</v>
      </c>
      <c r="D439" s="9">
        <v>36</v>
      </c>
      <c r="E439" s="9">
        <v>108</v>
      </c>
      <c r="F439" s="9">
        <v>32.700000000000003</v>
      </c>
      <c r="G439" s="9">
        <v>40</v>
      </c>
      <c r="H439" s="8">
        <v>17.5</v>
      </c>
      <c r="I439" s="8">
        <v>14</v>
      </c>
      <c r="J439" s="8">
        <v>22</v>
      </c>
      <c r="K439" s="8">
        <v>76.2</v>
      </c>
      <c r="L439" s="9">
        <v>14</v>
      </c>
      <c r="M439" s="8">
        <v>5.0999999999999996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1"/>
    </row>
    <row r="440" spans="1:38" ht="13">
      <c r="A440" s="8" t="s">
        <v>919</v>
      </c>
      <c r="B440" s="8" t="s">
        <v>74</v>
      </c>
      <c r="C440" s="9">
        <v>89</v>
      </c>
      <c r="D440" s="9">
        <v>41</v>
      </c>
      <c r="E440" s="9">
        <v>67</v>
      </c>
      <c r="F440" s="9">
        <v>60.6</v>
      </c>
      <c r="G440" s="9">
        <v>4</v>
      </c>
      <c r="H440" s="8">
        <v>0</v>
      </c>
      <c r="I440" s="8">
        <v>11</v>
      </c>
      <c r="J440" s="8">
        <v>15</v>
      </c>
      <c r="K440" s="8">
        <v>71.400000000000006</v>
      </c>
      <c r="L440" s="9">
        <v>33</v>
      </c>
      <c r="M440" s="8">
        <v>8.1999999999999993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1"/>
    </row>
    <row r="441" spans="1:38" ht="13">
      <c r="A441" s="8" t="s">
        <v>921</v>
      </c>
      <c r="B441" s="9" t="s">
        <v>56</v>
      </c>
      <c r="C441" s="9">
        <v>87</v>
      </c>
      <c r="D441" s="9">
        <v>31</v>
      </c>
      <c r="E441" s="9">
        <v>62</v>
      </c>
      <c r="F441" s="9">
        <v>50.8</v>
      </c>
      <c r="G441" s="9">
        <v>29</v>
      </c>
      <c r="H441" s="8">
        <v>53.3</v>
      </c>
      <c r="I441" s="8">
        <v>8</v>
      </c>
      <c r="J441" s="8">
        <v>13</v>
      </c>
      <c r="K441" s="8">
        <v>75</v>
      </c>
      <c r="L441" s="9">
        <v>13</v>
      </c>
      <c r="M441" s="8">
        <v>8.1999999999999993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1"/>
    </row>
    <row r="442" spans="1:38" ht="13">
      <c r="A442" s="8" t="s">
        <v>923</v>
      </c>
      <c r="B442" s="8" t="s">
        <v>64</v>
      </c>
      <c r="C442" s="9">
        <v>87</v>
      </c>
      <c r="D442" s="9">
        <v>37</v>
      </c>
      <c r="E442" s="9">
        <v>56</v>
      </c>
      <c r="F442" s="9">
        <v>66.099999999999994</v>
      </c>
      <c r="G442" s="8">
        <v>0</v>
      </c>
      <c r="H442" s="8">
        <v>0</v>
      </c>
      <c r="I442" s="8">
        <v>14</v>
      </c>
      <c r="J442" s="8">
        <v>19</v>
      </c>
      <c r="K442" s="8">
        <v>68.400000000000006</v>
      </c>
      <c r="L442" s="9">
        <v>53</v>
      </c>
      <c r="M442" s="8">
        <v>12.2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1"/>
    </row>
    <row r="443" spans="1:38" ht="13">
      <c r="A443" s="8" t="s">
        <v>925</v>
      </c>
      <c r="B443" s="9" t="s">
        <v>164</v>
      </c>
      <c r="C443" s="9">
        <v>86</v>
      </c>
      <c r="D443" s="9">
        <v>31</v>
      </c>
      <c r="E443" s="9">
        <v>78</v>
      </c>
      <c r="F443" s="9">
        <v>39.700000000000003</v>
      </c>
      <c r="G443" s="9">
        <v>44</v>
      </c>
      <c r="H443" s="8">
        <v>29.5</v>
      </c>
      <c r="I443" s="8">
        <v>10</v>
      </c>
      <c r="J443" s="8">
        <v>13</v>
      </c>
      <c r="K443" s="8">
        <v>84.6</v>
      </c>
      <c r="L443" s="9">
        <v>4</v>
      </c>
      <c r="M443" s="8">
        <v>6.5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1"/>
    </row>
    <row r="444" spans="1:38" ht="13">
      <c r="A444" s="8" t="s">
        <v>927</v>
      </c>
      <c r="B444" s="8" t="s">
        <v>164</v>
      </c>
      <c r="C444" s="9">
        <v>84</v>
      </c>
      <c r="D444" s="9">
        <v>41</v>
      </c>
      <c r="E444" s="9">
        <v>122</v>
      </c>
      <c r="F444" s="9">
        <v>32.799999999999997</v>
      </c>
      <c r="G444" s="9">
        <v>7</v>
      </c>
      <c r="H444" s="8">
        <v>16.7</v>
      </c>
      <c r="I444" s="8">
        <v>5</v>
      </c>
      <c r="J444" s="8">
        <v>7</v>
      </c>
      <c r="K444" s="8">
        <v>57.1</v>
      </c>
      <c r="L444" s="9">
        <v>14</v>
      </c>
      <c r="M444" s="8">
        <v>7.9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1"/>
    </row>
    <row r="445" spans="1:38" ht="13">
      <c r="A445" s="8" t="s">
        <v>929</v>
      </c>
      <c r="B445" s="9" t="s">
        <v>52</v>
      </c>
      <c r="C445" s="9">
        <v>83</v>
      </c>
      <c r="D445" s="9">
        <v>31</v>
      </c>
      <c r="E445" s="9">
        <v>83</v>
      </c>
      <c r="F445" s="9">
        <v>36.1</v>
      </c>
      <c r="G445" s="9">
        <v>57</v>
      </c>
      <c r="H445" s="8">
        <v>27.3</v>
      </c>
      <c r="I445" s="8">
        <v>5</v>
      </c>
      <c r="J445" s="8">
        <v>10</v>
      </c>
      <c r="K445" s="8">
        <v>58.3</v>
      </c>
      <c r="L445" s="9">
        <v>21</v>
      </c>
      <c r="M445" s="8">
        <v>4.5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1"/>
    </row>
    <row r="446" spans="1:38" ht="13">
      <c r="A446" s="8" t="s">
        <v>931</v>
      </c>
      <c r="B446" s="9" t="s">
        <v>54</v>
      </c>
      <c r="C446" s="9">
        <v>83</v>
      </c>
      <c r="D446" s="9">
        <v>28</v>
      </c>
      <c r="E446" s="9">
        <v>75</v>
      </c>
      <c r="F446" s="9">
        <v>36.5</v>
      </c>
      <c r="G446" s="9">
        <v>38</v>
      </c>
      <c r="H446" s="8">
        <v>24.3</v>
      </c>
      <c r="I446" s="8">
        <v>20</v>
      </c>
      <c r="J446" s="8">
        <v>20</v>
      </c>
      <c r="K446" s="8">
        <v>95.2</v>
      </c>
      <c r="L446" s="9">
        <v>3</v>
      </c>
      <c r="M446" s="8">
        <v>8.9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1"/>
    </row>
    <row r="447" spans="1:38" ht="13">
      <c r="A447" s="8" t="s">
        <v>933</v>
      </c>
      <c r="B447" s="9" t="s">
        <v>64</v>
      </c>
      <c r="C447" s="9">
        <v>82</v>
      </c>
      <c r="D447" s="9">
        <v>29</v>
      </c>
      <c r="E447" s="9">
        <v>82</v>
      </c>
      <c r="F447" s="9">
        <v>32.9</v>
      </c>
      <c r="G447" s="9">
        <v>45</v>
      </c>
      <c r="H447" s="8">
        <v>29.8</v>
      </c>
      <c r="I447" s="8">
        <v>12</v>
      </c>
      <c r="J447" s="8">
        <v>16</v>
      </c>
      <c r="K447" s="8">
        <v>76.5</v>
      </c>
      <c r="L447" s="9">
        <v>8</v>
      </c>
      <c r="M447" s="8">
        <v>7.2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1"/>
    </row>
    <row r="448" spans="1:38" ht="13">
      <c r="A448" s="8" t="s">
        <v>935</v>
      </c>
      <c r="B448" s="9" t="s">
        <v>114</v>
      </c>
      <c r="C448" s="9">
        <v>82</v>
      </c>
      <c r="D448" s="9">
        <v>31</v>
      </c>
      <c r="E448" s="9">
        <v>78</v>
      </c>
      <c r="F448" s="9">
        <v>41</v>
      </c>
      <c r="G448" s="9">
        <v>31</v>
      </c>
      <c r="H448" s="8">
        <v>24.1</v>
      </c>
      <c r="I448" s="8">
        <v>10</v>
      </c>
      <c r="J448" s="8">
        <v>14</v>
      </c>
      <c r="K448" s="8">
        <v>60</v>
      </c>
      <c r="L448" s="9">
        <v>10</v>
      </c>
      <c r="M448" s="8">
        <v>6.7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1"/>
    </row>
    <row r="449" spans="1:38" ht="13">
      <c r="A449" s="8" t="s">
        <v>937</v>
      </c>
      <c r="B449" s="9" t="s">
        <v>64</v>
      </c>
      <c r="C449" s="9">
        <v>81</v>
      </c>
      <c r="D449" s="9">
        <v>28</v>
      </c>
      <c r="E449" s="9">
        <v>67</v>
      </c>
      <c r="F449" s="9">
        <v>41.5</v>
      </c>
      <c r="G449" s="9">
        <v>28</v>
      </c>
      <c r="H449" s="8">
        <v>34.5</v>
      </c>
      <c r="I449" s="8">
        <v>14</v>
      </c>
      <c r="J449" s="8">
        <v>21</v>
      </c>
      <c r="K449" s="8">
        <v>75</v>
      </c>
      <c r="L449" s="9">
        <v>11</v>
      </c>
      <c r="M449" s="8">
        <v>12.3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1"/>
    </row>
    <row r="450" spans="1:38" ht="13">
      <c r="A450" s="8" t="s">
        <v>939</v>
      </c>
      <c r="B450" s="9" t="s">
        <v>114</v>
      </c>
      <c r="C450" s="9">
        <v>78</v>
      </c>
      <c r="D450" s="9">
        <v>30</v>
      </c>
      <c r="E450" s="9">
        <v>74</v>
      </c>
      <c r="F450" s="9">
        <v>41.9</v>
      </c>
      <c r="G450" s="9">
        <v>22</v>
      </c>
      <c r="H450" s="8">
        <v>30.4</v>
      </c>
      <c r="I450" s="8">
        <v>10</v>
      </c>
      <c r="J450" s="8">
        <v>10</v>
      </c>
      <c r="K450" s="8">
        <v>90</v>
      </c>
      <c r="L450" s="9">
        <v>11</v>
      </c>
      <c r="M450" s="8">
        <v>7.4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1"/>
    </row>
    <row r="451" spans="1:38" ht="13">
      <c r="A451" s="8" t="s">
        <v>941</v>
      </c>
      <c r="B451" s="9" t="s">
        <v>116</v>
      </c>
      <c r="C451" s="9">
        <v>77</v>
      </c>
      <c r="D451" s="9">
        <v>26</v>
      </c>
      <c r="E451" s="9">
        <v>54</v>
      </c>
      <c r="F451" s="9">
        <v>48.1</v>
      </c>
      <c r="G451" s="9">
        <v>41</v>
      </c>
      <c r="H451" s="8">
        <v>36.6</v>
      </c>
      <c r="I451" s="8">
        <v>9</v>
      </c>
      <c r="J451" s="8">
        <v>12</v>
      </c>
      <c r="K451" s="8">
        <v>75</v>
      </c>
      <c r="L451" s="9">
        <v>9</v>
      </c>
      <c r="M451" s="8">
        <v>7.9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1"/>
    </row>
    <row r="452" spans="1:38" ht="13">
      <c r="A452" s="8" t="s">
        <v>943</v>
      </c>
      <c r="B452" s="9" t="s">
        <v>62</v>
      </c>
      <c r="C452" s="9">
        <v>76</v>
      </c>
      <c r="D452" s="9">
        <v>32</v>
      </c>
      <c r="E452" s="9">
        <v>72</v>
      </c>
      <c r="F452" s="9">
        <v>45.8</v>
      </c>
      <c r="G452" s="9">
        <v>28</v>
      </c>
      <c r="H452" s="8">
        <v>23.1</v>
      </c>
      <c r="I452" s="8">
        <v>4</v>
      </c>
      <c r="J452" s="8">
        <v>8</v>
      </c>
      <c r="K452" s="8">
        <v>71.400000000000006</v>
      </c>
      <c r="L452" s="9">
        <v>20</v>
      </c>
      <c r="M452" s="8">
        <v>8.3000000000000007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1"/>
    </row>
    <row r="453" spans="1:38" ht="13">
      <c r="A453" s="8" t="s">
        <v>945</v>
      </c>
      <c r="B453" s="8" t="s">
        <v>144</v>
      </c>
      <c r="C453" s="9">
        <v>75</v>
      </c>
      <c r="D453" s="9">
        <v>34</v>
      </c>
      <c r="E453" s="9">
        <v>49</v>
      </c>
      <c r="F453" s="9">
        <v>69.400000000000006</v>
      </c>
      <c r="G453" s="8">
        <v>0</v>
      </c>
      <c r="H453" s="8">
        <v>0</v>
      </c>
      <c r="I453" s="8">
        <v>8</v>
      </c>
      <c r="J453" s="8">
        <v>10</v>
      </c>
      <c r="K453" s="8">
        <v>72.7</v>
      </c>
      <c r="L453" s="9">
        <v>12</v>
      </c>
      <c r="M453" s="8">
        <v>15.4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1"/>
    </row>
    <row r="454" spans="1:38" ht="13">
      <c r="A454" s="8" t="s">
        <v>947</v>
      </c>
      <c r="B454" s="9" t="s">
        <v>82</v>
      </c>
      <c r="C454" s="9">
        <v>75</v>
      </c>
      <c r="D454" s="9">
        <v>29</v>
      </c>
      <c r="E454" s="9">
        <v>63</v>
      </c>
      <c r="F454" s="9">
        <v>46</v>
      </c>
      <c r="G454" s="9">
        <v>27</v>
      </c>
      <c r="H454" s="8">
        <v>29.6</v>
      </c>
      <c r="I454" s="8">
        <v>9</v>
      </c>
      <c r="J454" s="8">
        <v>10</v>
      </c>
      <c r="K454" s="8">
        <v>72.7</v>
      </c>
      <c r="L454" s="9">
        <v>3</v>
      </c>
      <c r="M454" s="8">
        <v>9</v>
      </c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1"/>
    </row>
    <row r="455" spans="1:38" ht="13">
      <c r="A455" s="8" t="s">
        <v>949</v>
      </c>
      <c r="B455" s="8" t="s">
        <v>74</v>
      </c>
      <c r="C455" s="9">
        <v>74</v>
      </c>
      <c r="D455" s="9">
        <v>32</v>
      </c>
      <c r="E455" s="9">
        <v>64</v>
      </c>
      <c r="F455" s="9">
        <v>50.8</v>
      </c>
      <c r="G455" s="9">
        <v>9</v>
      </c>
      <c r="H455" s="8">
        <v>22.2</v>
      </c>
      <c r="I455" s="8">
        <v>9</v>
      </c>
      <c r="J455" s="8">
        <v>18</v>
      </c>
      <c r="K455" s="8">
        <v>47.1</v>
      </c>
      <c r="L455" s="9">
        <v>37</v>
      </c>
      <c r="M455" s="8">
        <v>5.7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1"/>
    </row>
    <row r="456" spans="1:38" ht="13">
      <c r="A456" s="8" t="s">
        <v>951</v>
      </c>
      <c r="B456" s="9" t="s">
        <v>114</v>
      </c>
      <c r="C456" s="9">
        <v>72</v>
      </c>
      <c r="D456" s="9">
        <v>26</v>
      </c>
      <c r="E456" s="9">
        <v>60</v>
      </c>
      <c r="F456" s="9">
        <v>42.4</v>
      </c>
      <c r="G456" s="9">
        <v>22</v>
      </c>
      <c r="H456" s="8">
        <v>28.6</v>
      </c>
      <c r="I456" s="8">
        <v>16</v>
      </c>
      <c r="J456" s="8">
        <v>22</v>
      </c>
      <c r="K456" s="8">
        <v>68.2</v>
      </c>
      <c r="L456" s="9">
        <v>20</v>
      </c>
      <c r="M456" s="8">
        <v>6.5</v>
      </c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1"/>
    </row>
    <row r="457" spans="1:38" ht="13">
      <c r="A457" s="8" t="s">
        <v>953</v>
      </c>
      <c r="B457" s="8" t="s">
        <v>76</v>
      </c>
      <c r="C457" s="9">
        <v>68</v>
      </c>
      <c r="D457" s="9">
        <v>32</v>
      </c>
      <c r="E457" s="9">
        <v>72</v>
      </c>
      <c r="F457" s="9">
        <v>43.7</v>
      </c>
      <c r="G457" s="9">
        <v>4</v>
      </c>
      <c r="H457" s="8">
        <v>0</v>
      </c>
      <c r="I457" s="8">
        <v>8</v>
      </c>
      <c r="J457" s="8">
        <v>32</v>
      </c>
      <c r="K457" s="8">
        <v>23.3</v>
      </c>
      <c r="L457" s="9">
        <v>32</v>
      </c>
      <c r="M457" s="8">
        <v>8.3000000000000007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1"/>
    </row>
    <row r="458" spans="1:38" ht="13">
      <c r="A458" s="8" t="s">
        <v>955</v>
      </c>
      <c r="B458" s="9" t="s">
        <v>50</v>
      </c>
      <c r="C458" s="9">
        <v>67</v>
      </c>
      <c r="D458" s="9">
        <v>23</v>
      </c>
      <c r="E458" s="9">
        <v>51</v>
      </c>
      <c r="F458" s="9">
        <v>48</v>
      </c>
      <c r="G458" s="9">
        <v>30</v>
      </c>
      <c r="H458" s="8">
        <v>43.3</v>
      </c>
      <c r="I458" s="8">
        <v>7</v>
      </c>
      <c r="J458" s="8">
        <v>7</v>
      </c>
      <c r="K458" s="8">
        <v>75</v>
      </c>
      <c r="L458" s="9">
        <v>7</v>
      </c>
      <c r="M458" s="8">
        <v>12.3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1"/>
    </row>
    <row r="459" spans="1:38" ht="13">
      <c r="A459" s="8" t="s">
        <v>957</v>
      </c>
      <c r="B459" s="9" t="s">
        <v>164</v>
      </c>
      <c r="C459" s="9">
        <v>67</v>
      </c>
      <c r="D459" s="9">
        <v>26</v>
      </c>
      <c r="E459" s="9">
        <v>73</v>
      </c>
      <c r="F459" s="9">
        <v>35.6</v>
      </c>
      <c r="G459" s="9">
        <v>27</v>
      </c>
      <c r="H459" s="8">
        <v>29.6</v>
      </c>
      <c r="I459" s="8">
        <v>7</v>
      </c>
      <c r="J459" s="8">
        <v>11</v>
      </c>
      <c r="K459" s="8">
        <v>63.6</v>
      </c>
      <c r="L459" s="9">
        <v>6</v>
      </c>
      <c r="M459" s="8">
        <v>6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1"/>
    </row>
    <row r="460" spans="1:38" ht="13">
      <c r="A460" s="8" t="s">
        <v>959</v>
      </c>
      <c r="B460" s="9" t="s">
        <v>44</v>
      </c>
      <c r="C460" s="9">
        <v>67</v>
      </c>
      <c r="D460" s="9">
        <v>26</v>
      </c>
      <c r="E460" s="9">
        <v>96</v>
      </c>
      <c r="F460" s="9">
        <v>26</v>
      </c>
      <c r="G460" s="9">
        <v>70</v>
      </c>
      <c r="H460" s="8">
        <v>19.399999999999999</v>
      </c>
      <c r="I460" s="8">
        <v>0</v>
      </c>
      <c r="J460" s="8">
        <v>4</v>
      </c>
      <c r="K460" s="8">
        <v>50</v>
      </c>
      <c r="L460" s="9">
        <v>7</v>
      </c>
      <c r="M460" s="8">
        <v>2.5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1"/>
    </row>
    <row r="461" spans="1:38" ht="13">
      <c r="A461" s="8" t="s">
        <v>961</v>
      </c>
      <c r="B461" s="9" t="s">
        <v>116</v>
      </c>
      <c r="C461" s="9">
        <v>67</v>
      </c>
      <c r="D461" s="9">
        <v>27</v>
      </c>
      <c r="E461" s="9">
        <v>69</v>
      </c>
      <c r="F461" s="9">
        <v>39.1</v>
      </c>
      <c r="G461" s="9">
        <v>32</v>
      </c>
      <c r="H461" s="8">
        <v>15.6</v>
      </c>
      <c r="I461" s="8">
        <v>8</v>
      </c>
      <c r="J461" s="8">
        <v>10</v>
      </c>
      <c r="K461" s="8">
        <v>80</v>
      </c>
      <c r="L461" s="9">
        <v>23</v>
      </c>
      <c r="M461" s="8">
        <v>7.7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1"/>
    </row>
    <row r="462" spans="1:38" ht="13">
      <c r="A462" s="8" t="s">
        <v>963</v>
      </c>
      <c r="B462" s="9" t="s">
        <v>68</v>
      </c>
      <c r="C462" s="9">
        <v>66</v>
      </c>
      <c r="D462" s="9">
        <v>28</v>
      </c>
      <c r="E462" s="9">
        <v>62</v>
      </c>
      <c r="F462" s="9">
        <v>43.5</v>
      </c>
      <c r="G462" s="9">
        <v>26</v>
      </c>
      <c r="H462" s="8">
        <v>23.1</v>
      </c>
      <c r="I462" s="8">
        <v>6</v>
      </c>
      <c r="J462" s="8">
        <v>8</v>
      </c>
      <c r="K462" s="8">
        <v>62.5</v>
      </c>
      <c r="L462" s="9">
        <v>6</v>
      </c>
      <c r="M462" s="8">
        <v>3.8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1"/>
    </row>
    <row r="463" spans="1:38" ht="13">
      <c r="A463" s="8" t="s">
        <v>965</v>
      </c>
      <c r="B463" s="9" t="s">
        <v>196</v>
      </c>
      <c r="C463" s="9">
        <v>62</v>
      </c>
      <c r="D463" s="9">
        <v>22</v>
      </c>
      <c r="E463" s="9">
        <v>54</v>
      </c>
      <c r="F463" s="9">
        <v>40.700000000000003</v>
      </c>
      <c r="G463" s="9">
        <v>35</v>
      </c>
      <c r="H463" s="8">
        <v>37.1</v>
      </c>
      <c r="I463" s="8">
        <v>5</v>
      </c>
      <c r="J463" s="8">
        <v>8</v>
      </c>
      <c r="K463" s="8">
        <v>62.5</v>
      </c>
      <c r="L463" s="9">
        <v>6</v>
      </c>
      <c r="M463" s="8">
        <v>9.1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1"/>
    </row>
    <row r="464" spans="1:38" ht="13">
      <c r="A464" s="8" t="s">
        <v>967</v>
      </c>
      <c r="B464" s="9" t="s">
        <v>84</v>
      </c>
      <c r="C464" s="9">
        <v>62</v>
      </c>
      <c r="D464" s="9">
        <v>29</v>
      </c>
      <c r="E464" s="9">
        <v>45</v>
      </c>
      <c r="F464" s="9">
        <v>64.400000000000006</v>
      </c>
      <c r="G464" s="9">
        <v>3</v>
      </c>
      <c r="H464" s="8">
        <v>33.299999999999997</v>
      </c>
      <c r="I464" s="8">
        <v>1</v>
      </c>
      <c r="J464" s="8">
        <v>6</v>
      </c>
      <c r="K464" s="8">
        <v>33.299999999999997</v>
      </c>
      <c r="L464" s="9">
        <v>18</v>
      </c>
      <c r="M464" s="8">
        <v>16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1"/>
    </row>
    <row r="465" spans="1:38" ht="13">
      <c r="A465" s="8" t="s">
        <v>969</v>
      </c>
      <c r="B465" s="9" t="s">
        <v>74</v>
      </c>
      <c r="C465" s="9">
        <v>62</v>
      </c>
      <c r="D465" s="9">
        <v>22</v>
      </c>
      <c r="E465" s="9">
        <v>68</v>
      </c>
      <c r="F465" s="9">
        <v>31.3</v>
      </c>
      <c r="G465" s="9">
        <v>32</v>
      </c>
      <c r="H465" s="8">
        <v>28.1</v>
      </c>
      <c r="I465" s="8">
        <v>11</v>
      </c>
      <c r="J465" s="8">
        <v>14</v>
      </c>
      <c r="K465" s="8">
        <v>78.599999999999994</v>
      </c>
      <c r="L465" s="9">
        <v>3</v>
      </c>
      <c r="M465" s="8">
        <v>5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1"/>
    </row>
    <row r="466" spans="1:38" ht="13">
      <c r="A466" s="8" t="s">
        <v>971</v>
      </c>
      <c r="B466" s="9" t="s">
        <v>66</v>
      </c>
      <c r="C466" s="9">
        <v>61</v>
      </c>
      <c r="D466" s="9">
        <v>27</v>
      </c>
      <c r="E466" s="9">
        <v>67</v>
      </c>
      <c r="F466" s="9">
        <v>41.8</v>
      </c>
      <c r="G466" s="9">
        <v>8</v>
      </c>
      <c r="H466" s="8">
        <v>50</v>
      </c>
      <c r="I466" s="8">
        <v>0</v>
      </c>
      <c r="J466" s="8">
        <v>0</v>
      </c>
      <c r="K466" s="8">
        <v>100</v>
      </c>
      <c r="L466" s="9">
        <v>6</v>
      </c>
      <c r="M466" s="8">
        <v>6.5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1"/>
    </row>
    <row r="467" spans="1:38" ht="13">
      <c r="A467" s="8" t="s">
        <v>973</v>
      </c>
      <c r="B467" s="9" t="s">
        <v>146</v>
      </c>
      <c r="C467" s="9">
        <v>59</v>
      </c>
      <c r="D467" s="9">
        <v>22</v>
      </c>
      <c r="E467" s="9">
        <v>63</v>
      </c>
      <c r="F467" s="9">
        <v>34.9</v>
      </c>
      <c r="G467" s="9">
        <v>47</v>
      </c>
      <c r="H467" s="8">
        <v>31.9</v>
      </c>
      <c r="I467" s="8">
        <v>0</v>
      </c>
      <c r="J467" s="8">
        <v>1</v>
      </c>
      <c r="K467" s="8">
        <v>0</v>
      </c>
      <c r="L467" s="9">
        <v>5</v>
      </c>
      <c r="M467" s="8">
        <v>4.5999999999999996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1"/>
    </row>
    <row r="468" spans="1:38" ht="13">
      <c r="A468" s="8" t="s">
        <v>975</v>
      </c>
      <c r="B468" s="8" t="s">
        <v>146</v>
      </c>
      <c r="C468" s="9">
        <v>58</v>
      </c>
      <c r="D468" s="9">
        <v>26</v>
      </c>
      <c r="E468" s="9">
        <v>49</v>
      </c>
      <c r="F468" s="9">
        <v>53.1</v>
      </c>
      <c r="G468" s="8">
        <v>0</v>
      </c>
      <c r="H468" s="8">
        <v>0</v>
      </c>
      <c r="I468" s="8">
        <v>7</v>
      </c>
      <c r="J468" s="8">
        <v>9</v>
      </c>
      <c r="K468" s="8">
        <v>75</v>
      </c>
      <c r="L468" s="9">
        <v>20</v>
      </c>
      <c r="M468" s="8">
        <v>10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1"/>
    </row>
    <row r="469" spans="1:38" ht="13">
      <c r="A469" s="8" t="s">
        <v>977</v>
      </c>
      <c r="B469" s="9" t="s">
        <v>48</v>
      </c>
      <c r="C469" s="9">
        <v>56</v>
      </c>
      <c r="D469" s="9">
        <v>21</v>
      </c>
      <c r="E469" s="9">
        <v>58</v>
      </c>
      <c r="F469" s="9">
        <v>36.200000000000003</v>
      </c>
      <c r="G469" s="9">
        <v>26</v>
      </c>
      <c r="H469" s="8">
        <v>26.9</v>
      </c>
      <c r="I469" s="8">
        <v>6</v>
      </c>
      <c r="J469" s="8">
        <v>10</v>
      </c>
      <c r="K469" s="8">
        <v>70</v>
      </c>
      <c r="L469" s="9">
        <v>14</v>
      </c>
      <c r="M469" s="8">
        <v>6.7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1"/>
    </row>
    <row r="470" spans="1:38" ht="13">
      <c r="A470" s="8" t="s">
        <v>979</v>
      </c>
      <c r="B470" s="9" t="s">
        <v>74</v>
      </c>
      <c r="C470" s="9">
        <v>56</v>
      </c>
      <c r="D470" s="9">
        <v>21</v>
      </c>
      <c r="E470" s="9">
        <v>71</v>
      </c>
      <c r="F470" s="9">
        <v>30</v>
      </c>
      <c r="G470" s="9">
        <v>36</v>
      </c>
      <c r="H470" s="8">
        <v>25</v>
      </c>
      <c r="I470" s="8">
        <v>5</v>
      </c>
      <c r="J470" s="8">
        <v>6</v>
      </c>
      <c r="K470" s="8">
        <v>83.3</v>
      </c>
      <c r="L470" s="9">
        <v>3</v>
      </c>
      <c r="M470" s="8">
        <v>4.5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1"/>
    </row>
    <row r="471" spans="1:38" ht="13">
      <c r="A471" s="8" t="s">
        <v>981</v>
      </c>
      <c r="B471" s="9" t="s">
        <v>196</v>
      </c>
      <c r="C471" s="9">
        <v>55</v>
      </c>
      <c r="D471" s="9">
        <v>17</v>
      </c>
      <c r="E471" s="9">
        <v>52</v>
      </c>
      <c r="F471" s="9">
        <v>32.700000000000003</v>
      </c>
      <c r="G471" s="9">
        <v>44</v>
      </c>
      <c r="H471" s="8">
        <v>29.5</v>
      </c>
      <c r="I471" s="8">
        <v>8</v>
      </c>
      <c r="J471" s="8">
        <v>10</v>
      </c>
      <c r="K471" s="8">
        <v>80</v>
      </c>
      <c r="L471" s="9">
        <v>3</v>
      </c>
      <c r="M471" s="8">
        <v>2.4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1"/>
    </row>
    <row r="472" spans="1:38" ht="13">
      <c r="A472" s="8" t="s">
        <v>983</v>
      </c>
      <c r="B472" s="9" t="s">
        <v>52</v>
      </c>
      <c r="C472" s="9">
        <v>55</v>
      </c>
      <c r="D472" s="9">
        <v>18</v>
      </c>
      <c r="E472" s="9">
        <v>40</v>
      </c>
      <c r="F472" s="9">
        <v>41.5</v>
      </c>
      <c r="G472" s="9">
        <v>33</v>
      </c>
      <c r="H472" s="8">
        <v>39.4</v>
      </c>
      <c r="I472" s="8">
        <v>8</v>
      </c>
      <c r="J472" s="8">
        <v>10</v>
      </c>
      <c r="K472" s="8">
        <v>77.8</v>
      </c>
      <c r="L472" s="9">
        <v>10</v>
      </c>
      <c r="M472" s="8">
        <v>7.8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1"/>
    </row>
    <row r="473" spans="1:38" ht="13">
      <c r="A473" s="8" t="s">
        <v>985</v>
      </c>
      <c r="B473" s="9" t="s">
        <v>196</v>
      </c>
      <c r="C473" s="9">
        <v>54</v>
      </c>
      <c r="D473" s="9">
        <v>18</v>
      </c>
      <c r="E473" s="9">
        <v>43</v>
      </c>
      <c r="F473" s="9">
        <v>41.9</v>
      </c>
      <c r="G473" s="9">
        <v>21</v>
      </c>
      <c r="H473" s="8">
        <v>38.1</v>
      </c>
      <c r="I473" s="8">
        <v>10</v>
      </c>
      <c r="J473" s="8">
        <v>12</v>
      </c>
      <c r="K473" s="8">
        <v>83.3</v>
      </c>
      <c r="L473" s="9">
        <v>5</v>
      </c>
      <c r="M473" s="8">
        <v>8.5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1"/>
    </row>
    <row r="474" spans="1:38" ht="13">
      <c r="A474" s="8" t="s">
        <v>987</v>
      </c>
      <c r="B474" s="9" t="s">
        <v>58</v>
      </c>
      <c r="C474" s="9">
        <v>53</v>
      </c>
      <c r="D474" s="9">
        <v>18</v>
      </c>
      <c r="E474" s="9">
        <v>47</v>
      </c>
      <c r="F474" s="9">
        <v>38.299999999999997</v>
      </c>
      <c r="G474" s="9">
        <v>19</v>
      </c>
      <c r="H474" s="8">
        <v>21.1</v>
      </c>
      <c r="I474" s="8">
        <v>13</v>
      </c>
      <c r="J474" s="8">
        <v>18</v>
      </c>
      <c r="K474" s="8">
        <v>72.2</v>
      </c>
      <c r="L474" s="9">
        <v>5</v>
      </c>
      <c r="M474" s="8">
        <v>8.6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1"/>
    </row>
    <row r="475" spans="1:38" ht="13">
      <c r="A475" s="8" t="s">
        <v>989</v>
      </c>
      <c r="B475" s="9" t="s">
        <v>76</v>
      </c>
      <c r="C475" s="9">
        <v>53</v>
      </c>
      <c r="D475" s="9">
        <v>20</v>
      </c>
      <c r="E475" s="9">
        <v>40</v>
      </c>
      <c r="F475" s="9">
        <v>50</v>
      </c>
      <c r="G475" s="9">
        <v>28</v>
      </c>
      <c r="H475" s="8">
        <v>39.299999999999997</v>
      </c>
      <c r="I475" s="8">
        <v>2</v>
      </c>
      <c r="J475" s="8">
        <v>3</v>
      </c>
      <c r="K475" s="8">
        <v>66.7</v>
      </c>
      <c r="L475" s="9">
        <v>21</v>
      </c>
      <c r="M475" s="8">
        <v>8.9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1"/>
    </row>
    <row r="476" spans="1:38" ht="13">
      <c r="A476" s="8" t="s">
        <v>991</v>
      </c>
      <c r="B476" s="9" t="s">
        <v>62</v>
      </c>
      <c r="C476" s="9">
        <v>53</v>
      </c>
      <c r="D476" s="9">
        <v>19</v>
      </c>
      <c r="E476" s="9">
        <v>36</v>
      </c>
      <c r="F476" s="9">
        <v>54.3</v>
      </c>
      <c r="G476" s="9">
        <v>24</v>
      </c>
      <c r="H476" s="8">
        <v>56.5</v>
      </c>
      <c r="I476" s="8">
        <v>2</v>
      </c>
      <c r="J476" s="8">
        <v>5</v>
      </c>
      <c r="K476" s="8">
        <v>50</v>
      </c>
      <c r="L476" s="9">
        <v>5</v>
      </c>
      <c r="M476" s="8">
        <v>12.2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1"/>
    </row>
    <row r="477" spans="1:38" ht="13">
      <c r="A477" s="8" t="s">
        <v>993</v>
      </c>
      <c r="B477" s="9" t="s">
        <v>146</v>
      </c>
      <c r="C477" s="9">
        <v>53</v>
      </c>
      <c r="D477" s="9">
        <v>17</v>
      </c>
      <c r="E477" s="9">
        <v>59</v>
      </c>
      <c r="F477" s="9">
        <v>30</v>
      </c>
      <c r="G477" s="9">
        <v>28</v>
      </c>
      <c r="H477" s="8">
        <v>21.4</v>
      </c>
      <c r="I477" s="8">
        <v>11</v>
      </c>
      <c r="J477" s="8">
        <v>11</v>
      </c>
      <c r="K477" s="8">
        <v>91.7</v>
      </c>
      <c r="L477" s="9">
        <v>8</v>
      </c>
      <c r="M477" s="8">
        <v>5.0999999999999996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1"/>
    </row>
    <row r="478" spans="1:38" ht="13">
      <c r="A478" s="8" t="s">
        <v>995</v>
      </c>
      <c r="B478" s="9" t="s">
        <v>116</v>
      </c>
      <c r="C478" s="9">
        <v>52</v>
      </c>
      <c r="D478" s="9">
        <v>19</v>
      </c>
      <c r="E478" s="9">
        <v>39</v>
      </c>
      <c r="F478" s="9">
        <v>48.7</v>
      </c>
      <c r="G478" s="9">
        <v>18</v>
      </c>
      <c r="H478" s="8">
        <v>33.299999999999997</v>
      </c>
      <c r="I478" s="8">
        <v>8</v>
      </c>
      <c r="J478" s="8">
        <v>14</v>
      </c>
      <c r="K478" s="8">
        <v>57.1</v>
      </c>
      <c r="L478" s="9">
        <v>7</v>
      </c>
      <c r="M478" s="8">
        <v>5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1"/>
    </row>
    <row r="479" spans="1:38" ht="13">
      <c r="A479" s="8" t="s">
        <v>997</v>
      </c>
      <c r="B479" s="8" t="s">
        <v>64</v>
      </c>
      <c r="C479" s="9">
        <v>48</v>
      </c>
      <c r="D479" s="9">
        <v>20</v>
      </c>
      <c r="E479" s="9">
        <v>30</v>
      </c>
      <c r="F479" s="9">
        <v>67.7</v>
      </c>
      <c r="G479" s="8">
        <v>0</v>
      </c>
      <c r="H479" s="8">
        <v>0</v>
      </c>
      <c r="I479" s="8">
        <v>5</v>
      </c>
      <c r="J479" s="8">
        <v>13</v>
      </c>
      <c r="K479" s="8">
        <v>46.2</v>
      </c>
      <c r="L479" s="9">
        <v>15</v>
      </c>
      <c r="M479" s="8">
        <v>4.8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1"/>
    </row>
    <row r="480" spans="1:38" ht="13">
      <c r="A480" s="8" t="s">
        <v>999</v>
      </c>
      <c r="B480" s="9" t="s">
        <v>70</v>
      </c>
      <c r="C480" s="9">
        <v>46</v>
      </c>
      <c r="D480" s="9">
        <v>18</v>
      </c>
      <c r="E480" s="9">
        <v>36</v>
      </c>
      <c r="F480" s="9">
        <v>50</v>
      </c>
      <c r="G480" s="9">
        <v>15</v>
      </c>
      <c r="H480" s="8">
        <v>26.7</v>
      </c>
      <c r="I480" s="8">
        <v>6</v>
      </c>
      <c r="J480" s="8">
        <v>8</v>
      </c>
      <c r="K480" s="8">
        <v>75</v>
      </c>
      <c r="L480" s="9">
        <v>7</v>
      </c>
      <c r="M480" s="8">
        <v>10.4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1"/>
    </row>
    <row r="481" spans="1:38" ht="13">
      <c r="A481" s="8" t="s">
        <v>1001</v>
      </c>
      <c r="B481" s="8" t="s">
        <v>84</v>
      </c>
      <c r="C481" s="9">
        <v>46</v>
      </c>
      <c r="D481" s="9">
        <v>15</v>
      </c>
      <c r="E481" s="9">
        <v>37</v>
      </c>
      <c r="F481" s="9">
        <v>43.2</v>
      </c>
      <c r="G481" s="9">
        <v>11</v>
      </c>
      <c r="H481" s="8">
        <v>10</v>
      </c>
      <c r="I481" s="8">
        <v>13</v>
      </c>
      <c r="J481" s="8">
        <v>20</v>
      </c>
      <c r="K481" s="8">
        <v>68.400000000000006</v>
      </c>
      <c r="L481" s="9">
        <v>11</v>
      </c>
      <c r="M481" s="8">
        <v>4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1"/>
    </row>
    <row r="482" spans="1:38" ht="13">
      <c r="A482" s="8" t="s">
        <v>1003</v>
      </c>
      <c r="B482" s="9" t="s">
        <v>58</v>
      </c>
      <c r="C482" s="9">
        <v>43</v>
      </c>
      <c r="D482" s="9">
        <v>16</v>
      </c>
      <c r="E482" s="9">
        <v>25</v>
      </c>
      <c r="F482" s="9">
        <v>64</v>
      </c>
      <c r="G482" s="9">
        <v>17</v>
      </c>
      <c r="H482" s="8">
        <v>52.9</v>
      </c>
      <c r="I482" s="8">
        <v>2</v>
      </c>
      <c r="J482" s="8">
        <v>2</v>
      </c>
      <c r="K482" s="8">
        <v>100</v>
      </c>
      <c r="L482" s="9">
        <v>4</v>
      </c>
      <c r="M482" s="8">
        <v>12.2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1"/>
    </row>
    <row r="483" spans="1:38" ht="13">
      <c r="A483" s="8" t="s">
        <v>1005</v>
      </c>
      <c r="B483" s="9" t="s">
        <v>56</v>
      </c>
      <c r="C483" s="9">
        <v>43</v>
      </c>
      <c r="D483" s="9">
        <v>18</v>
      </c>
      <c r="E483" s="9">
        <v>26</v>
      </c>
      <c r="F483" s="9">
        <v>69.2</v>
      </c>
      <c r="G483" s="9">
        <v>6</v>
      </c>
      <c r="H483" s="8">
        <v>42.9</v>
      </c>
      <c r="I483" s="8">
        <v>5</v>
      </c>
      <c r="J483" s="8">
        <v>10</v>
      </c>
      <c r="K483" s="8">
        <v>44.4</v>
      </c>
      <c r="L483" s="9">
        <v>6</v>
      </c>
      <c r="M483" s="8">
        <v>11.4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1"/>
    </row>
    <row r="484" spans="1:38" ht="13">
      <c r="A484" s="8" t="s">
        <v>1007</v>
      </c>
      <c r="B484" s="9" t="s">
        <v>140</v>
      </c>
      <c r="C484" s="9">
        <v>42</v>
      </c>
      <c r="D484" s="9">
        <v>12</v>
      </c>
      <c r="E484" s="9">
        <v>28</v>
      </c>
      <c r="F484" s="9">
        <v>42.9</v>
      </c>
      <c r="G484" s="9">
        <v>15</v>
      </c>
      <c r="H484" s="8">
        <v>40</v>
      </c>
      <c r="I484" s="8">
        <v>12</v>
      </c>
      <c r="J484" s="8">
        <v>15</v>
      </c>
      <c r="K484" s="8">
        <v>80</v>
      </c>
      <c r="L484" s="9">
        <v>3</v>
      </c>
      <c r="M484" s="8">
        <v>5.7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1"/>
    </row>
    <row r="485" spans="1:38" ht="13">
      <c r="A485" s="8" t="s">
        <v>1009</v>
      </c>
      <c r="B485" s="9" t="s">
        <v>50</v>
      </c>
      <c r="C485" s="9">
        <v>38</v>
      </c>
      <c r="D485" s="9">
        <v>14</v>
      </c>
      <c r="E485" s="9">
        <v>33</v>
      </c>
      <c r="F485" s="9">
        <v>43.8</v>
      </c>
      <c r="G485" s="9">
        <v>23</v>
      </c>
      <c r="H485" s="8">
        <v>37.5</v>
      </c>
      <c r="I485" s="8">
        <v>1</v>
      </c>
      <c r="J485" s="8">
        <v>3</v>
      </c>
      <c r="K485" s="8">
        <v>50</v>
      </c>
      <c r="L485" s="9">
        <v>5</v>
      </c>
      <c r="M485" s="8">
        <v>5.4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1"/>
    </row>
    <row r="486" spans="1:38" ht="13">
      <c r="A486" s="8" t="s">
        <v>1011</v>
      </c>
      <c r="B486" s="9" t="s">
        <v>76</v>
      </c>
      <c r="C486" s="8">
        <v>37</v>
      </c>
      <c r="D486" s="9">
        <v>13</v>
      </c>
      <c r="E486" s="9">
        <v>38</v>
      </c>
      <c r="F486" s="9">
        <v>34.200000000000003</v>
      </c>
      <c r="G486" s="9">
        <v>30</v>
      </c>
      <c r="H486" s="8">
        <v>36.700000000000003</v>
      </c>
      <c r="I486" s="8">
        <v>0</v>
      </c>
      <c r="J486" s="8">
        <v>0</v>
      </c>
      <c r="K486" s="8">
        <v>0</v>
      </c>
      <c r="L486" s="8">
        <v>0</v>
      </c>
      <c r="M486" s="8">
        <v>8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1"/>
    </row>
    <row r="487" spans="1:38" ht="13">
      <c r="A487" s="8" t="s">
        <v>1013</v>
      </c>
      <c r="B487" s="9" t="s">
        <v>88</v>
      </c>
      <c r="C487" s="9">
        <v>36</v>
      </c>
      <c r="D487" s="9">
        <v>12</v>
      </c>
      <c r="E487" s="9">
        <v>26</v>
      </c>
      <c r="F487" s="9">
        <v>46.2</v>
      </c>
      <c r="G487" s="9">
        <v>15</v>
      </c>
      <c r="H487" s="8">
        <v>40</v>
      </c>
      <c r="I487" s="8">
        <v>7</v>
      </c>
      <c r="J487" s="8">
        <v>9</v>
      </c>
      <c r="K487" s="8">
        <v>75</v>
      </c>
      <c r="L487" s="9">
        <v>5</v>
      </c>
      <c r="M487" s="8">
        <v>12.7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1"/>
    </row>
    <row r="488" spans="1:38" ht="13">
      <c r="A488" s="8" t="s">
        <v>1015</v>
      </c>
      <c r="B488" s="9" t="s">
        <v>76</v>
      </c>
      <c r="C488" s="9">
        <v>36</v>
      </c>
      <c r="D488" s="9">
        <v>13</v>
      </c>
      <c r="E488" s="9">
        <v>32</v>
      </c>
      <c r="F488" s="9">
        <v>40.6</v>
      </c>
      <c r="G488" s="9">
        <v>10</v>
      </c>
      <c r="H488" s="8">
        <v>20</v>
      </c>
      <c r="I488" s="8">
        <v>8</v>
      </c>
      <c r="J488" s="8">
        <v>11</v>
      </c>
      <c r="K488" s="8">
        <v>72.7</v>
      </c>
      <c r="L488" s="9">
        <v>9</v>
      </c>
      <c r="M488" s="8">
        <v>9.6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1"/>
    </row>
    <row r="489" spans="1:38" ht="13">
      <c r="A489" s="8" t="s">
        <v>1017</v>
      </c>
      <c r="B489" s="9" t="s">
        <v>44</v>
      </c>
      <c r="C489" s="9">
        <v>36</v>
      </c>
      <c r="D489" s="9">
        <v>13</v>
      </c>
      <c r="E489" s="9">
        <v>29</v>
      </c>
      <c r="F489" s="9">
        <v>40</v>
      </c>
      <c r="G489" s="9">
        <v>21</v>
      </c>
      <c r="H489" s="8">
        <v>47.6</v>
      </c>
      <c r="I489" s="8">
        <v>2</v>
      </c>
      <c r="J489" s="8">
        <v>2</v>
      </c>
      <c r="K489" s="8">
        <v>100</v>
      </c>
      <c r="L489" s="9">
        <v>8</v>
      </c>
      <c r="M489" s="8">
        <v>6.5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1"/>
    </row>
    <row r="490" spans="1:38" ht="13">
      <c r="A490" s="8" t="s">
        <v>1019</v>
      </c>
      <c r="B490" s="8" t="s">
        <v>84</v>
      </c>
      <c r="C490" s="9">
        <v>35</v>
      </c>
      <c r="D490" s="9">
        <v>14</v>
      </c>
      <c r="E490" s="9">
        <v>23</v>
      </c>
      <c r="F490" s="9">
        <v>60.9</v>
      </c>
      <c r="G490" s="8">
        <v>0</v>
      </c>
      <c r="H490" s="8">
        <v>0</v>
      </c>
      <c r="I490" s="8">
        <v>7</v>
      </c>
      <c r="J490" s="8">
        <v>14</v>
      </c>
      <c r="K490" s="8">
        <v>50</v>
      </c>
      <c r="L490" s="9">
        <v>11</v>
      </c>
      <c r="M490" s="8">
        <v>9.5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1"/>
    </row>
    <row r="491" spans="1:38" ht="13">
      <c r="A491" s="8" t="s">
        <v>1021</v>
      </c>
      <c r="B491" s="9" t="s">
        <v>82</v>
      </c>
      <c r="C491" s="8">
        <v>35</v>
      </c>
      <c r="D491" s="9">
        <v>11</v>
      </c>
      <c r="E491" s="9">
        <v>31</v>
      </c>
      <c r="F491" s="9">
        <v>36.700000000000003</v>
      </c>
      <c r="G491" s="9">
        <v>22</v>
      </c>
      <c r="H491" s="8">
        <v>30.4</v>
      </c>
      <c r="I491" s="8">
        <v>7</v>
      </c>
      <c r="J491" s="8">
        <v>9</v>
      </c>
      <c r="K491" s="8">
        <v>77.8</v>
      </c>
      <c r="L491" s="8">
        <v>0</v>
      </c>
      <c r="M491" s="8">
        <v>8.6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1"/>
    </row>
    <row r="492" spans="1:38" ht="13">
      <c r="A492" s="8" t="s">
        <v>1023</v>
      </c>
      <c r="B492" s="9" t="s">
        <v>54</v>
      </c>
      <c r="C492" s="9">
        <v>35</v>
      </c>
      <c r="D492" s="9">
        <v>14</v>
      </c>
      <c r="E492" s="9">
        <v>45</v>
      </c>
      <c r="F492" s="9">
        <v>31.1</v>
      </c>
      <c r="G492" s="9">
        <v>21</v>
      </c>
      <c r="H492" s="8">
        <v>19</v>
      </c>
      <c r="I492" s="8">
        <v>3</v>
      </c>
      <c r="J492" s="8">
        <v>6</v>
      </c>
      <c r="K492" s="8">
        <v>50</v>
      </c>
      <c r="L492" s="9">
        <v>5</v>
      </c>
      <c r="M492" s="8">
        <v>4.9000000000000004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1"/>
    </row>
    <row r="493" spans="1:38" ht="13">
      <c r="A493" s="8" t="s">
        <v>1025</v>
      </c>
      <c r="B493" s="9" t="s">
        <v>52</v>
      </c>
      <c r="C493" s="9">
        <v>34</v>
      </c>
      <c r="D493" s="9">
        <v>13</v>
      </c>
      <c r="E493" s="9">
        <v>34</v>
      </c>
      <c r="F493" s="9">
        <v>35.299999999999997</v>
      </c>
      <c r="G493" s="9">
        <v>18</v>
      </c>
      <c r="H493" s="8">
        <v>22.2</v>
      </c>
      <c r="I493" s="8">
        <v>5</v>
      </c>
      <c r="J493" s="8">
        <v>6</v>
      </c>
      <c r="K493" s="8">
        <v>71.400000000000006</v>
      </c>
      <c r="L493" s="9">
        <v>2</v>
      </c>
      <c r="M493" s="8">
        <v>7.9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1"/>
    </row>
    <row r="494" spans="1:38" ht="13">
      <c r="A494" s="8" t="s">
        <v>1027</v>
      </c>
      <c r="B494" s="8" t="s">
        <v>164</v>
      </c>
      <c r="C494" s="9">
        <v>34</v>
      </c>
      <c r="D494" s="9">
        <v>14</v>
      </c>
      <c r="E494" s="9">
        <v>22</v>
      </c>
      <c r="F494" s="9">
        <v>63.6</v>
      </c>
      <c r="G494" s="8">
        <v>0</v>
      </c>
      <c r="H494" s="8">
        <v>0</v>
      </c>
      <c r="I494" s="8">
        <v>6</v>
      </c>
      <c r="J494" s="8">
        <v>10</v>
      </c>
      <c r="K494" s="8">
        <v>60</v>
      </c>
      <c r="L494" s="9">
        <v>12</v>
      </c>
      <c r="M494" s="8">
        <v>7.2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1"/>
    </row>
    <row r="495" spans="1:38" ht="13">
      <c r="A495" s="8" t="s">
        <v>1029</v>
      </c>
      <c r="B495" s="9" t="s">
        <v>52</v>
      </c>
      <c r="C495" s="9">
        <v>33</v>
      </c>
      <c r="D495" s="9">
        <v>13</v>
      </c>
      <c r="E495" s="9">
        <v>53</v>
      </c>
      <c r="F495" s="9">
        <v>24.5</v>
      </c>
      <c r="G495" s="9">
        <v>33</v>
      </c>
      <c r="H495" s="8">
        <v>15.6</v>
      </c>
      <c r="I495" s="8">
        <v>3</v>
      </c>
      <c r="J495" s="8">
        <v>3</v>
      </c>
      <c r="K495" s="8">
        <v>75</v>
      </c>
      <c r="L495" s="9">
        <v>10</v>
      </c>
      <c r="M495" s="8">
        <v>2.2000000000000002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1"/>
    </row>
    <row r="496" spans="1:38" ht="13">
      <c r="A496" s="8" t="s">
        <v>1031</v>
      </c>
      <c r="B496" s="9" t="s">
        <v>122</v>
      </c>
      <c r="C496" s="9">
        <v>33</v>
      </c>
      <c r="D496" s="9">
        <v>13</v>
      </c>
      <c r="E496" s="9">
        <v>31</v>
      </c>
      <c r="F496" s="9">
        <v>43.3</v>
      </c>
      <c r="G496" s="9">
        <v>13</v>
      </c>
      <c r="H496" s="8">
        <v>23.1</v>
      </c>
      <c r="I496" s="8">
        <v>2</v>
      </c>
      <c r="J496" s="8">
        <v>9</v>
      </c>
      <c r="K496" s="8">
        <v>33.299999999999997</v>
      </c>
      <c r="L496" s="9">
        <v>9</v>
      </c>
      <c r="M496" s="8">
        <v>5.7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1"/>
    </row>
    <row r="497" spans="1:38" ht="13">
      <c r="A497" s="8" t="s">
        <v>1033</v>
      </c>
      <c r="B497" s="9" t="s">
        <v>48</v>
      </c>
      <c r="C497" s="9">
        <v>32</v>
      </c>
      <c r="D497" s="9">
        <v>13</v>
      </c>
      <c r="E497" s="9">
        <v>25</v>
      </c>
      <c r="F497" s="9">
        <v>58.3</v>
      </c>
      <c r="G497" s="9">
        <v>8</v>
      </c>
      <c r="H497" s="8">
        <v>25</v>
      </c>
      <c r="I497" s="8">
        <v>4</v>
      </c>
      <c r="J497" s="8">
        <v>4</v>
      </c>
      <c r="K497" s="8">
        <v>75</v>
      </c>
      <c r="L497" s="9">
        <v>6</v>
      </c>
      <c r="M497" s="8">
        <v>16.8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1"/>
    </row>
    <row r="498" spans="1:38" ht="13">
      <c r="A498" s="8" t="s">
        <v>1035</v>
      </c>
      <c r="B498" s="9" t="s">
        <v>56</v>
      </c>
      <c r="C498" s="9">
        <v>32</v>
      </c>
      <c r="D498" s="9">
        <v>11</v>
      </c>
      <c r="E498" s="9">
        <v>38</v>
      </c>
      <c r="F498" s="9">
        <v>28.9</v>
      </c>
      <c r="G498" s="9">
        <v>22</v>
      </c>
      <c r="H498" s="8">
        <v>27.3</v>
      </c>
      <c r="I498" s="8">
        <v>4</v>
      </c>
      <c r="J498" s="8">
        <v>4</v>
      </c>
      <c r="K498" s="8">
        <v>100</v>
      </c>
      <c r="L498" s="9">
        <v>6</v>
      </c>
      <c r="M498" s="8">
        <v>1.5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1"/>
    </row>
    <row r="499" spans="1:38" ht="13">
      <c r="A499" s="8" t="s">
        <v>1037</v>
      </c>
      <c r="B499" s="9" t="s">
        <v>170</v>
      </c>
      <c r="C499" s="9">
        <v>32</v>
      </c>
      <c r="D499" s="9">
        <v>11</v>
      </c>
      <c r="E499" s="9">
        <v>35</v>
      </c>
      <c r="F499" s="9">
        <v>31.4</v>
      </c>
      <c r="G499" s="9">
        <v>25</v>
      </c>
      <c r="H499" s="8">
        <v>28</v>
      </c>
      <c r="I499" s="8">
        <v>3</v>
      </c>
      <c r="J499" s="8">
        <v>6</v>
      </c>
      <c r="K499" s="8">
        <v>50</v>
      </c>
      <c r="L499" s="9">
        <v>9</v>
      </c>
      <c r="M499" s="8">
        <v>3.7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1"/>
    </row>
    <row r="500" spans="1:38" ht="13">
      <c r="A500" s="8" t="s">
        <v>1039</v>
      </c>
      <c r="B500" s="9" t="s">
        <v>48</v>
      </c>
      <c r="C500" s="8">
        <v>31</v>
      </c>
      <c r="D500" s="9">
        <v>12</v>
      </c>
      <c r="E500" s="9">
        <v>41</v>
      </c>
      <c r="F500" s="9">
        <v>31.7</v>
      </c>
      <c r="G500" s="9">
        <v>17</v>
      </c>
      <c r="H500" s="8">
        <v>17.600000000000001</v>
      </c>
      <c r="I500" s="8">
        <v>2</v>
      </c>
      <c r="J500" s="8">
        <v>5</v>
      </c>
      <c r="K500" s="8">
        <v>75</v>
      </c>
      <c r="L500" s="8">
        <v>0</v>
      </c>
      <c r="M500" s="8">
        <v>2.9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1"/>
    </row>
    <row r="501" spans="1:38" ht="13">
      <c r="A501" s="8" t="s">
        <v>1041</v>
      </c>
      <c r="B501" s="9" t="s">
        <v>64</v>
      </c>
      <c r="C501" s="9">
        <v>31</v>
      </c>
      <c r="D501" s="9">
        <v>11</v>
      </c>
      <c r="E501" s="9">
        <v>31</v>
      </c>
      <c r="F501" s="9">
        <v>32.299999999999997</v>
      </c>
      <c r="G501" s="9">
        <v>20</v>
      </c>
      <c r="H501" s="8">
        <v>31.6</v>
      </c>
      <c r="I501" s="8">
        <v>4</v>
      </c>
      <c r="J501" s="8">
        <v>5</v>
      </c>
      <c r="K501" s="8">
        <v>66.7</v>
      </c>
      <c r="L501" s="9">
        <v>4</v>
      </c>
      <c r="M501" s="8">
        <v>4.7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1"/>
    </row>
    <row r="502" spans="1:38" ht="13">
      <c r="A502" s="8" t="s">
        <v>1043</v>
      </c>
      <c r="B502" s="9" t="s">
        <v>84</v>
      </c>
      <c r="C502" s="9">
        <v>30</v>
      </c>
      <c r="D502" s="9">
        <v>11</v>
      </c>
      <c r="E502" s="9">
        <v>33</v>
      </c>
      <c r="F502" s="9">
        <v>33.299999999999997</v>
      </c>
      <c r="G502" s="9">
        <v>21</v>
      </c>
      <c r="H502" s="8">
        <v>28.6</v>
      </c>
      <c r="I502" s="8">
        <v>2</v>
      </c>
      <c r="J502" s="8">
        <v>2</v>
      </c>
      <c r="K502" s="8">
        <v>100</v>
      </c>
      <c r="L502" s="9">
        <v>2</v>
      </c>
      <c r="M502" s="8">
        <v>11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1"/>
    </row>
    <row r="503" spans="1:38" ht="13">
      <c r="A503" s="8" t="s">
        <v>1045</v>
      </c>
      <c r="B503" s="8" t="s">
        <v>50</v>
      </c>
      <c r="C503" s="9">
        <v>29</v>
      </c>
      <c r="D503" s="9">
        <v>8</v>
      </c>
      <c r="E503" s="9">
        <v>27</v>
      </c>
      <c r="F503" s="9">
        <v>33.299999999999997</v>
      </c>
      <c r="G503" s="9">
        <v>8</v>
      </c>
      <c r="H503" s="8">
        <v>0</v>
      </c>
      <c r="I503" s="8">
        <v>13</v>
      </c>
      <c r="J503" s="8">
        <v>17</v>
      </c>
      <c r="K503" s="8">
        <v>75</v>
      </c>
      <c r="L503" s="9">
        <v>11</v>
      </c>
      <c r="M503" s="8">
        <v>9.9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1"/>
    </row>
    <row r="504" spans="1:38" ht="13">
      <c r="A504" s="8" t="s">
        <v>1047</v>
      </c>
      <c r="B504" s="9" t="s">
        <v>64</v>
      </c>
      <c r="C504" s="8">
        <v>29</v>
      </c>
      <c r="D504" s="9">
        <v>10</v>
      </c>
      <c r="E504" s="9">
        <v>30</v>
      </c>
      <c r="F504" s="9">
        <v>32.299999999999997</v>
      </c>
      <c r="G504" s="9">
        <v>19</v>
      </c>
      <c r="H504" s="8">
        <v>31.6</v>
      </c>
      <c r="I504" s="8">
        <v>2</v>
      </c>
      <c r="J504" s="8">
        <v>2</v>
      </c>
      <c r="K504" s="8">
        <v>100</v>
      </c>
      <c r="L504" s="8">
        <v>0</v>
      </c>
      <c r="M504" s="8">
        <v>6.2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1"/>
    </row>
    <row r="505" spans="1:38" ht="13">
      <c r="A505" s="8" t="s">
        <v>1049</v>
      </c>
      <c r="B505" s="9" t="s">
        <v>140</v>
      </c>
      <c r="C505" s="9">
        <v>28</v>
      </c>
      <c r="D505" s="9">
        <v>11</v>
      </c>
      <c r="E505" s="9">
        <v>27</v>
      </c>
      <c r="F505" s="9">
        <v>40.700000000000003</v>
      </c>
      <c r="G505" s="9">
        <v>8</v>
      </c>
      <c r="H505" s="8">
        <v>37.5</v>
      </c>
      <c r="I505" s="8">
        <v>3</v>
      </c>
      <c r="J505" s="8">
        <v>4</v>
      </c>
      <c r="K505" s="8">
        <v>75</v>
      </c>
      <c r="L505" s="9">
        <v>1</v>
      </c>
      <c r="M505" s="8">
        <v>5.7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1"/>
    </row>
    <row r="506" spans="1:38" ht="13">
      <c r="A506" s="8" t="s">
        <v>1051</v>
      </c>
      <c r="B506" s="9" t="s">
        <v>56</v>
      </c>
      <c r="C506" s="8">
        <v>28</v>
      </c>
      <c r="D506" s="9">
        <v>11</v>
      </c>
      <c r="E506" s="9">
        <v>31</v>
      </c>
      <c r="F506" s="9">
        <v>35.5</v>
      </c>
      <c r="G506" s="9">
        <v>11</v>
      </c>
      <c r="H506" s="8">
        <v>18.2</v>
      </c>
      <c r="I506" s="8">
        <v>4</v>
      </c>
      <c r="J506" s="8">
        <v>6</v>
      </c>
      <c r="K506" s="8">
        <v>66.7</v>
      </c>
      <c r="L506" s="8">
        <v>0</v>
      </c>
      <c r="M506" s="8">
        <v>6.3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1"/>
    </row>
    <row r="507" spans="1:38" ht="13">
      <c r="A507" s="8" t="s">
        <v>1053</v>
      </c>
      <c r="B507" s="9" t="s">
        <v>48</v>
      </c>
      <c r="C507" s="9">
        <v>26</v>
      </c>
      <c r="D507" s="9">
        <v>12</v>
      </c>
      <c r="E507" s="9">
        <v>34</v>
      </c>
      <c r="F507" s="9">
        <v>32.4</v>
      </c>
      <c r="G507" s="9">
        <v>18</v>
      </c>
      <c r="H507" s="8">
        <v>5.9</v>
      </c>
      <c r="I507" s="8">
        <v>4</v>
      </c>
      <c r="J507" s="8">
        <v>4</v>
      </c>
      <c r="K507" s="8">
        <v>100</v>
      </c>
      <c r="L507" s="9">
        <v>8</v>
      </c>
      <c r="M507" s="8">
        <v>1.3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1"/>
    </row>
    <row r="508" spans="1:38" ht="13">
      <c r="A508" s="8" t="s">
        <v>1055</v>
      </c>
      <c r="B508" s="9" t="s">
        <v>58</v>
      </c>
      <c r="C508" s="9">
        <v>24</v>
      </c>
      <c r="D508" s="9">
        <v>9</v>
      </c>
      <c r="E508" s="9">
        <v>22</v>
      </c>
      <c r="F508" s="9">
        <v>40.9</v>
      </c>
      <c r="G508" s="9">
        <v>10</v>
      </c>
      <c r="H508" s="8">
        <v>50</v>
      </c>
      <c r="I508" s="8">
        <v>0</v>
      </c>
      <c r="J508" s="8">
        <v>0</v>
      </c>
      <c r="K508" s="8">
        <v>0</v>
      </c>
      <c r="L508" s="9">
        <v>3</v>
      </c>
      <c r="M508" s="8">
        <v>9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1"/>
    </row>
    <row r="509" spans="1:38" ht="13">
      <c r="A509" s="8" t="s">
        <v>1057</v>
      </c>
      <c r="B509" s="9" t="s">
        <v>144</v>
      </c>
      <c r="C509" s="9">
        <v>24</v>
      </c>
      <c r="D509" s="9">
        <v>10</v>
      </c>
      <c r="E509" s="9">
        <v>22</v>
      </c>
      <c r="F509" s="9">
        <v>39.1</v>
      </c>
      <c r="G509" s="9">
        <v>11</v>
      </c>
      <c r="H509" s="8">
        <v>36.4</v>
      </c>
      <c r="I509" s="8">
        <v>2</v>
      </c>
      <c r="J509" s="8">
        <v>5</v>
      </c>
      <c r="K509" s="8">
        <v>50</v>
      </c>
      <c r="L509" s="9">
        <v>2</v>
      </c>
      <c r="M509" s="8">
        <v>3.1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1"/>
    </row>
    <row r="510" spans="1:38" ht="13">
      <c r="A510" s="8" t="s">
        <v>1059</v>
      </c>
      <c r="B510" s="8" t="s">
        <v>68</v>
      </c>
      <c r="C510" s="9">
        <v>24</v>
      </c>
      <c r="D510" s="9">
        <v>10</v>
      </c>
      <c r="E510" s="9">
        <v>13</v>
      </c>
      <c r="F510" s="9">
        <v>76.900000000000006</v>
      </c>
      <c r="G510" s="8">
        <v>0</v>
      </c>
      <c r="H510" s="8">
        <v>0</v>
      </c>
      <c r="I510" s="8">
        <v>4</v>
      </c>
      <c r="J510" s="8">
        <v>5</v>
      </c>
      <c r="K510" s="8">
        <v>80</v>
      </c>
      <c r="L510" s="9">
        <v>6</v>
      </c>
      <c r="M510" s="8">
        <v>12.5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1"/>
    </row>
    <row r="511" spans="1:38" ht="13">
      <c r="A511" s="8" t="s">
        <v>1061</v>
      </c>
      <c r="B511" s="9" t="s">
        <v>48</v>
      </c>
      <c r="C511" s="9">
        <v>23</v>
      </c>
      <c r="D511" s="9">
        <v>10</v>
      </c>
      <c r="E511" s="9">
        <v>26</v>
      </c>
      <c r="F511" s="9">
        <v>38.5</v>
      </c>
      <c r="G511" s="9">
        <v>16</v>
      </c>
      <c r="H511" s="8">
        <v>26.7</v>
      </c>
      <c r="I511" s="8">
        <v>0</v>
      </c>
      <c r="J511" s="8">
        <v>0</v>
      </c>
      <c r="K511" s="8">
        <v>0</v>
      </c>
      <c r="L511" s="9">
        <v>7</v>
      </c>
      <c r="M511" s="8">
        <v>6.2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1"/>
    </row>
    <row r="512" spans="1:38" ht="13">
      <c r="A512" s="8" t="s">
        <v>1063</v>
      </c>
      <c r="B512" s="9" t="s">
        <v>66</v>
      </c>
      <c r="C512" s="9">
        <v>23</v>
      </c>
      <c r="D512" s="9">
        <v>7</v>
      </c>
      <c r="E512" s="9">
        <v>22</v>
      </c>
      <c r="F512" s="9">
        <v>31.8</v>
      </c>
      <c r="G512" s="9">
        <v>15</v>
      </c>
      <c r="H512" s="8">
        <v>26.7</v>
      </c>
      <c r="I512" s="8">
        <v>5</v>
      </c>
      <c r="J512" s="8">
        <v>6</v>
      </c>
      <c r="K512" s="8">
        <v>83.3</v>
      </c>
      <c r="L512" s="9">
        <v>6</v>
      </c>
      <c r="M512" s="8">
        <v>4.8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1"/>
    </row>
    <row r="513" spans="1:38" ht="13">
      <c r="A513" s="8" t="s">
        <v>1065</v>
      </c>
      <c r="B513" s="9" t="s">
        <v>66</v>
      </c>
      <c r="C513" s="9">
        <v>23</v>
      </c>
      <c r="D513" s="9">
        <v>9</v>
      </c>
      <c r="E513" s="9">
        <v>18</v>
      </c>
      <c r="F513" s="9">
        <v>50</v>
      </c>
      <c r="G513" s="9">
        <v>8</v>
      </c>
      <c r="H513" s="8">
        <v>12.5</v>
      </c>
      <c r="I513" s="8">
        <v>4</v>
      </c>
      <c r="J513" s="8">
        <v>5</v>
      </c>
      <c r="K513" s="8">
        <v>80</v>
      </c>
      <c r="L513" s="9">
        <v>2</v>
      </c>
      <c r="M513" s="8">
        <v>15.9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1"/>
    </row>
    <row r="514" spans="1:38" ht="13">
      <c r="A514" s="8" t="s">
        <v>1067</v>
      </c>
      <c r="B514" s="9" t="s">
        <v>88</v>
      </c>
      <c r="C514" s="9">
        <v>22</v>
      </c>
      <c r="D514" s="9">
        <v>8</v>
      </c>
      <c r="E514" s="9">
        <v>16</v>
      </c>
      <c r="F514" s="9">
        <v>53.3</v>
      </c>
      <c r="G514" s="9">
        <v>10</v>
      </c>
      <c r="H514" s="8">
        <v>30</v>
      </c>
      <c r="I514" s="8">
        <v>2</v>
      </c>
      <c r="J514" s="8">
        <v>2</v>
      </c>
      <c r="K514" s="8">
        <v>100</v>
      </c>
      <c r="L514" s="9">
        <v>4</v>
      </c>
      <c r="M514" s="8">
        <v>4.7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1"/>
    </row>
    <row r="515" spans="1:38" ht="13">
      <c r="A515" s="8" t="s">
        <v>1069</v>
      </c>
      <c r="B515" s="9" t="s">
        <v>70</v>
      </c>
      <c r="C515" s="9">
        <v>22</v>
      </c>
      <c r="D515" s="9">
        <v>8</v>
      </c>
      <c r="E515" s="9">
        <v>17</v>
      </c>
      <c r="F515" s="9">
        <v>47.1</v>
      </c>
      <c r="G515" s="9">
        <v>10</v>
      </c>
      <c r="H515" s="8">
        <v>30</v>
      </c>
      <c r="I515" s="8">
        <v>3</v>
      </c>
      <c r="J515" s="8">
        <v>6</v>
      </c>
      <c r="K515" s="8">
        <v>50</v>
      </c>
      <c r="L515" s="9">
        <v>3</v>
      </c>
      <c r="M515" s="8">
        <v>10.1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1"/>
    </row>
    <row r="516" spans="1:38" ht="13">
      <c r="A516" s="8" t="s">
        <v>1071</v>
      </c>
      <c r="B516" s="8" t="s">
        <v>46</v>
      </c>
      <c r="C516" s="9">
        <v>20</v>
      </c>
      <c r="D516" s="9">
        <v>7</v>
      </c>
      <c r="E516" s="9">
        <v>16</v>
      </c>
      <c r="F516" s="8">
        <v>40</v>
      </c>
      <c r="G516" s="9">
        <v>5</v>
      </c>
      <c r="H516" s="8">
        <v>0</v>
      </c>
      <c r="I516" s="8">
        <v>8</v>
      </c>
      <c r="J516" s="8">
        <v>8</v>
      </c>
      <c r="K516" s="8">
        <v>100</v>
      </c>
      <c r="L516" s="9">
        <v>3</v>
      </c>
      <c r="M516" s="8">
        <v>20.2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1"/>
    </row>
    <row r="517" spans="1:38" ht="13">
      <c r="A517" s="8" t="s">
        <v>1073</v>
      </c>
      <c r="B517" s="9" t="s">
        <v>62</v>
      </c>
      <c r="C517" s="9">
        <v>18</v>
      </c>
      <c r="D517" s="9">
        <v>7</v>
      </c>
      <c r="E517" s="9">
        <v>23</v>
      </c>
      <c r="F517" s="9">
        <v>29.2</v>
      </c>
      <c r="G517" s="9">
        <v>13</v>
      </c>
      <c r="H517" s="8">
        <v>15.4</v>
      </c>
      <c r="I517" s="8">
        <v>3</v>
      </c>
      <c r="J517" s="8">
        <v>4</v>
      </c>
      <c r="K517" s="8">
        <v>50</v>
      </c>
      <c r="L517" s="9">
        <v>3</v>
      </c>
      <c r="M517" s="8">
        <v>7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1"/>
    </row>
    <row r="518" spans="1:38" ht="13">
      <c r="A518" s="8" t="s">
        <v>1075</v>
      </c>
      <c r="B518" s="9" t="s">
        <v>50</v>
      </c>
      <c r="C518" s="9">
        <v>17</v>
      </c>
      <c r="D518" s="9">
        <v>6</v>
      </c>
      <c r="E518" s="9">
        <v>12</v>
      </c>
      <c r="F518" s="9">
        <v>50</v>
      </c>
      <c r="G518" s="9">
        <v>5</v>
      </c>
      <c r="H518" s="8">
        <v>20</v>
      </c>
      <c r="I518" s="8">
        <v>4</v>
      </c>
      <c r="J518" s="8">
        <v>6</v>
      </c>
      <c r="K518" s="8">
        <v>66.7</v>
      </c>
      <c r="L518" s="9">
        <v>1</v>
      </c>
      <c r="M518" s="8">
        <v>6.7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1"/>
    </row>
    <row r="519" spans="1:38" ht="13">
      <c r="A519" s="8" t="s">
        <v>1077</v>
      </c>
      <c r="B519" s="9" t="s">
        <v>122</v>
      </c>
      <c r="C519" s="9">
        <v>17</v>
      </c>
      <c r="D519" s="9">
        <v>8</v>
      </c>
      <c r="E519" s="9">
        <v>21</v>
      </c>
      <c r="F519" s="9">
        <v>38.1</v>
      </c>
      <c r="G519" s="9">
        <v>10</v>
      </c>
      <c r="H519" s="8">
        <v>20</v>
      </c>
      <c r="I519" s="8">
        <v>0</v>
      </c>
      <c r="J519" s="8">
        <v>2</v>
      </c>
      <c r="K519" s="8">
        <v>0</v>
      </c>
      <c r="L519" s="9">
        <v>6</v>
      </c>
      <c r="M519" s="8">
        <v>2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1"/>
    </row>
    <row r="520" spans="1:38" ht="13">
      <c r="A520" s="8" t="s">
        <v>1079</v>
      </c>
      <c r="B520" s="9" t="s">
        <v>140</v>
      </c>
      <c r="C520" s="9">
        <v>16</v>
      </c>
      <c r="D520" s="9">
        <v>5</v>
      </c>
      <c r="E520" s="9">
        <v>13</v>
      </c>
      <c r="F520" s="9">
        <v>38.5</v>
      </c>
      <c r="G520" s="9">
        <v>4</v>
      </c>
      <c r="H520" s="8">
        <v>25</v>
      </c>
      <c r="I520" s="8">
        <v>5</v>
      </c>
      <c r="J520" s="8">
        <v>6</v>
      </c>
      <c r="K520" s="8">
        <v>83.3</v>
      </c>
      <c r="L520" s="9">
        <v>3</v>
      </c>
      <c r="M520" s="8">
        <v>8.4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1"/>
    </row>
    <row r="521" spans="1:38" ht="13">
      <c r="A521" s="8" t="s">
        <v>1081</v>
      </c>
      <c r="B521" s="9" t="s">
        <v>94</v>
      </c>
      <c r="C521" s="9">
        <v>16</v>
      </c>
      <c r="D521" s="9">
        <v>6</v>
      </c>
      <c r="E521" s="9">
        <v>14</v>
      </c>
      <c r="F521" s="9">
        <v>42.9</v>
      </c>
      <c r="G521" s="9">
        <v>6</v>
      </c>
      <c r="H521" s="8">
        <v>50</v>
      </c>
      <c r="I521" s="8">
        <v>1</v>
      </c>
      <c r="J521" s="8">
        <v>2</v>
      </c>
      <c r="K521" s="8">
        <v>50</v>
      </c>
      <c r="L521" s="9">
        <v>1</v>
      </c>
      <c r="M521" s="8">
        <v>8.6999999999999993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1"/>
    </row>
    <row r="522" spans="1:38" ht="13">
      <c r="A522" s="8" t="s">
        <v>1083</v>
      </c>
      <c r="B522" s="9" t="s">
        <v>60</v>
      </c>
      <c r="C522" s="9">
        <v>15</v>
      </c>
      <c r="D522" s="9">
        <v>6</v>
      </c>
      <c r="E522" s="9">
        <v>10</v>
      </c>
      <c r="F522" s="9">
        <v>60</v>
      </c>
      <c r="G522" s="9">
        <v>5</v>
      </c>
      <c r="H522" s="8">
        <v>40</v>
      </c>
      <c r="I522" s="8">
        <v>1</v>
      </c>
      <c r="J522" s="8">
        <v>2</v>
      </c>
      <c r="K522" s="8">
        <v>50</v>
      </c>
      <c r="L522" s="9">
        <v>1</v>
      </c>
      <c r="M522" s="8">
        <v>9.5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1"/>
    </row>
    <row r="523" spans="1:38" ht="13">
      <c r="A523" s="8" t="s">
        <v>1085</v>
      </c>
      <c r="B523" s="9" t="s">
        <v>50</v>
      </c>
      <c r="C523" s="9">
        <v>15</v>
      </c>
      <c r="D523" s="9">
        <v>4</v>
      </c>
      <c r="E523" s="9">
        <v>26</v>
      </c>
      <c r="F523" s="9">
        <v>19.2</v>
      </c>
      <c r="G523" s="9">
        <v>15</v>
      </c>
      <c r="H523" s="8">
        <v>20</v>
      </c>
      <c r="I523" s="8">
        <v>2</v>
      </c>
      <c r="J523" s="8">
        <v>4</v>
      </c>
      <c r="K523" s="8">
        <v>50</v>
      </c>
      <c r="L523" s="9">
        <v>4</v>
      </c>
      <c r="M523" s="8">
        <v>2.2000000000000002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1"/>
    </row>
    <row r="524" spans="1:38" ht="13">
      <c r="A524" s="8" t="s">
        <v>1087</v>
      </c>
      <c r="B524" s="9" t="s">
        <v>46</v>
      </c>
      <c r="C524" s="9">
        <v>15</v>
      </c>
      <c r="D524" s="9">
        <v>6</v>
      </c>
      <c r="E524" s="9">
        <v>23</v>
      </c>
      <c r="F524" s="9">
        <v>26.1</v>
      </c>
      <c r="G524" s="9">
        <v>15</v>
      </c>
      <c r="H524" s="8">
        <v>20</v>
      </c>
      <c r="I524" s="8">
        <v>0</v>
      </c>
      <c r="J524" s="8">
        <v>0</v>
      </c>
      <c r="K524" s="8">
        <v>0</v>
      </c>
      <c r="L524" s="9">
        <v>2</v>
      </c>
      <c r="M524" s="8">
        <v>2.5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1"/>
    </row>
    <row r="525" spans="1:38" ht="13">
      <c r="A525" s="8" t="s">
        <v>1089</v>
      </c>
      <c r="B525" s="8" t="s">
        <v>60</v>
      </c>
      <c r="C525" s="9">
        <v>14</v>
      </c>
      <c r="D525" s="9">
        <v>6</v>
      </c>
      <c r="E525" s="9">
        <v>9</v>
      </c>
      <c r="F525" s="8">
        <v>66.7</v>
      </c>
      <c r="G525" s="8">
        <v>0</v>
      </c>
      <c r="H525" s="8">
        <v>0</v>
      </c>
      <c r="I525" s="8">
        <v>2</v>
      </c>
      <c r="J525" s="8">
        <v>3</v>
      </c>
      <c r="K525" s="8">
        <v>66.7</v>
      </c>
      <c r="L525" s="9">
        <v>4</v>
      </c>
      <c r="M525" s="8">
        <v>14.9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1"/>
    </row>
    <row r="526" spans="1:38" ht="13">
      <c r="A526" s="8" t="s">
        <v>1091</v>
      </c>
      <c r="B526" s="9" t="s">
        <v>68</v>
      </c>
      <c r="C526" s="9">
        <v>14</v>
      </c>
      <c r="D526" s="9">
        <v>5</v>
      </c>
      <c r="E526" s="9">
        <v>17</v>
      </c>
      <c r="F526" s="9">
        <v>29.4</v>
      </c>
      <c r="G526" s="9">
        <v>13</v>
      </c>
      <c r="H526" s="8">
        <v>30.8</v>
      </c>
      <c r="I526" s="8">
        <v>0</v>
      </c>
      <c r="J526" s="8">
        <v>0</v>
      </c>
      <c r="K526" s="8">
        <v>0</v>
      </c>
      <c r="L526" s="9">
        <v>2</v>
      </c>
      <c r="M526" s="8">
        <v>2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1"/>
    </row>
    <row r="527" spans="1:38" ht="13">
      <c r="A527" s="8" t="s">
        <v>1093</v>
      </c>
      <c r="B527" s="8" t="s">
        <v>74</v>
      </c>
      <c r="C527" s="9">
        <v>14</v>
      </c>
      <c r="D527" s="9">
        <v>6</v>
      </c>
      <c r="E527" s="9">
        <v>19</v>
      </c>
      <c r="F527" s="9">
        <v>31.6</v>
      </c>
      <c r="G527" s="9">
        <v>7</v>
      </c>
      <c r="H527" s="8">
        <v>0</v>
      </c>
      <c r="I527" s="8">
        <v>2</v>
      </c>
      <c r="J527" s="8">
        <v>7</v>
      </c>
      <c r="K527" s="8">
        <v>28.6</v>
      </c>
      <c r="L527" s="9">
        <v>2</v>
      </c>
      <c r="M527" s="8">
        <v>2.7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1"/>
    </row>
    <row r="528" spans="1:38" ht="13">
      <c r="A528" s="8" t="s">
        <v>1095</v>
      </c>
      <c r="B528" s="9" t="s">
        <v>66</v>
      </c>
      <c r="C528" s="9">
        <v>14</v>
      </c>
      <c r="D528" s="9">
        <v>5</v>
      </c>
      <c r="E528" s="9">
        <v>11</v>
      </c>
      <c r="F528" s="9">
        <v>45.5</v>
      </c>
      <c r="G528" s="9">
        <v>5</v>
      </c>
      <c r="H528" s="8">
        <v>20</v>
      </c>
      <c r="I528" s="8">
        <v>2</v>
      </c>
      <c r="J528" s="8">
        <v>5</v>
      </c>
      <c r="K528" s="8">
        <v>50</v>
      </c>
      <c r="L528" s="9">
        <v>2</v>
      </c>
      <c r="M528" s="8">
        <v>7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1"/>
    </row>
    <row r="529" spans="1:38" ht="13">
      <c r="A529" s="8" t="s">
        <v>1097</v>
      </c>
      <c r="B529" s="9" t="s">
        <v>170</v>
      </c>
      <c r="C529" s="9">
        <v>14</v>
      </c>
      <c r="D529" s="9">
        <v>4</v>
      </c>
      <c r="E529" s="9">
        <v>18</v>
      </c>
      <c r="F529" s="9">
        <v>22.2</v>
      </c>
      <c r="G529" s="9">
        <v>12</v>
      </c>
      <c r="H529" s="8">
        <v>25</v>
      </c>
      <c r="I529" s="8">
        <v>3</v>
      </c>
      <c r="J529" s="8">
        <v>4</v>
      </c>
      <c r="K529" s="8">
        <v>75</v>
      </c>
      <c r="L529" s="9">
        <v>5</v>
      </c>
      <c r="M529" s="8">
        <v>3.6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1"/>
    </row>
    <row r="530" spans="1:38" ht="13">
      <c r="A530" s="8" t="s">
        <v>1099</v>
      </c>
      <c r="B530" s="8" t="s">
        <v>122</v>
      </c>
      <c r="C530" s="9">
        <v>13</v>
      </c>
      <c r="D530" s="9">
        <v>4</v>
      </c>
      <c r="E530" s="9">
        <v>14</v>
      </c>
      <c r="F530" s="9">
        <v>28.6</v>
      </c>
      <c r="G530" s="9">
        <v>4</v>
      </c>
      <c r="H530" s="8">
        <v>0</v>
      </c>
      <c r="I530" s="8">
        <v>5</v>
      </c>
      <c r="J530" s="8">
        <v>7</v>
      </c>
      <c r="K530" s="8">
        <v>83.3</v>
      </c>
      <c r="L530" s="9">
        <v>3</v>
      </c>
      <c r="M530" s="8">
        <v>0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1"/>
    </row>
    <row r="531" spans="1:38" ht="13">
      <c r="A531" s="8" t="s">
        <v>1101</v>
      </c>
      <c r="B531" s="8" t="s">
        <v>76</v>
      </c>
      <c r="C531" s="9">
        <v>12</v>
      </c>
      <c r="D531" s="9">
        <v>5</v>
      </c>
      <c r="E531" s="9">
        <v>20</v>
      </c>
      <c r="F531" s="9">
        <v>25</v>
      </c>
      <c r="G531" s="9">
        <v>10</v>
      </c>
      <c r="H531" s="8">
        <v>0</v>
      </c>
      <c r="I531" s="8">
        <v>2</v>
      </c>
      <c r="J531" s="8">
        <v>2</v>
      </c>
      <c r="K531" s="8">
        <v>100</v>
      </c>
      <c r="L531" s="9">
        <v>8</v>
      </c>
      <c r="M531" s="8">
        <v>2.2000000000000002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1"/>
    </row>
    <row r="532" spans="1:38" ht="13">
      <c r="A532" s="8" t="s">
        <v>1103</v>
      </c>
      <c r="B532" s="9" t="s">
        <v>88</v>
      </c>
      <c r="C532" s="9">
        <v>11</v>
      </c>
      <c r="D532" s="9">
        <v>4</v>
      </c>
      <c r="E532" s="9">
        <v>5</v>
      </c>
      <c r="F532" s="9">
        <v>80</v>
      </c>
      <c r="G532" s="9">
        <v>2</v>
      </c>
      <c r="H532" s="8">
        <v>50</v>
      </c>
      <c r="I532" s="8">
        <v>2</v>
      </c>
      <c r="J532" s="8">
        <v>2</v>
      </c>
      <c r="K532" s="8">
        <v>100</v>
      </c>
      <c r="L532" s="9">
        <v>1</v>
      </c>
      <c r="M532" s="8">
        <v>10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1"/>
    </row>
    <row r="533" spans="1:38" ht="13">
      <c r="A533" s="8" t="s">
        <v>1105</v>
      </c>
      <c r="B533" s="8" t="s">
        <v>62</v>
      </c>
      <c r="C533" s="9">
        <v>11</v>
      </c>
      <c r="D533" s="9">
        <v>4</v>
      </c>
      <c r="E533" s="9">
        <v>11</v>
      </c>
      <c r="F533" s="8">
        <v>36.4</v>
      </c>
      <c r="G533" s="9">
        <v>2</v>
      </c>
      <c r="H533" s="8">
        <v>0</v>
      </c>
      <c r="I533" s="8">
        <v>3</v>
      </c>
      <c r="J533" s="8">
        <v>3</v>
      </c>
      <c r="K533" s="8">
        <v>100</v>
      </c>
      <c r="L533" s="9">
        <v>1</v>
      </c>
      <c r="M533" s="8">
        <v>2.9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1"/>
    </row>
    <row r="534" spans="1:38" ht="13">
      <c r="A534" s="8" t="s">
        <v>1107</v>
      </c>
      <c r="B534" s="8" t="s">
        <v>88</v>
      </c>
      <c r="C534" s="9">
        <v>10</v>
      </c>
      <c r="D534" s="9">
        <v>4</v>
      </c>
      <c r="E534" s="9">
        <v>8</v>
      </c>
      <c r="F534" s="9">
        <v>50</v>
      </c>
      <c r="G534" s="9">
        <v>1</v>
      </c>
      <c r="H534" s="8">
        <v>0</v>
      </c>
      <c r="I534" s="8">
        <v>2</v>
      </c>
      <c r="J534" s="8">
        <v>2</v>
      </c>
      <c r="K534" s="8">
        <v>100</v>
      </c>
      <c r="L534" s="9">
        <v>4</v>
      </c>
      <c r="M534" s="8">
        <v>9.1999999999999993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1"/>
    </row>
    <row r="535" spans="1:38" ht="13">
      <c r="A535" s="8" t="s">
        <v>1109</v>
      </c>
      <c r="B535" s="8" t="s">
        <v>50</v>
      </c>
      <c r="C535" s="9">
        <v>9</v>
      </c>
      <c r="D535" s="9">
        <v>3</v>
      </c>
      <c r="E535" s="9">
        <v>8</v>
      </c>
      <c r="F535" s="9">
        <v>25</v>
      </c>
      <c r="G535" s="9">
        <v>3</v>
      </c>
      <c r="H535" s="8">
        <v>0</v>
      </c>
      <c r="I535" s="8">
        <v>5</v>
      </c>
      <c r="J535" s="8">
        <v>10</v>
      </c>
      <c r="K535" s="8">
        <v>50</v>
      </c>
      <c r="L535" s="9">
        <v>7</v>
      </c>
      <c r="M535" s="8">
        <v>-2.5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1"/>
    </row>
    <row r="536" spans="1:38" ht="13">
      <c r="A536" s="8" t="s">
        <v>1111</v>
      </c>
      <c r="B536" s="9" t="s">
        <v>64</v>
      </c>
      <c r="C536" s="9">
        <v>9</v>
      </c>
      <c r="D536" s="9">
        <v>3</v>
      </c>
      <c r="E536" s="9">
        <v>7</v>
      </c>
      <c r="F536" s="8">
        <v>42.9</v>
      </c>
      <c r="G536" s="9">
        <v>6</v>
      </c>
      <c r="H536" s="8">
        <v>50</v>
      </c>
      <c r="I536" s="8">
        <v>0</v>
      </c>
      <c r="J536" s="8">
        <v>0</v>
      </c>
      <c r="K536" s="8">
        <v>0</v>
      </c>
      <c r="L536" s="9">
        <v>4</v>
      </c>
      <c r="M536" s="8">
        <v>1.5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1"/>
    </row>
    <row r="537" spans="1:38" ht="13">
      <c r="A537" s="8" t="s">
        <v>1113</v>
      </c>
      <c r="B537" s="9" t="s">
        <v>54</v>
      </c>
      <c r="C537" s="8">
        <v>9</v>
      </c>
      <c r="D537" s="9">
        <v>2</v>
      </c>
      <c r="E537" s="9">
        <v>7</v>
      </c>
      <c r="F537" s="8">
        <v>28.6</v>
      </c>
      <c r="G537" s="9">
        <v>7</v>
      </c>
      <c r="H537" s="8">
        <v>28.6</v>
      </c>
      <c r="I537" s="8">
        <v>3</v>
      </c>
      <c r="J537" s="8">
        <v>4</v>
      </c>
      <c r="K537" s="8">
        <v>75</v>
      </c>
      <c r="L537" s="8">
        <v>0</v>
      </c>
      <c r="M537" s="8">
        <v>2.6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1"/>
    </row>
    <row r="538" spans="1:38" ht="13">
      <c r="A538" s="8" t="s">
        <v>1115</v>
      </c>
      <c r="B538" s="8" t="s">
        <v>88</v>
      </c>
      <c r="C538" s="9">
        <v>8</v>
      </c>
      <c r="D538" s="9">
        <v>4</v>
      </c>
      <c r="E538" s="9">
        <v>7</v>
      </c>
      <c r="F538" s="9">
        <v>57.1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9">
        <v>5</v>
      </c>
      <c r="M538" s="8">
        <v>7.8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1"/>
    </row>
    <row r="539" spans="1:38" ht="13">
      <c r="A539" s="8" t="s">
        <v>1117</v>
      </c>
      <c r="B539" s="8" t="s">
        <v>84</v>
      </c>
      <c r="C539" s="8">
        <v>8</v>
      </c>
      <c r="D539" s="9">
        <v>4</v>
      </c>
      <c r="E539" s="9">
        <v>11</v>
      </c>
      <c r="F539" s="9">
        <v>36.4</v>
      </c>
      <c r="G539" s="9">
        <v>4</v>
      </c>
      <c r="H539" s="8">
        <v>0</v>
      </c>
      <c r="I539" s="8">
        <v>0</v>
      </c>
      <c r="J539" s="8">
        <v>1</v>
      </c>
      <c r="K539" s="8">
        <v>0</v>
      </c>
      <c r="L539" s="8">
        <v>0</v>
      </c>
      <c r="M539" s="8">
        <v>1.5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1"/>
    </row>
    <row r="540" spans="1:38" ht="13">
      <c r="A540" s="8" t="s">
        <v>1119</v>
      </c>
      <c r="B540" s="8" t="s">
        <v>64</v>
      </c>
      <c r="C540" s="9">
        <v>8</v>
      </c>
      <c r="D540" s="9">
        <v>4</v>
      </c>
      <c r="E540" s="9">
        <v>9</v>
      </c>
      <c r="F540" s="9">
        <v>44.4</v>
      </c>
      <c r="G540" s="9">
        <v>1</v>
      </c>
      <c r="H540" s="8">
        <v>0</v>
      </c>
      <c r="I540" s="8">
        <v>0</v>
      </c>
      <c r="J540" s="8">
        <v>0</v>
      </c>
      <c r="K540" s="8">
        <v>0</v>
      </c>
      <c r="L540" s="9">
        <v>1</v>
      </c>
      <c r="M540" s="8">
        <v>3.3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1"/>
    </row>
    <row r="541" spans="1:38" ht="13">
      <c r="A541" s="8" t="s">
        <v>1121</v>
      </c>
      <c r="B541" s="8" t="s">
        <v>116</v>
      </c>
      <c r="C541" s="9">
        <v>8</v>
      </c>
      <c r="D541" s="9">
        <v>3</v>
      </c>
      <c r="E541" s="9">
        <v>21</v>
      </c>
      <c r="F541" s="9">
        <v>14.3</v>
      </c>
      <c r="G541" s="9">
        <v>10</v>
      </c>
      <c r="H541" s="8">
        <v>0</v>
      </c>
      <c r="I541" s="8">
        <v>2</v>
      </c>
      <c r="J541" s="8">
        <v>2</v>
      </c>
      <c r="K541" s="8">
        <v>100</v>
      </c>
      <c r="L541" s="9">
        <v>2</v>
      </c>
      <c r="M541" s="8">
        <v>-0.5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1"/>
    </row>
    <row r="542" spans="1:38" ht="13">
      <c r="A542" s="8" t="s">
        <v>1123</v>
      </c>
      <c r="B542" s="9" t="s">
        <v>52</v>
      </c>
      <c r="C542" s="9">
        <v>7</v>
      </c>
      <c r="D542" s="9">
        <v>2</v>
      </c>
      <c r="E542" s="9">
        <v>9</v>
      </c>
      <c r="F542" s="8">
        <v>22.2</v>
      </c>
      <c r="G542" s="9">
        <v>7</v>
      </c>
      <c r="H542" s="8">
        <v>28.6</v>
      </c>
      <c r="I542" s="8">
        <v>1</v>
      </c>
      <c r="J542" s="8">
        <v>2</v>
      </c>
      <c r="K542" s="8">
        <v>50</v>
      </c>
      <c r="L542" s="9">
        <v>2</v>
      </c>
      <c r="M542" s="8">
        <v>8.8000000000000007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1"/>
    </row>
    <row r="543" spans="1:38" ht="13">
      <c r="A543" s="8" t="s">
        <v>1125</v>
      </c>
      <c r="B543" s="9" t="s">
        <v>60</v>
      </c>
      <c r="C543" s="8">
        <v>7</v>
      </c>
      <c r="D543" s="9">
        <v>3</v>
      </c>
      <c r="E543" s="9">
        <v>10</v>
      </c>
      <c r="F543" s="9">
        <v>30</v>
      </c>
      <c r="G543" s="9">
        <v>7</v>
      </c>
      <c r="H543" s="8">
        <v>14.3</v>
      </c>
      <c r="I543" s="8">
        <v>0</v>
      </c>
      <c r="J543" s="8">
        <v>2</v>
      </c>
      <c r="K543" s="8">
        <v>0</v>
      </c>
      <c r="L543" s="8">
        <v>0</v>
      </c>
      <c r="M543" s="8">
        <v>0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1"/>
    </row>
    <row r="544" spans="1:38" ht="13">
      <c r="A544" s="8" t="s">
        <v>1127</v>
      </c>
      <c r="B544" s="9" t="s">
        <v>46</v>
      </c>
      <c r="C544" s="9">
        <v>7</v>
      </c>
      <c r="D544" s="9">
        <v>2</v>
      </c>
      <c r="E544" s="9">
        <v>3</v>
      </c>
      <c r="F544" s="9">
        <v>66.7</v>
      </c>
      <c r="G544" s="9">
        <v>3</v>
      </c>
      <c r="H544" s="8">
        <v>66.7</v>
      </c>
      <c r="I544" s="8">
        <v>1</v>
      </c>
      <c r="J544" s="8">
        <v>6</v>
      </c>
      <c r="K544" s="8">
        <v>16.7</v>
      </c>
      <c r="L544" s="9">
        <v>1</v>
      </c>
      <c r="M544" s="8">
        <v>5.4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1"/>
    </row>
    <row r="545" spans="1:38" ht="13">
      <c r="A545" s="8" t="s">
        <v>1129</v>
      </c>
      <c r="B545" s="8" t="s">
        <v>84</v>
      </c>
      <c r="C545" s="8">
        <v>6</v>
      </c>
      <c r="D545" s="9">
        <v>2</v>
      </c>
      <c r="E545" s="9">
        <v>4</v>
      </c>
      <c r="F545" s="8">
        <v>50</v>
      </c>
      <c r="G545" s="9">
        <v>1</v>
      </c>
      <c r="H545" s="8">
        <v>0</v>
      </c>
      <c r="I545" s="8">
        <v>2</v>
      </c>
      <c r="J545" s="8">
        <v>2</v>
      </c>
      <c r="K545" s="8">
        <v>100</v>
      </c>
      <c r="L545" s="8">
        <v>0</v>
      </c>
      <c r="M545" s="8">
        <v>15.6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1"/>
    </row>
    <row r="546" spans="1:38" ht="13">
      <c r="A546" s="8" t="s">
        <v>1131</v>
      </c>
      <c r="B546" s="8" t="s">
        <v>64</v>
      </c>
      <c r="C546" s="8">
        <v>6</v>
      </c>
      <c r="D546" s="9">
        <v>2</v>
      </c>
      <c r="E546" s="9">
        <v>7</v>
      </c>
      <c r="F546" s="9">
        <v>28.6</v>
      </c>
      <c r="G546" s="9">
        <v>1</v>
      </c>
      <c r="H546" s="8">
        <v>0</v>
      </c>
      <c r="I546" s="8">
        <v>2</v>
      </c>
      <c r="J546" s="8">
        <v>2</v>
      </c>
      <c r="K546" s="8">
        <v>100</v>
      </c>
      <c r="L546" s="8">
        <v>0</v>
      </c>
      <c r="M546" s="8">
        <v>6.6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1"/>
    </row>
    <row r="547" spans="1:38" ht="13">
      <c r="A547" s="8" t="s">
        <v>1133</v>
      </c>
      <c r="B547" s="9" t="s">
        <v>116</v>
      </c>
      <c r="C547" s="9">
        <v>6</v>
      </c>
      <c r="D547" s="9">
        <v>2</v>
      </c>
      <c r="E547" s="9">
        <v>7</v>
      </c>
      <c r="F547" s="9">
        <v>28.6</v>
      </c>
      <c r="G547" s="9">
        <v>3</v>
      </c>
      <c r="H547" s="8">
        <v>33.299999999999997</v>
      </c>
      <c r="I547" s="8">
        <v>1</v>
      </c>
      <c r="J547" s="8">
        <v>2</v>
      </c>
      <c r="K547" s="8">
        <v>50</v>
      </c>
      <c r="L547" s="9">
        <v>1</v>
      </c>
      <c r="M547" s="8">
        <v>9.9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1"/>
    </row>
    <row r="548" spans="1:38" ht="13">
      <c r="A548" s="8" t="s">
        <v>1135</v>
      </c>
      <c r="B548" s="9" t="s">
        <v>122</v>
      </c>
      <c r="C548" s="9">
        <v>6</v>
      </c>
      <c r="D548" s="9">
        <v>2</v>
      </c>
      <c r="E548" s="9">
        <v>10</v>
      </c>
      <c r="F548" s="9">
        <v>20</v>
      </c>
      <c r="G548" s="9">
        <v>4</v>
      </c>
      <c r="H548" s="8">
        <v>25</v>
      </c>
      <c r="I548" s="8">
        <v>1</v>
      </c>
      <c r="J548" s="8">
        <v>2</v>
      </c>
      <c r="K548" s="8">
        <v>50</v>
      </c>
      <c r="L548" s="9">
        <v>4</v>
      </c>
      <c r="M548" s="8">
        <v>10.5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1"/>
    </row>
    <row r="549" spans="1:38" ht="13">
      <c r="A549" s="8" t="s">
        <v>1137</v>
      </c>
      <c r="B549" s="9" t="s">
        <v>60</v>
      </c>
      <c r="C549" s="8">
        <v>5</v>
      </c>
      <c r="D549" s="8">
        <v>2</v>
      </c>
      <c r="E549" s="8">
        <v>2</v>
      </c>
      <c r="F549" s="9">
        <v>100</v>
      </c>
      <c r="G549" s="9">
        <v>1</v>
      </c>
      <c r="H549" s="8">
        <v>100</v>
      </c>
      <c r="I549" s="8">
        <v>0</v>
      </c>
      <c r="J549" s="8">
        <v>0</v>
      </c>
      <c r="K549" s="8">
        <v>0</v>
      </c>
      <c r="L549" s="8">
        <v>0</v>
      </c>
      <c r="M549" s="8">
        <v>40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1"/>
    </row>
    <row r="550" spans="1:38" ht="13">
      <c r="A550" s="8" t="s">
        <v>1139</v>
      </c>
      <c r="B550" s="9" t="s">
        <v>66</v>
      </c>
      <c r="C550" s="9">
        <v>5</v>
      </c>
      <c r="D550" s="9">
        <v>2</v>
      </c>
      <c r="E550" s="9">
        <v>4</v>
      </c>
      <c r="F550" s="9">
        <v>50</v>
      </c>
      <c r="G550" s="9">
        <v>1</v>
      </c>
      <c r="H550" s="8">
        <v>100</v>
      </c>
      <c r="I550" s="8">
        <v>0</v>
      </c>
      <c r="J550" s="8">
        <v>0</v>
      </c>
      <c r="K550" s="8">
        <v>0</v>
      </c>
      <c r="L550" s="9">
        <v>1</v>
      </c>
      <c r="M550" s="8">
        <v>9.1999999999999993</v>
      </c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1"/>
    </row>
    <row r="551" spans="1:38" ht="13">
      <c r="A551" s="8" t="s">
        <v>1141</v>
      </c>
      <c r="B551" s="8" t="s">
        <v>146</v>
      </c>
      <c r="C551" s="9">
        <v>5</v>
      </c>
      <c r="D551" s="9">
        <v>2</v>
      </c>
      <c r="E551" s="9">
        <v>5</v>
      </c>
      <c r="F551" s="9">
        <v>40</v>
      </c>
      <c r="G551" s="8">
        <v>0</v>
      </c>
      <c r="H551" s="8">
        <v>0</v>
      </c>
      <c r="I551" s="8">
        <v>1</v>
      </c>
      <c r="J551" s="8">
        <v>2</v>
      </c>
      <c r="K551" s="8">
        <v>50</v>
      </c>
      <c r="L551" s="9">
        <v>4</v>
      </c>
      <c r="M551" s="8">
        <v>2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1"/>
    </row>
    <row r="552" spans="1:38" ht="13">
      <c r="A552" s="8" t="s">
        <v>1143</v>
      </c>
      <c r="B552" s="8" t="s">
        <v>60</v>
      </c>
      <c r="C552" s="9">
        <v>4</v>
      </c>
      <c r="D552" s="9">
        <v>1</v>
      </c>
      <c r="E552" s="9">
        <v>8</v>
      </c>
      <c r="F552" s="9">
        <v>12.5</v>
      </c>
      <c r="G552" s="9">
        <v>6</v>
      </c>
      <c r="H552" s="8">
        <v>0</v>
      </c>
      <c r="I552" s="8">
        <v>2</v>
      </c>
      <c r="J552" s="8">
        <v>2</v>
      </c>
      <c r="K552" s="8">
        <v>100</v>
      </c>
      <c r="L552" s="9">
        <v>4</v>
      </c>
      <c r="M552" s="8">
        <v>7.1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1"/>
    </row>
    <row r="553" spans="1:38" ht="13">
      <c r="A553" s="8" t="s">
        <v>1145</v>
      </c>
      <c r="B553" s="8" t="s">
        <v>94</v>
      </c>
      <c r="C553" s="9">
        <v>4</v>
      </c>
      <c r="D553" s="9">
        <v>2</v>
      </c>
      <c r="E553" s="9">
        <v>4</v>
      </c>
      <c r="F553" s="9">
        <v>50</v>
      </c>
      <c r="G553" s="9">
        <v>1</v>
      </c>
      <c r="H553" s="8">
        <v>0</v>
      </c>
      <c r="I553" s="8">
        <v>0</v>
      </c>
      <c r="J553" s="8">
        <v>0</v>
      </c>
      <c r="K553" s="8">
        <v>0</v>
      </c>
      <c r="L553" s="9">
        <v>2</v>
      </c>
      <c r="M553" s="8">
        <v>8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1"/>
    </row>
    <row r="554" spans="1:38" ht="13">
      <c r="A554" s="8" t="s">
        <v>1147</v>
      </c>
      <c r="B554" s="8" t="s">
        <v>196</v>
      </c>
      <c r="C554" s="8">
        <v>3</v>
      </c>
      <c r="D554" s="9">
        <v>1</v>
      </c>
      <c r="E554" s="9">
        <v>7</v>
      </c>
      <c r="F554" s="8">
        <v>14.3</v>
      </c>
      <c r="G554" s="9">
        <v>3</v>
      </c>
      <c r="H554" s="8">
        <v>0</v>
      </c>
      <c r="I554" s="8">
        <v>1</v>
      </c>
      <c r="J554" s="8">
        <v>2</v>
      </c>
      <c r="K554" s="8">
        <v>50</v>
      </c>
      <c r="L554" s="8">
        <v>0</v>
      </c>
      <c r="M554" s="8">
        <v>-5.6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1"/>
    </row>
    <row r="555" spans="1:38" ht="13">
      <c r="A555" s="8" t="s">
        <v>1149</v>
      </c>
      <c r="B555" s="8" t="s">
        <v>70</v>
      </c>
      <c r="C555" s="9">
        <v>3</v>
      </c>
      <c r="D555" s="9">
        <v>0</v>
      </c>
      <c r="E555" s="9">
        <v>4</v>
      </c>
      <c r="F555" s="8">
        <v>0</v>
      </c>
      <c r="G555" s="9">
        <v>1</v>
      </c>
      <c r="H555" s="8">
        <v>0</v>
      </c>
      <c r="I555" s="8">
        <v>3</v>
      </c>
      <c r="J555" s="8">
        <v>6</v>
      </c>
      <c r="K555" s="8">
        <v>50</v>
      </c>
      <c r="L555" s="9">
        <v>1</v>
      </c>
      <c r="M555" s="8">
        <v>-2.6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1"/>
    </row>
    <row r="556" spans="1:38" ht="13">
      <c r="A556" s="8" t="s">
        <v>1151</v>
      </c>
      <c r="B556" s="9" t="s">
        <v>74</v>
      </c>
      <c r="C556" s="8">
        <v>3</v>
      </c>
      <c r="D556" s="8">
        <v>1</v>
      </c>
      <c r="E556" s="8">
        <v>5</v>
      </c>
      <c r="F556" s="9">
        <v>20</v>
      </c>
      <c r="G556" s="9">
        <v>5</v>
      </c>
      <c r="H556" s="8">
        <v>20</v>
      </c>
      <c r="I556" s="8">
        <v>0</v>
      </c>
      <c r="J556" s="8">
        <v>0</v>
      </c>
      <c r="K556" s="8">
        <v>0</v>
      </c>
      <c r="L556" s="8">
        <v>0</v>
      </c>
      <c r="M556" s="8">
        <v>-2.2000000000000002</v>
      </c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1"/>
    </row>
    <row r="557" spans="1:38" ht="13">
      <c r="A557" s="8" t="s">
        <v>1153</v>
      </c>
      <c r="B557" s="8" t="s">
        <v>46</v>
      </c>
      <c r="C557" s="9">
        <v>3</v>
      </c>
      <c r="D557" s="9">
        <v>1</v>
      </c>
      <c r="E557" s="9">
        <v>8</v>
      </c>
      <c r="F557" s="9">
        <v>12.5</v>
      </c>
      <c r="G557" s="9">
        <v>3</v>
      </c>
      <c r="H557" s="8">
        <v>0</v>
      </c>
      <c r="I557" s="8">
        <v>1</v>
      </c>
      <c r="J557" s="8">
        <v>1</v>
      </c>
      <c r="K557" s="8">
        <v>100</v>
      </c>
      <c r="L557" s="9">
        <v>2</v>
      </c>
      <c r="M557" s="8">
        <v>-6.8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1"/>
    </row>
    <row r="558" spans="1:38" ht="13">
      <c r="A558" s="8" t="s">
        <v>1155</v>
      </c>
      <c r="B558" s="8" t="s">
        <v>146</v>
      </c>
      <c r="C558" s="8">
        <v>3</v>
      </c>
      <c r="D558" s="9">
        <v>1</v>
      </c>
      <c r="E558" s="9">
        <v>7</v>
      </c>
      <c r="F558" s="9">
        <v>14.3</v>
      </c>
      <c r="G558" s="9">
        <v>3</v>
      </c>
      <c r="H558" s="8">
        <v>0</v>
      </c>
      <c r="I558" s="8">
        <v>1</v>
      </c>
      <c r="J558" s="8">
        <v>1</v>
      </c>
      <c r="K558" s="8">
        <v>100</v>
      </c>
      <c r="L558" s="8">
        <v>0</v>
      </c>
      <c r="M558" s="8">
        <v>0.7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1"/>
    </row>
    <row r="559" spans="1:38" ht="13">
      <c r="A559" s="8" t="s">
        <v>1157</v>
      </c>
      <c r="B559" s="8" t="s">
        <v>70</v>
      </c>
      <c r="C559" s="9">
        <v>2</v>
      </c>
      <c r="D559" s="9">
        <v>1</v>
      </c>
      <c r="E559" s="9">
        <v>3</v>
      </c>
      <c r="F559" s="9">
        <v>33.299999999999997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9">
        <v>2</v>
      </c>
      <c r="M559" s="8">
        <v>4.8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1"/>
    </row>
    <row r="560" spans="1:38" ht="13">
      <c r="A560" s="8" t="s">
        <v>1159</v>
      </c>
      <c r="B560" s="8" t="s">
        <v>44</v>
      </c>
      <c r="C560" s="9">
        <v>2</v>
      </c>
      <c r="D560" s="9">
        <v>0</v>
      </c>
      <c r="E560" s="9">
        <v>2</v>
      </c>
      <c r="F560" s="9">
        <v>0</v>
      </c>
      <c r="G560" s="9">
        <v>1</v>
      </c>
      <c r="H560" s="8">
        <v>0</v>
      </c>
      <c r="I560" s="8">
        <v>2</v>
      </c>
      <c r="J560" s="8">
        <v>4</v>
      </c>
      <c r="K560" s="8">
        <v>50</v>
      </c>
      <c r="L560" s="9">
        <v>1</v>
      </c>
      <c r="M560" s="8">
        <v>-6.9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1"/>
    </row>
    <row r="561" spans="1:38" ht="13">
      <c r="A561" s="8" t="s">
        <v>1161</v>
      </c>
      <c r="B561" s="8" t="s">
        <v>46</v>
      </c>
      <c r="C561" s="8">
        <v>1</v>
      </c>
      <c r="D561" s="9">
        <v>0</v>
      </c>
      <c r="E561" s="9">
        <v>1</v>
      </c>
      <c r="F561" s="9">
        <v>0</v>
      </c>
      <c r="G561" s="9">
        <v>1</v>
      </c>
      <c r="H561" s="8">
        <v>0</v>
      </c>
      <c r="I561" s="8">
        <v>1</v>
      </c>
      <c r="J561" s="8">
        <v>2</v>
      </c>
      <c r="K561" s="8">
        <v>50</v>
      </c>
      <c r="L561" s="8">
        <v>0</v>
      </c>
      <c r="M561" s="8">
        <v>2.4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1"/>
    </row>
    <row r="562" spans="1:38" ht="13">
      <c r="A562" s="8" t="s">
        <v>1163</v>
      </c>
      <c r="B562" s="8" t="s">
        <v>84</v>
      </c>
      <c r="C562" s="8">
        <v>0</v>
      </c>
      <c r="D562" s="9">
        <v>0</v>
      </c>
      <c r="E562" s="9">
        <v>0</v>
      </c>
      <c r="F562" s="9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13.3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1"/>
    </row>
    <row r="563" spans="1:38" ht="13">
      <c r="A563" s="8" t="s">
        <v>1165</v>
      </c>
      <c r="B563" s="8" t="s">
        <v>82</v>
      </c>
      <c r="C563" s="8">
        <v>0</v>
      </c>
      <c r="D563" s="8">
        <v>0</v>
      </c>
      <c r="E563" s="8">
        <v>1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-8.6999999999999993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1"/>
    </row>
    <row r="564" spans="1:38" ht="13">
      <c r="A564" s="8" t="s">
        <v>1167</v>
      </c>
      <c r="B564" s="8" t="s">
        <v>56</v>
      </c>
      <c r="C564" s="8">
        <v>0</v>
      </c>
      <c r="D564" s="9">
        <v>0</v>
      </c>
      <c r="E564" s="9">
        <v>2</v>
      </c>
      <c r="F564" s="8">
        <v>0</v>
      </c>
      <c r="G564" s="9">
        <v>1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12.5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1"/>
    </row>
    <row r="565" spans="1:38" ht="13">
      <c r="A565" s="8" t="s">
        <v>1169</v>
      </c>
      <c r="B565" s="8" t="s">
        <v>46</v>
      </c>
      <c r="C565" s="8">
        <v>0</v>
      </c>
      <c r="D565" s="8">
        <v>0</v>
      </c>
      <c r="E565" s="8">
        <v>0</v>
      </c>
      <c r="F565" s="9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-4.3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1"/>
    </row>
    <row r="566" spans="1:38" ht="13">
      <c r="A566" s="8" t="s">
        <v>1171</v>
      </c>
      <c r="B566" s="8" t="s">
        <v>98</v>
      </c>
      <c r="C566" s="8">
        <v>0</v>
      </c>
      <c r="D566" s="9">
        <v>0</v>
      </c>
      <c r="E566" s="9">
        <v>2</v>
      </c>
      <c r="F566" s="9">
        <v>0</v>
      </c>
      <c r="G566" s="9">
        <v>1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1"/>
    </row>
    <row r="567" spans="1:38" ht="13">
      <c r="A567" s="8" t="s">
        <v>1173</v>
      </c>
      <c r="B567" s="8" t="s">
        <v>66</v>
      </c>
      <c r="C567" s="8">
        <v>0</v>
      </c>
      <c r="D567" s="9">
        <v>0</v>
      </c>
      <c r="E567" s="9">
        <v>2</v>
      </c>
      <c r="F567" s="9">
        <v>0</v>
      </c>
      <c r="G567" s="9">
        <v>1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1"/>
    </row>
    <row r="568" spans="1:38" ht="13">
      <c r="A568" s="8" t="s">
        <v>1175</v>
      </c>
      <c r="B568" s="8" t="s">
        <v>66</v>
      </c>
      <c r="C568" s="9">
        <v>0</v>
      </c>
      <c r="D568" s="8">
        <v>0</v>
      </c>
      <c r="E568" s="9">
        <v>1</v>
      </c>
      <c r="F568" s="9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9">
        <v>1</v>
      </c>
      <c r="M568" s="8">
        <v>4.3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1"/>
    </row>
    <row r="569" spans="1:38" ht="13">
      <c r="A569" s="8" t="s">
        <v>1177</v>
      </c>
      <c r="B569" s="8" t="s">
        <v>94</v>
      </c>
      <c r="C569" s="8">
        <v>0</v>
      </c>
      <c r="D569" s="9">
        <v>0</v>
      </c>
      <c r="E569" s="9">
        <v>1</v>
      </c>
      <c r="F569" s="8">
        <v>0</v>
      </c>
      <c r="G569" s="9">
        <v>1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3.9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1"/>
    </row>
    <row r="570" spans="1:38" ht="13">
      <c r="A570" s="8" t="s">
        <v>1179</v>
      </c>
      <c r="B570" s="8" t="s">
        <v>114</v>
      </c>
      <c r="C570" s="8">
        <v>0</v>
      </c>
      <c r="D570" s="8">
        <v>0</v>
      </c>
      <c r="E570" s="8">
        <v>0</v>
      </c>
      <c r="F570" s="9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11.4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1"/>
    </row>
  </sheetData>
  <conditionalFormatting sqref="F2:F16">
    <cfRule type="colorScale" priority="7">
      <colorScale>
        <cfvo type="min"/>
        <cfvo type="max"/>
        <color rgb="FFFCFCFF"/>
        <color rgb="FF63BE7B"/>
      </colorScale>
    </cfRule>
  </conditionalFormatting>
  <conditionalFormatting sqref="H2:H16">
    <cfRule type="colorScale" priority="6">
      <colorScale>
        <cfvo type="min"/>
        <cfvo type="max"/>
        <color rgb="FFFCFCFF"/>
        <color rgb="FF63BE7B"/>
      </colorScale>
    </cfRule>
  </conditionalFormatting>
  <conditionalFormatting sqref="K2:K16">
    <cfRule type="colorScale" priority="5">
      <colorScale>
        <cfvo type="min"/>
        <cfvo type="max"/>
        <color rgb="FFFCFCFF"/>
        <color rgb="FF63BE7B"/>
      </colorScale>
    </cfRule>
  </conditionalFormatting>
  <conditionalFormatting sqref="L2:L16">
    <cfRule type="colorScale" priority="4">
      <colorScale>
        <cfvo type="min"/>
        <cfvo type="max"/>
        <color rgb="FFFCFCFF"/>
        <color rgb="FF63BE7B"/>
      </colorScale>
    </cfRule>
  </conditionalFormatting>
  <conditionalFormatting sqref="M2:M16">
    <cfRule type="colorScale" priority="3">
      <colorScale>
        <cfvo type="min"/>
        <cfvo type="max"/>
        <color rgb="FFFCFCFF"/>
        <color rgb="FF63BE7B"/>
      </colorScale>
    </cfRule>
  </conditionalFormatting>
  <conditionalFormatting sqref="C2:C16">
    <cfRule type="colorScale" priority="2">
      <colorScale>
        <cfvo type="min"/>
        <cfvo type="max"/>
        <color rgb="FFFCFCFF"/>
        <color rgb="FF63BE7B"/>
      </colorScale>
    </cfRule>
  </conditionalFormatting>
  <conditionalFormatting sqref="D2:D16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A2" r:id="rId1" xr:uid="{12EDB99F-DD91-5C48-8005-B47001F8AA7B}"/>
    <hyperlink ref="B2" r:id="rId2" xr:uid="{40CBEE5E-0D6C-F448-9FE5-FECE526CCDC4}"/>
    <hyperlink ref="A3" r:id="rId3" xr:uid="{08E9EFB3-E679-EB47-9533-0498FF205CD4}"/>
    <hyperlink ref="B3" r:id="rId4" xr:uid="{14174176-0A86-3946-84D5-1B02FFE7E2F5}"/>
    <hyperlink ref="A4" r:id="rId5" xr:uid="{CFE3F23B-CE6E-3544-9C18-0AD912775F29}"/>
    <hyperlink ref="B4" r:id="rId6" xr:uid="{5F4FA9F9-C52F-874E-8F90-53CB61418402}"/>
    <hyperlink ref="A5" r:id="rId7" xr:uid="{B5EADA38-70DE-F145-848C-ED62CC6420E1}"/>
    <hyperlink ref="B5" r:id="rId8" xr:uid="{0B133C6E-7242-A64B-A8B0-0DFB2AE72740}"/>
    <hyperlink ref="A6" r:id="rId9" xr:uid="{3D2556C9-4D54-E744-B8B0-D046A79CC08D}"/>
    <hyperlink ref="B6" r:id="rId10" xr:uid="{A20F5012-A132-CE4C-9716-88C6EC399C69}"/>
    <hyperlink ref="A7" r:id="rId11" xr:uid="{3651823B-82BF-6B46-A5F2-2246A572DFC5}"/>
    <hyperlink ref="B7" r:id="rId12" xr:uid="{B14A575B-ABD8-E440-A764-2E8423625232}"/>
    <hyperlink ref="A8" r:id="rId13" xr:uid="{C795E656-A7DE-9B41-A6B1-D653C49BF849}"/>
    <hyperlink ref="B8" r:id="rId14" xr:uid="{E3585FB3-FD90-8948-A96B-D4C9428973AD}"/>
    <hyperlink ref="A9" r:id="rId15" xr:uid="{0517BC76-DA1A-BD4E-8B65-D21E7C4104FB}"/>
    <hyperlink ref="B9" r:id="rId16" xr:uid="{1A91E0E5-B0B7-4C40-85F3-A978FDE3F101}"/>
    <hyperlink ref="A10" r:id="rId17" xr:uid="{EB2B58E3-4257-9046-A501-96E1FED7ED3D}"/>
    <hyperlink ref="B10" r:id="rId18" xr:uid="{017AB701-0C4D-984B-A78D-9FA0B8D64AA9}"/>
    <hyperlink ref="A11" r:id="rId19" xr:uid="{5932E697-F5AC-4B4A-A9A7-F6D597846336}"/>
    <hyperlink ref="B11" r:id="rId20" xr:uid="{A0C64270-02C9-1B42-A3C3-B046359CA99A}"/>
    <hyperlink ref="A12" r:id="rId21" xr:uid="{521BBF97-645E-F042-8B9C-2242F8734182}"/>
    <hyperlink ref="B12" r:id="rId22" xr:uid="{FC198583-C99E-6F40-898D-AE666FDA9A8E}"/>
    <hyperlink ref="A13" r:id="rId23" xr:uid="{8A49B21B-8498-704D-8FCD-B047DF8F735B}"/>
    <hyperlink ref="B13" r:id="rId24" xr:uid="{B34F6A6C-D0FB-C848-B00F-026BFDB84F7D}"/>
    <hyperlink ref="A14" r:id="rId25" xr:uid="{8ECBFF71-5F43-0B42-A8BC-4407A3FA2D72}"/>
    <hyperlink ref="B14" r:id="rId26" xr:uid="{811F4290-A66E-B348-ABD9-2A96FFCBBEAA}"/>
    <hyperlink ref="A15" r:id="rId27" xr:uid="{4F7D83B3-2895-9E46-94D9-8D66D51AA83C}"/>
    <hyperlink ref="B15" r:id="rId28" xr:uid="{155B14DB-E5A8-6749-8BB1-D977FE8CECE9}"/>
    <hyperlink ref="A16" r:id="rId29" xr:uid="{CC720B96-27E9-994D-8ECB-C5EA90B9D36F}"/>
    <hyperlink ref="B16" r:id="rId30" xr:uid="{4D7A1553-56CA-E943-BAE9-60C14C731E6F}"/>
    <hyperlink ref="A17" r:id="rId31" xr:uid="{478E7A5D-B3D3-F34C-805E-E6BCB6A09844}"/>
    <hyperlink ref="B17" r:id="rId32" xr:uid="{C2041E56-955A-194C-A58D-A6516386669F}"/>
    <hyperlink ref="A18" r:id="rId33" xr:uid="{65581D0A-B220-524B-B438-1551CB3427A0}"/>
    <hyperlink ref="B18" r:id="rId34" xr:uid="{A91BC0ED-118B-8441-BBBB-36BCC1659A69}"/>
    <hyperlink ref="A19" r:id="rId35" xr:uid="{6C74E9B6-CDA5-0A4D-B0A0-4C9C8A7EE799}"/>
    <hyperlink ref="B19" r:id="rId36" xr:uid="{D9827EC7-A231-2F4F-8094-068874A3EE2A}"/>
    <hyperlink ref="A20" r:id="rId37" xr:uid="{BB4F64E5-119B-7D49-BBC3-767C1BADBF7E}"/>
    <hyperlink ref="B20" r:id="rId38" xr:uid="{8D30A5CB-66ED-B543-B5EA-769CED07DD9F}"/>
    <hyperlink ref="A21" r:id="rId39" xr:uid="{A9F92323-C2E6-A54A-B693-9F6559D86068}"/>
    <hyperlink ref="B21" r:id="rId40" xr:uid="{F2EF78D9-417F-F14C-B600-F34EFCCBEBE7}"/>
    <hyperlink ref="A22" r:id="rId41" xr:uid="{691DD15F-1748-D745-887D-C9DF0C53840D}"/>
    <hyperlink ref="B22" r:id="rId42" xr:uid="{5F180CF4-C2B1-B94C-BF40-F116EC0691C8}"/>
    <hyperlink ref="A23" r:id="rId43" xr:uid="{BF15AC8E-FD65-6842-B2AB-49B6C67CFC96}"/>
    <hyperlink ref="B23" r:id="rId44" xr:uid="{42BA4D7C-3D70-AD44-9661-87BE8EE62359}"/>
    <hyperlink ref="A24" r:id="rId45" xr:uid="{883CC4A9-98C8-C849-B02E-009F17748635}"/>
    <hyperlink ref="B24" r:id="rId46" xr:uid="{0649998D-57E3-4046-8D5F-989B23FE165D}"/>
    <hyperlink ref="A25" r:id="rId47" xr:uid="{14F3F121-1506-D04B-A31B-13B38DD41DCD}"/>
    <hyperlink ref="B25" r:id="rId48" xr:uid="{A2E9F994-5110-B840-AD95-4883ADDA4084}"/>
    <hyperlink ref="A26" r:id="rId49" xr:uid="{748D0309-8DA9-D744-922A-736A2BA18BD9}"/>
    <hyperlink ref="B26" r:id="rId50" xr:uid="{6F93E638-0E7B-C544-A535-F52F6DA0C44C}"/>
    <hyperlink ref="A27" r:id="rId51" xr:uid="{318AF563-E844-BE4A-AE85-269C9084F7B0}"/>
    <hyperlink ref="B27" r:id="rId52" xr:uid="{DD1CAA41-8536-DA43-A2AD-06B8D74E6B4A}"/>
    <hyperlink ref="A28" r:id="rId53" xr:uid="{13AFD177-6A39-D141-8D6A-71086D270EAF}"/>
    <hyperlink ref="B28" r:id="rId54" xr:uid="{74653E09-549E-ED44-A440-E5B12FA0A30D}"/>
    <hyperlink ref="A29" r:id="rId55" xr:uid="{CD48AF0E-5159-D24A-BF4B-579550EDE01C}"/>
    <hyperlink ref="B29" r:id="rId56" xr:uid="{9E942F38-D87F-0E40-B545-1E254A4E124F}"/>
    <hyperlink ref="A30" r:id="rId57" xr:uid="{8C34DFCE-8084-BC4F-8B21-71BA6A49EE4D}"/>
    <hyperlink ref="B30" r:id="rId58" xr:uid="{F0BDEE5E-18BC-DB4F-9F14-D6D70A8F011C}"/>
    <hyperlink ref="A31" r:id="rId59" xr:uid="{EDE0D5AF-4000-C940-B3D1-A1BA4D844D18}"/>
    <hyperlink ref="B31" r:id="rId60" xr:uid="{67830BFF-D015-EF4E-B710-D59F005571CA}"/>
    <hyperlink ref="A32" r:id="rId61" xr:uid="{0C80E5D0-7AD7-2E4B-B0BD-4D879235B1F6}"/>
    <hyperlink ref="B32" r:id="rId62" xr:uid="{072E2398-D950-4C46-87CE-3B5156204DC6}"/>
    <hyperlink ref="A33" r:id="rId63" xr:uid="{F936374F-3F27-1E46-8D2F-8248FF08AFE7}"/>
    <hyperlink ref="B33" r:id="rId64" xr:uid="{34FF2CB0-316E-B647-9A96-EE0F3177173F}"/>
    <hyperlink ref="A34" r:id="rId65" xr:uid="{FA84C02D-3CE5-0342-8B35-7E45222E52E6}"/>
    <hyperlink ref="B34" r:id="rId66" xr:uid="{E0EFBF87-6A0B-5D46-B1B4-387EC8707199}"/>
    <hyperlink ref="A35" r:id="rId67" xr:uid="{4D7B9C95-77E1-4D42-983F-4C13FD481B49}"/>
    <hyperlink ref="B35" r:id="rId68" xr:uid="{0921E141-1DC2-8E4F-AF33-0E7DB3D8BD3B}"/>
    <hyperlink ref="A36" r:id="rId69" xr:uid="{FBBFDC47-F1A6-9240-A94E-96571CBA60FE}"/>
    <hyperlink ref="B36" r:id="rId70" xr:uid="{F6908873-2F50-AC43-A890-D727D73D82AE}"/>
    <hyperlink ref="A37" r:id="rId71" xr:uid="{B8874123-0465-4F48-BEEC-62853ECAB68C}"/>
    <hyperlink ref="B37" r:id="rId72" xr:uid="{6F2C45C7-2419-8246-87F0-D688741807EE}"/>
    <hyperlink ref="A38" r:id="rId73" xr:uid="{F63DC446-0C0E-E24B-8DCA-CCDFC8A819D7}"/>
    <hyperlink ref="B38" r:id="rId74" xr:uid="{F103634E-E994-3349-ABA2-D3D4D8235885}"/>
    <hyperlink ref="A39" r:id="rId75" xr:uid="{4A677247-2EA8-FA47-8E60-D611A20FDC79}"/>
    <hyperlink ref="B39" r:id="rId76" xr:uid="{37B73848-1A52-9B4D-B6B7-DD736407D87E}"/>
    <hyperlink ref="A40" r:id="rId77" xr:uid="{DD7AAAA4-1E5F-434A-846B-B97FC5DDFC88}"/>
    <hyperlink ref="B40" r:id="rId78" xr:uid="{36EAE72B-AD4E-B24A-9025-D0F4067E4C90}"/>
    <hyperlink ref="A41" r:id="rId79" xr:uid="{77584826-CE8A-C940-984A-23708DAA0B47}"/>
    <hyperlink ref="B41" r:id="rId80" xr:uid="{74965322-E8D6-B24A-8685-230E5DA3FC92}"/>
    <hyperlink ref="A42" r:id="rId81" xr:uid="{6EC437EF-6D62-374E-BBE8-7E557DFC4B14}"/>
    <hyperlink ref="B42" r:id="rId82" xr:uid="{1AD181EE-3AA2-C245-8ABB-51805F7D67D1}"/>
    <hyperlink ref="A43" r:id="rId83" xr:uid="{D8E27B23-6B0A-F44E-894A-D7EAE5BA8B07}"/>
    <hyperlink ref="B43" r:id="rId84" xr:uid="{71C5EA9A-4CE1-994F-B0F6-D002277DB5C8}"/>
    <hyperlink ref="A44" r:id="rId85" xr:uid="{65ECFD9C-81E3-2A4A-8080-A2243CE22778}"/>
    <hyperlink ref="B44" r:id="rId86" xr:uid="{013C56FA-2ADB-5B4E-9A51-9F9A6853A382}"/>
    <hyperlink ref="A45" r:id="rId87" xr:uid="{F0658BEE-4108-3944-8F21-1FE9950BFA9E}"/>
    <hyperlink ref="B45" r:id="rId88" xr:uid="{31A06BE5-8B84-DB4A-9FC9-CB08274121BA}"/>
    <hyperlink ref="A46" r:id="rId89" xr:uid="{268B5C24-93FA-E340-A531-D1EE7512B285}"/>
    <hyperlink ref="B46" r:id="rId90" xr:uid="{1745FAAE-26A8-0243-971F-91E0A1CD9871}"/>
    <hyperlink ref="A47" r:id="rId91" xr:uid="{5CE2663F-1EEA-D94D-A2C3-6B91E3ACB309}"/>
    <hyperlink ref="B47" r:id="rId92" xr:uid="{5F5C76D2-2F79-284B-9D9B-B48E9F1B2419}"/>
    <hyperlink ref="A48" r:id="rId93" xr:uid="{8E3C8E35-855A-1341-BA9B-B59E11F5B811}"/>
    <hyperlink ref="B48" r:id="rId94" xr:uid="{46628D8B-9E9E-6941-81B4-35973AE7CF6C}"/>
    <hyperlink ref="A49" r:id="rId95" xr:uid="{9B3879D0-D58C-0A43-A782-5A85ED4556F4}"/>
    <hyperlink ref="B49" r:id="rId96" xr:uid="{8B732770-D6D2-C744-82BF-378407C06D36}"/>
    <hyperlink ref="A50" r:id="rId97" xr:uid="{3F9E7B05-6509-F44D-A09F-88B9CBBC6B3C}"/>
    <hyperlink ref="B50" r:id="rId98" xr:uid="{6538532F-7DC7-5F4A-892C-8D887115BBE5}"/>
    <hyperlink ref="A51" r:id="rId99" xr:uid="{FBC69AB2-F47F-D245-9AFD-C6B8C35BD131}"/>
    <hyperlink ref="B51" r:id="rId100" xr:uid="{7BEE175F-C23E-FB44-9A0C-91311F5E4B97}"/>
    <hyperlink ref="A52" r:id="rId101" xr:uid="{2A586D52-2DD9-424D-AC60-FDE76E26F48A}"/>
    <hyperlink ref="B52" r:id="rId102" xr:uid="{876CD7A5-A073-0B4A-B9FA-E485975E6557}"/>
    <hyperlink ref="A53" r:id="rId103" xr:uid="{4D8DDEE4-B9A8-DC40-BC9B-28CB347C325D}"/>
    <hyperlink ref="B53" r:id="rId104" xr:uid="{851FBB45-5426-7E40-B758-0C4D3C31E5AC}"/>
    <hyperlink ref="A54" r:id="rId105" xr:uid="{985D0244-9CBE-5C47-94F9-BC67F444292F}"/>
    <hyperlink ref="B54" r:id="rId106" xr:uid="{60C24F09-1F54-BE43-ACB3-2AD73EAAF757}"/>
    <hyperlink ref="A55" r:id="rId107" xr:uid="{8443B74B-76D8-0B4D-8C64-1FCFD58CA63F}"/>
    <hyperlink ref="B55" r:id="rId108" xr:uid="{A52E891C-BA1A-9646-8DB9-6460357DA709}"/>
    <hyperlink ref="A56" r:id="rId109" xr:uid="{C6E473F4-435D-6D4E-B4F1-DB6574445D06}"/>
    <hyperlink ref="B56" r:id="rId110" xr:uid="{CEBBAC92-9C52-414C-8772-ACFD8EAC9DA6}"/>
    <hyperlink ref="A57" r:id="rId111" xr:uid="{B64BFB31-5294-9549-A5EE-8578F4DDEF2B}"/>
    <hyperlink ref="B57" r:id="rId112" xr:uid="{29B26C07-61E7-614E-BC2C-FD9A4E46A3EA}"/>
    <hyperlink ref="A58" r:id="rId113" xr:uid="{D3EDF41B-6544-A146-ABAA-0E12DA5D898F}"/>
    <hyperlink ref="B58" r:id="rId114" xr:uid="{92C7434C-46ED-574C-AF26-F2DBB4770EA1}"/>
    <hyperlink ref="A59" r:id="rId115" xr:uid="{1E3C5ED9-5A90-F640-A9E8-F9E63A8F5AF9}"/>
    <hyperlink ref="B59" r:id="rId116" xr:uid="{299EA240-BF01-B844-A0F5-8381E0563D3D}"/>
    <hyperlink ref="A60" r:id="rId117" xr:uid="{3221C7B2-A465-5245-A854-C1AC672F366D}"/>
    <hyperlink ref="B60" r:id="rId118" xr:uid="{5088520F-DDD3-AE42-A4C4-51EFE07F39AA}"/>
    <hyperlink ref="A61" r:id="rId119" xr:uid="{490AAC15-A895-544D-B17E-F5A48396C702}"/>
    <hyperlink ref="B61" r:id="rId120" xr:uid="{B5959E06-0AD1-D446-B01C-309C1F8B567E}"/>
    <hyperlink ref="A62" r:id="rId121" xr:uid="{700376C7-14C6-D246-86D0-27A66793D78F}"/>
    <hyperlink ref="B62" r:id="rId122" xr:uid="{A54D86D8-87AA-0945-A081-13D135669F63}"/>
    <hyperlink ref="A63" r:id="rId123" xr:uid="{E5DC3238-E190-A44A-BDB5-C5AEFF02B211}"/>
    <hyperlink ref="B63" r:id="rId124" xr:uid="{7FFAC093-E526-6942-AF61-94F38F50C61F}"/>
    <hyperlink ref="A64" r:id="rId125" xr:uid="{541D20B6-BE6A-0043-BCCA-7FB1E2ED9963}"/>
    <hyperlink ref="B64" r:id="rId126" xr:uid="{E8AF1F43-70BD-394F-9374-FAD6F25919D4}"/>
    <hyperlink ref="A65" r:id="rId127" xr:uid="{B4D035C0-2D85-BF48-A92B-CBFC74E55E41}"/>
    <hyperlink ref="B65" r:id="rId128" xr:uid="{5142691A-4C5D-9241-B383-F27A63CF23A1}"/>
    <hyperlink ref="A66" r:id="rId129" xr:uid="{F897F3BE-41BA-C748-B230-CF3EFD2B0B2F}"/>
    <hyperlink ref="B66" r:id="rId130" xr:uid="{2940103A-78A3-A94E-B9D4-20EFD9A643CF}"/>
    <hyperlink ref="A67" r:id="rId131" xr:uid="{96CB14EF-AB6E-2644-BDE9-8C3150809C13}"/>
    <hyperlink ref="B67" r:id="rId132" xr:uid="{A306FB46-3008-D345-88B9-6E09748864B3}"/>
    <hyperlink ref="A68" r:id="rId133" xr:uid="{17869CE9-2643-DB43-A68C-9D1DB6D341FB}"/>
    <hyperlink ref="B68" r:id="rId134" xr:uid="{9C0B8AC8-3902-744A-AFA6-F20078E4FC17}"/>
    <hyperlink ref="A69" r:id="rId135" xr:uid="{5FD40FE9-7CB2-F747-95B6-74CCC333DE89}"/>
    <hyperlink ref="B69" r:id="rId136" xr:uid="{99DFEDF2-A27F-DB43-8B18-E443D7F82F24}"/>
    <hyperlink ref="A70" r:id="rId137" xr:uid="{77578774-CAA3-A240-8F21-89226C64E624}"/>
    <hyperlink ref="B70" r:id="rId138" xr:uid="{5B93AC56-C4F9-1745-8BE2-16E82373D8C2}"/>
    <hyperlink ref="A71" r:id="rId139" xr:uid="{516BECE4-FB99-D041-A8C2-6FD3AA353182}"/>
    <hyperlink ref="B71" r:id="rId140" xr:uid="{CB196D81-FE32-D043-A5F1-DF1B09EE0008}"/>
    <hyperlink ref="A72" r:id="rId141" xr:uid="{6E2FF86D-A1EC-2C4E-84CE-0E982343BC90}"/>
    <hyperlink ref="B72" r:id="rId142" xr:uid="{B099A969-A1AC-EF4C-B6D0-CAB7445FB31F}"/>
    <hyperlink ref="A73" r:id="rId143" xr:uid="{EE6B5FCC-5F80-E646-AAAB-788BE8E68B94}"/>
    <hyperlink ref="B73" r:id="rId144" xr:uid="{6FD22592-AFF2-8842-ACA8-2F8B38365FF3}"/>
    <hyperlink ref="A74" r:id="rId145" xr:uid="{5B38D01D-D606-8D4E-87E0-88C276F193D8}"/>
    <hyperlink ref="B74" r:id="rId146" xr:uid="{D99B628E-9DAF-6D45-90EF-2F554055F8DB}"/>
    <hyperlink ref="A75" r:id="rId147" xr:uid="{D41F57E5-EA13-2349-9AF8-42DC6DE84DB9}"/>
    <hyperlink ref="B75" r:id="rId148" xr:uid="{4CC33920-6A0E-D844-9824-35600091375B}"/>
    <hyperlink ref="A76" r:id="rId149" xr:uid="{911315AF-E05A-7D41-B32E-D7B5EE7697F3}"/>
    <hyperlink ref="B76" r:id="rId150" xr:uid="{47FAD99C-E7F2-A94A-8C48-2E207E2B8D5A}"/>
    <hyperlink ref="A77" r:id="rId151" xr:uid="{9B80862B-FC2E-F44E-843D-AFFD3A9A75EB}"/>
    <hyperlink ref="B77" r:id="rId152" xr:uid="{CBD54FBE-8194-C64F-98EE-8F281D197443}"/>
    <hyperlink ref="A78" r:id="rId153" xr:uid="{6AF1ED6D-E758-7D49-89B0-91465FD1CED4}"/>
    <hyperlink ref="B78" r:id="rId154" xr:uid="{27B89B75-35D5-CD4C-BE3B-056E8E6FC64E}"/>
    <hyperlink ref="A79" r:id="rId155" xr:uid="{0E636888-2A76-4149-8633-0D03FDD3EA1C}"/>
    <hyperlink ref="B79" r:id="rId156" xr:uid="{ED578A14-BBC3-6F47-BFA6-23792A401804}"/>
    <hyperlink ref="A80" r:id="rId157" xr:uid="{19098D58-625F-8940-B2E7-44B73D115A67}"/>
    <hyperlink ref="B80" r:id="rId158" xr:uid="{9129919A-BFA1-5349-9539-0670F568FB6B}"/>
    <hyperlink ref="A81" r:id="rId159" xr:uid="{D274CC5B-2E5F-F445-840F-DAA7FE1F756C}"/>
    <hyperlink ref="B81" r:id="rId160" xr:uid="{1B37DE23-3B27-5C49-ACC6-3DB1D70AE29F}"/>
    <hyperlink ref="A82" r:id="rId161" xr:uid="{EBBE0FC1-C8B6-9147-A09C-4957432E0CB5}"/>
    <hyperlink ref="B82" r:id="rId162" xr:uid="{6DAA209C-7FAC-E54C-9F8F-912AF1C6D2E9}"/>
    <hyperlink ref="A83" r:id="rId163" xr:uid="{86242408-1C1F-7440-9743-9743531A90BC}"/>
    <hyperlink ref="B83" r:id="rId164" xr:uid="{3228F97C-8324-BD47-A8E3-601E92B4E337}"/>
    <hyperlink ref="A84" r:id="rId165" xr:uid="{F12E0ECB-117E-404A-B095-0511D5383820}"/>
    <hyperlink ref="B84" r:id="rId166" xr:uid="{E4661E8F-A439-5947-8D51-E404F213514A}"/>
    <hyperlink ref="A85" r:id="rId167" xr:uid="{9574C75B-490E-E943-9675-863991A35168}"/>
    <hyperlink ref="B85" r:id="rId168" xr:uid="{415E9A8C-DB90-324B-8A45-28C77B2B286B}"/>
    <hyperlink ref="A86" r:id="rId169" xr:uid="{4FFD0469-7F41-7847-A32B-001EE8EE9A6D}"/>
    <hyperlink ref="B86" r:id="rId170" xr:uid="{A555C16B-D64A-434A-A3C4-B271F8F58EE5}"/>
    <hyperlink ref="A87" r:id="rId171" xr:uid="{921FD258-03E8-2A45-BB1B-1529D0C81B59}"/>
    <hyperlink ref="B87" r:id="rId172" xr:uid="{E5AC67B9-3AA6-0548-89D1-76965F30B02E}"/>
    <hyperlink ref="A88" r:id="rId173" xr:uid="{733865E6-7733-EE45-AB4F-43D6C1D09BD2}"/>
    <hyperlink ref="B88" r:id="rId174" xr:uid="{243ECA05-49F6-D246-AD83-53E99848B808}"/>
    <hyperlink ref="A89" r:id="rId175" xr:uid="{504CE4AA-8371-B049-8644-3AF1B27BC73A}"/>
    <hyperlink ref="B89" r:id="rId176" xr:uid="{81B39BE1-BEC7-104E-9006-8E88146C2256}"/>
    <hyperlink ref="A90" r:id="rId177" xr:uid="{A0F92F2A-4F32-6249-A0D1-75297C9AC4EB}"/>
    <hyperlink ref="B90" r:id="rId178" xr:uid="{17025663-3C3E-6A46-A2AE-BEFF4CE6F179}"/>
    <hyperlink ref="A91" r:id="rId179" xr:uid="{C98B15F1-C532-1C40-9C34-541ECB103752}"/>
    <hyperlink ref="B91" r:id="rId180" xr:uid="{8831FD06-0ABB-0843-A950-A27E43BF5714}"/>
    <hyperlink ref="A92" r:id="rId181" xr:uid="{DA137FF6-116D-F246-BC11-5D48E692F149}"/>
    <hyperlink ref="B92" r:id="rId182" xr:uid="{3C9674F9-4A02-4D48-807C-F9B20183EA2C}"/>
    <hyperlink ref="A93" r:id="rId183" xr:uid="{B0A4DACF-7137-E847-BC19-58258C00ED90}"/>
    <hyperlink ref="B93" r:id="rId184" xr:uid="{3028423D-B057-3E4F-8EF8-3FAF4E2829FE}"/>
    <hyperlink ref="A94" r:id="rId185" xr:uid="{B8EA5C15-A615-0C4C-B66F-0B0176546645}"/>
    <hyperlink ref="B94" r:id="rId186" xr:uid="{7429DC40-FD26-024E-8340-8CF050A58E58}"/>
    <hyperlink ref="A95" r:id="rId187" xr:uid="{F4D82233-D088-6646-8008-317EF0A7D83B}"/>
    <hyperlink ref="B95" r:id="rId188" xr:uid="{7007B50D-CF7C-434F-8E69-5A1714E5BFD0}"/>
    <hyperlink ref="A96" r:id="rId189" xr:uid="{E90E8C01-8A3D-0E4D-9A24-E11D77FF4ADE}"/>
    <hyperlink ref="B96" r:id="rId190" xr:uid="{6E4DD3E3-7348-4943-9274-2A11BD9FB5FA}"/>
    <hyperlink ref="A97" r:id="rId191" xr:uid="{DC8027C9-397A-314B-9BBD-2BD1B769A22E}"/>
    <hyperlink ref="B97" r:id="rId192" xr:uid="{CDAE7F2F-B4E7-3D44-B6B4-115A74C6CE01}"/>
    <hyperlink ref="A98" r:id="rId193" xr:uid="{FD332BA5-67B7-B445-BEA5-2B14759D9CFD}"/>
    <hyperlink ref="B98" r:id="rId194" xr:uid="{890494B8-F2CA-E146-B7F9-F2C0544654C9}"/>
    <hyperlink ref="A99" r:id="rId195" xr:uid="{7B78293C-AF22-AD4A-8C0C-C93E3081945B}"/>
    <hyperlink ref="B99" r:id="rId196" xr:uid="{E81984B2-9977-AC47-9444-C1DA5536D945}"/>
    <hyperlink ref="A100" r:id="rId197" xr:uid="{280F907B-1486-5F4B-AA32-EB3BF787B068}"/>
    <hyperlink ref="B100" r:id="rId198" xr:uid="{B19E49DB-E960-7D4B-8702-FBD960FE1E54}"/>
    <hyperlink ref="A101" r:id="rId199" xr:uid="{D807B63C-E053-DE47-A03A-56A91A0FD2C1}"/>
    <hyperlink ref="B101" r:id="rId200" xr:uid="{181BD8EC-1B05-CE4B-BE12-19B4401B2ACA}"/>
    <hyperlink ref="A102" r:id="rId201" xr:uid="{D9CDFBB7-7F46-C640-861D-FD937AEC063B}"/>
    <hyperlink ref="B102" r:id="rId202" xr:uid="{4109AA06-70E7-C249-9F3D-1A5CF0727EA4}"/>
    <hyperlink ref="A103" r:id="rId203" xr:uid="{679177F8-283E-4F41-9DCF-4DAD982FBF4D}"/>
    <hyperlink ref="B103" r:id="rId204" xr:uid="{D521FBAA-F57F-3E49-B564-27B37EF8E67E}"/>
    <hyperlink ref="A104" r:id="rId205" xr:uid="{EDE56CD1-6B5B-7549-B201-614EAA6AF8AC}"/>
    <hyperlink ref="B104" r:id="rId206" xr:uid="{24C0F426-C5CA-414C-9DF3-061AF9B27341}"/>
    <hyperlink ref="A105" r:id="rId207" xr:uid="{E5399C24-16B0-9C45-ADD4-A07CD8204872}"/>
    <hyperlink ref="B105" r:id="rId208" xr:uid="{679C030B-76D7-EA4F-8842-DFB33EAC92E6}"/>
    <hyperlink ref="A106" r:id="rId209" xr:uid="{9A105E10-282A-634E-B679-3AA384A35BD7}"/>
    <hyperlink ref="B106" r:id="rId210" xr:uid="{2271EDC3-A4C3-9945-8EB3-2B297489308F}"/>
    <hyperlink ref="A107" r:id="rId211" xr:uid="{3336DA7F-FF62-5E42-AB29-6CD3EAD9D11D}"/>
    <hyperlink ref="B107" r:id="rId212" xr:uid="{B58316BC-5E9E-1D4C-943A-A45C2D81AD76}"/>
    <hyperlink ref="A108" r:id="rId213" xr:uid="{4A663DC3-FD4C-7E4A-874B-BE9122C00FC8}"/>
    <hyperlink ref="B108" r:id="rId214" xr:uid="{1C97B59C-FD8E-C34A-9DC5-E168563D1135}"/>
    <hyperlink ref="A109" r:id="rId215" xr:uid="{2BC3CFDB-B3D5-4A4B-A3D0-BACB66D575FA}"/>
    <hyperlink ref="B109" r:id="rId216" xr:uid="{CA347281-41F4-4A4C-8179-7641A874E649}"/>
    <hyperlink ref="A110" r:id="rId217" xr:uid="{65D4AB2E-D25A-6244-823E-5DB99808A75A}"/>
    <hyperlink ref="B110" r:id="rId218" xr:uid="{FE6FFA6A-4023-084F-84B1-0E918C7AB207}"/>
    <hyperlink ref="A111" r:id="rId219" xr:uid="{5B9432AF-0E1B-E944-89DF-2CD298415C3D}"/>
    <hyperlink ref="B111" r:id="rId220" xr:uid="{9B75090A-C69E-024E-B496-E9EF4A00AA08}"/>
    <hyperlink ref="A112" r:id="rId221" xr:uid="{54624703-218B-B14B-8053-E3287FFC5515}"/>
    <hyperlink ref="B112" r:id="rId222" xr:uid="{3CC0ECCE-6D11-C04B-B1AC-405D9B9D25DE}"/>
    <hyperlink ref="A113" r:id="rId223" xr:uid="{3185AE13-4C15-D848-AFFF-71306227556A}"/>
    <hyperlink ref="B113" r:id="rId224" xr:uid="{BB1F5C98-90A6-B14B-8A42-7DFBBA4A98B3}"/>
    <hyperlink ref="A114" r:id="rId225" xr:uid="{3489A787-DFA8-B84B-AB57-1D8F53AEE97E}"/>
    <hyperlink ref="B114" r:id="rId226" xr:uid="{2FB45572-2553-D940-9927-067745DB1FAA}"/>
    <hyperlink ref="A115" r:id="rId227" xr:uid="{986C5A64-E741-D94B-AE9E-45F7A5B2A603}"/>
    <hyperlink ref="B115" r:id="rId228" xr:uid="{1129E428-763A-4E45-9E11-5FE5055A43FE}"/>
    <hyperlink ref="A116" r:id="rId229" xr:uid="{FF85559E-E58C-C14C-A863-42B7EBEAA322}"/>
    <hyperlink ref="B116" r:id="rId230" xr:uid="{3085716D-DBF9-5E49-8672-B70F6DB10254}"/>
    <hyperlink ref="A117" r:id="rId231" xr:uid="{5A1EF54C-43DE-E247-B47F-FB3E9D6048D7}"/>
    <hyperlink ref="B117" r:id="rId232" xr:uid="{702FC4EB-34BD-AE4C-84B1-680B8DBA510E}"/>
    <hyperlink ref="A118" r:id="rId233" xr:uid="{45E0D5C8-9764-5D41-BD71-F643BB4F787F}"/>
    <hyperlink ref="B118" r:id="rId234" xr:uid="{94BA2105-BC60-274D-8907-931B9C648A5F}"/>
    <hyperlink ref="A119" r:id="rId235" xr:uid="{2A7127CA-8C56-B745-B8BB-49F881F98175}"/>
    <hyperlink ref="B119" r:id="rId236" xr:uid="{34D1E230-A09E-6D49-9BC6-D9C621786CAF}"/>
    <hyperlink ref="A120" r:id="rId237" xr:uid="{98BD4E4F-6FF9-5F4C-BFFF-8F606547E28E}"/>
    <hyperlink ref="B120" r:id="rId238" xr:uid="{61C7DA31-5EF6-4D4A-8C2E-D49611E818CF}"/>
    <hyperlink ref="A121" r:id="rId239" xr:uid="{CF2E6305-87B8-CE47-BC6F-62890B2ABE77}"/>
    <hyperlink ref="B121" r:id="rId240" xr:uid="{9943266D-AB30-114E-B41B-9F4863BDCDA3}"/>
    <hyperlink ref="A122" r:id="rId241" xr:uid="{A7D0E55B-A83F-4E4B-BFEE-050D264E0E77}"/>
    <hyperlink ref="B122" r:id="rId242" xr:uid="{746AC3A8-B920-1C4A-9A69-083B04DD628F}"/>
    <hyperlink ref="A123" r:id="rId243" xr:uid="{DC6D6C92-CBB4-9740-A666-E8D32CA0A989}"/>
    <hyperlink ref="B123" r:id="rId244" xr:uid="{2D8225FE-1C34-104B-A076-BD75D16CF0CD}"/>
    <hyperlink ref="A124" r:id="rId245" xr:uid="{C70973E3-7583-5341-8B25-B86354BD76E5}"/>
    <hyperlink ref="B124" r:id="rId246" xr:uid="{0858753E-2CB7-C24D-9AE6-C4CA64673655}"/>
    <hyperlink ref="A125" r:id="rId247" xr:uid="{CA0DC14C-A549-1241-9D14-F4F608856F0F}"/>
    <hyperlink ref="B125" r:id="rId248" xr:uid="{0CD456EC-F24C-3B43-A970-0C9D595BA976}"/>
    <hyperlink ref="A126" r:id="rId249" xr:uid="{63B26FA2-708B-1B40-9139-94FB5C3F00B4}"/>
    <hyperlink ref="B126" r:id="rId250" xr:uid="{39999813-9D7F-E34A-AE7F-76EFDC132FFE}"/>
    <hyperlink ref="A127" r:id="rId251" xr:uid="{D61FA901-58DA-DF4A-9945-1F4BF87D0317}"/>
    <hyperlink ref="B127" r:id="rId252" xr:uid="{D72C78BA-904C-894A-BB83-4FA0E8DB6A71}"/>
    <hyperlink ref="A128" r:id="rId253" xr:uid="{E373EA28-A927-884D-88E7-63496EC71A7E}"/>
    <hyperlink ref="B128" r:id="rId254" xr:uid="{D49EC200-C75F-844E-B637-1933D1E2040D}"/>
    <hyperlink ref="A129" r:id="rId255" xr:uid="{9B51C781-30D0-C14E-BDF9-79E4E308D133}"/>
    <hyperlink ref="B129" r:id="rId256" xr:uid="{F48B307B-8F0F-9A44-9F59-6FCA73FC59C8}"/>
    <hyperlink ref="A130" r:id="rId257" xr:uid="{6E30B38C-F803-EF40-9B26-DB3FBCA7DCC3}"/>
    <hyperlink ref="B130" r:id="rId258" xr:uid="{03E897FD-8D57-9F40-92C5-6B05E8DB0306}"/>
    <hyperlink ref="A131" r:id="rId259" xr:uid="{9F5BDE74-2A2F-C947-A7F8-2F8CAA118D58}"/>
    <hyperlink ref="B131" r:id="rId260" xr:uid="{05714354-38EC-BE42-BCB1-EEA507EF7DB9}"/>
    <hyperlink ref="A132" r:id="rId261" xr:uid="{023E4618-F3DE-634D-B7F7-355031AE7D05}"/>
    <hyperlink ref="B132" r:id="rId262" xr:uid="{9A7ADF61-76E3-FE49-9858-02C535639901}"/>
    <hyperlink ref="A133" r:id="rId263" xr:uid="{B0764E8C-8CA7-3F40-B941-1CD05CC35BA3}"/>
    <hyperlink ref="B133" r:id="rId264" xr:uid="{8E7FBA0D-7947-EB44-8563-FAD90375725D}"/>
    <hyperlink ref="A134" r:id="rId265" xr:uid="{22E697D5-4C31-2F43-A00B-BB07CEE96262}"/>
    <hyperlink ref="B134" r:id="rId266" xr:uid="{0868E72B-1D06-3F4A-8F91-119D86C10023}"/>
    <hyperlink ref="A135" r:id="rId267" xr:uid="{D0C22CA3-F9E6-8041-837D-9CA0ACED1BCC}"/>
    <hyperlink ref="B135" r:id="rId268" xr:uid="{089A040F-16E5-6B41-A6D4-3476D036A4A7}"/>
    <hyperlink ref="A136" r:id="rId269" xr:uid="{114AF4DC-55E9-9B46-98E0-94B78DF2997D}"/>
    <hyperlink ref="B136" r:id="rId270" xr:uid="{1F6981D4-4FDC-EA4C-8348-23EF4CBD49CB}"/>
    <hyperlink ref="A137" r:id="rId271" xr:uid="{DF6C0386-EC68-1241-8D8E-0DF079E6ECAB}"/>
    <hyperlink ref="B137" r:id="rId272" xr:uid="{4A3C5FB2-6CF0-C340-AB67-E6E24B9B0DA0}"/>
    <hyperlink ref="A138" r:id="rId273" xr:uid="{BBFB5993-8EC2-6C46-8C26-2426C8928AC4}"/>
    <hyperlink ref="B138" r:id="rId274" xr:uid="{42418918-5D2C-7D4D-A0FA-98C2F2757A4D}"/>
    <hyperlink ref="A139" r:id="rId275" xr:uid="{1D2FB5B8-FF7E-F549-A9B3-94A5C64155AE}"/>
    <hyperlink ref="B139" r:id="rId276" xr:uid="{1963CC3C-33A0-A646-AF7D-F04210F53BCC}"/>
    <hyperlink ref="A140" r:id="rId277" xr:uid="{CF80EEB5-59FA-3C47-92C8-3D6C4CBE8275}"/>
    <hyperlink ref="B140" r:id="rId278" xr:uid="{E0A769A4-48C9-834A-901E-C015A1A0F166}"/>
    <hyperlink ref="A141" r:id="rId279" xr:uid="{27C453C6-B089-7E44-8714-B151445B53B6}"/>
    <hyperlink ref="B141" r:id="rId280" xr:uid="{2384B3E7-B92D-764B-A973-8E18F20F8A46}"/>
    <hyperlink ref="A142" r:id="rId281" xr:uid="{5AF2832C-518B-D74B-BF62-3EA37BD0FFA1}"/>
    <hyperlink ref="B142" r:id="rId282" xr:uid="{C0D484AD-B478-4442-87BC-0862AE9B95C2}"/>
    <hyperlink ref="A143" r:id="rId283" xr:uid="{4FB5A6B5-7186-1742-A06F-C5332BD92563}"/>
    <hyperlink ref="B143" r:id="rId284" xr:uid="{C5FEF6E8-57A8-2445-A383-F310F883F8AF}"/>
    <hyperlink ref="A144" r:id="rId285" xr:uid="{147271FB-DDC0-6442-A3D3-98CB83728CE0}"/>
    <hyperlink ref="B144" r:id="rId286" xr:uid="{67A95D89-7AF3-FB4F-A37C-A9C569927A1E}"/>
    <hyperlink ref="A145" r:id="rId287" xr:uid="{E564ADE8-639A-5846-B23A-73D62A814FE2}"/>
    <hyperlink ref="B145" r:id="rId288" xr:uid="{F17B4290-3735-974B-B172-25AF5C5ED701}"/>
    <hyperlink ref="A146" r:id="rId289" xr:uid="{3D3AA9F1-19AA-7E48-A05E-3F60A5554BF3}"/>
    <hyperlink ref="B146" r:id="rId290" xr:uid="{0A471B35-67DA-D145-B82F-6975577FA223}"/>
    <hyperlink ref="A147" r:id="rId291" xr:uid="{A6314A1F-1436-124D-A3A4-338654CD6820}"/>
    <hyperlink ref="B147" r:id="rId292" xr:uid="{171A9C05-25B4-2148-BD84-36D776848900}"/>
    <hyperlink ref="A148" r:id="rId293" xr:uid="{E176C950-A974-DC44-8422-D74833D7F73B}"/>
    <hyperlink ref="B148" r:id="rId294" xr:uid="{32ACA504-D586-9447-9CCB-094ED69A9C98}"/>
    <hyperlink ref="A149" r:id="rId295" xr:uid="{5A195B67-403C-0B4E-AD32-367B4FAB26B7}"/>
    <hyperlink ref="B149" r:id="rId296" xr:uid="{A2A4348A-FA96-0640-9F42-6ACF20986801}"/>
    <hyperlink ref="A150" r:id="rId297" xr:uid="{739AB8FE-38B1-3649-8650-A6B0386E806F}"/>
    <hyperlink ref="B150" r:id="rId298" xr:uid="{939B95D0-778C-CB49-888D-C8DD8085EB83}"/>
    <hyperlink ref="A151" r:id="rId299" xr:uid="{14F7D047-32C0-4F4F-B480-553C9BD69C17}"/>
    <hyperlink ref="B151" r:id="rId300" xr:uid="{896B7433-5154-0C4F-B484-E3B6C7358C77}"/>
    <hyperlink ref="A152" r:id="rId301" xr:uid="{659A4171-8310-614B-8414-3EC00815C9B7}"/>
    <hyperlink ref="B152" r:id="rId302" xr:uid="{26BAA968-5650-874F-B3AF-1DE3E041D8E6}"/>
    <hyperlink ref="A153" r:id="rId303" xr:uid="{91091197-BB50-E046-99E2-4B86FDDC93D9}"/>
    <hyperlink ref="B153" r:id="rId304" xr:uid="{796396F1-89AA-7F4C-AD28-2A1DE7849BEE}"/>
    <hyperlink ref="A154" r:id="rId305" xr:uid="{05A832D9-179F-2D40-9451-F295E02238D0}"/>
    <hyperlink ref="B154" r:id="rId306" xr:uid="{D6A5B487-2801-E647-A372-F638B84001BF}"/>
    <hyperlink ref="A155" r:id="rId307" xr:uid="{EB6AD10B-7590-3C43-9C20-9A622C50AE0B}"/>
    <hyperlink ref="B155" r:id="rId308" xr:uid="{F9FF4F57-A278-7143-8EEB-21C3502E83C0}"/>
    <hyperlink ref="A156" r:id="rId309" xr:uid="{2C6BCFB6-ABB1-DB42-8BEC-58F501330672}"/>
    <hyperlink ref="B156" r:id="rId310" xr:uid="{203FAF7C-653F-5F42-B649-68FB8225A196}"/>
    <hyperlink ref="A157" r:id="rId311" xr:uid="{FE7A541B-ECBC-EF4C-BB04-DCD0776E026B}"/>
    <hyperlink ref="B157" r:id="rId312" xr:uid="{26671EBB-78E4-544E-946C-1D4362E1C32C}"/>
    <hyperlink ref="A158" r:id="rId313" xr:uid="{EE6FF60E-7784-0C42-97F2-C847C64542A5}"/>
    <hyperlink ref="B158" r:id="rId314" xr:uid="{CB37F38F-68BA-C044-8F9E-B7ADC56DA64A}"/>
    <hyperlink ref="A159" r:id="rId315" xr:uid="{1D0A6EB8-144E-D443-9446-27FD4E6F4438}"/>
    <hyperlink ref="B159" r:id="rId316" xr:uid="{425FF4C2-640C-7348-A654-E712BFF84956}"/>
    <hyperlink ref="A160" r:id="rId317" xr:uid="{6B8CEBAE-A8D2-614C-A5B0-23866BCE0261}"/>
    <hyperlink ref="B160" r:id="rId318" xr:uid="{EEBD965A-EA6F-EC40-88D6-EB5A06EB8F20}"/>
    <hyperlink ref="A161" r:id="rId319" xr:uid="{0C65FE5F-783F-D045-AFF6-2FF821C0676D}"/>
    <hyperlink ref="B161" r:id="rId320" xr:uid="{9FACFD85-1E06-A648-94FC-3D38059A5E50}"/>
    <hyperlink ref="A162" r:id="rId321" xr:uid="{3B05D2BB-4F88-E848-B122-EB06B24168F8}"/>
    <hyperlink ref="B162" r:id="rId322" xr:uid="{B62BA7DB-EB8B-1249-B4ED-1360C4AC9FFA}"/>
    <hyperlink ref="A163" r:id="rId323" xr:uid="{ED513A28-AC9E-6C48-ACA2-0F041612C318}"/>
    <hyperlink ref="B163" r:id="rId324" xr:uid="{48D251F0-83CE-C440-A5F8-9ED7DD9F05E0}"/>
    <hyperlink ref="A164" r:id="rId325" xr:uid="{91C8A6D4-A193-1544-A4F4-10B8C6B5CC01}"/>
    <hyperlink ref="B164" r:id="rId326" xr:uid="{679FB978-F5C2-4448-AAF7-4C83C54CCE2D}"/>
    <hyperlink ref="A165" r:id="rId327" xr:uid="{E08FAE5C-EED3-E347-9C24-53B2EE8855A4}"/>
    <hyperlink ref="B165" r:id="rId328" xr:uid="{BAED93A4-0ED0-B643-B2E0-2DE94A4C6C22}"/>
    <hyperlink ref="A166" r:id="rId329" xr:uid="{EB251C94-DDC8-D34C-8B8F-58A1354F3030}"/>
    <hyperlink ref="B166" r:id="rId330" xr:uid="{CF8C793D-5321-8E41-B20A-DF90CD9755B4}"/>
    <hyperlink ref="A167" r:id="rId331" xr:uid="{7D842FD2-710E-D64B-A7EB-B38D02EB2261}"/>
    <hyperlink ref="B167" r:id="rId332" xr:uid="{F0C76B84-A5F6-FE4D-A0A7-3A7AEAD3A0EA}"/>
    <hyperlink ref="A168" r:id="rId333" xr:uid="{C524B38B-2643-E644-82BC-2A243632244A}"/>
    <hyperlink ref="B168" r:id="rId334" xr:uid="{E8724662-DBCF-3A44-A44D-03A05308FDF2}"/>
    <hyperlink ref="A169" r:id="rId335" xr:uid="{D83446C9-A1A8-F548-B8F8-DE994D03CA21}"/>
    <hyperlink ref="B169" r:id="rId336" xr:uid="{31731185-20FF-514A-B129-A51EE4DC501D}"/>
    <hyperlink ref="A170" r:id="rId337" xr:uid="{5CDDCAC9-4E15-DF48-B7DB-98C5BEDECF34}"/>
    <hyperlink ref="B170" r:id="rId338" xr:uid="{E8841B67-9DC7-AD4B-98F6-82C40B15E298}"/>
    <hyperlink ref="A171" r:id="rId339" xr:uid="{6EA6967E-910D-0C4C-A8BF-EDEA16E9E30D}"/>
    <hyperlink ref="B171" r:id="rId340" xr:uid="{77F6E435-BB6D-8F46-9336-F93C05370D1E}"/>
    <hyperlink ref="A172" r:id="rId341" xr:uid="{E75DC2C5-9E75-A645-80FF-7EFA7507A1D2}"/>
    <hyperlink ref="B172" r:id="rId342" xr:uid="{B0325660-DE58-1F4F-B51B-7202B4FF21A8}"/>
    <hyperlink ref="A173" r:id="rId343" xr:uid="{F024F12E-94DA-4246-93B8-9F1B8F4A97C8}"/>
    <hyperlink ref="B173" r:id="rId344" xr:uid="{86198986-DE73-494A-A85B-C1D37FE10F13}"/>
    <hyperlink ref="A174" r:id="rId345" xr:uid="{AB84D8FE-8608-7E40-96D7-E4E4FF60C112}"/>
    <hyperlink ref="B174" r:id="rId346" xr:uid="{D15D1C1F-CC65-804B-AC02-FA78C9C7C5CE}"/>
    <hyperlink ref="A175" r:id="rId347" xr:uid="{C2D1DDED-E53A-A143-A59C-C1B1F8B40801}"/>
    <hyperlink ref="B175" r:id="rId348" xr:uid="{85196AC2-6CCE-7E49-B263-C767610BAE07}"/>
    <hyperlink ref="A176" r:id="rId349" xr:uid="{378E7658-2116-E74B-B9A8-8005CCD263BF}"/>
    <hyperlink ref="B176" r:id="rId350" xr:uid="{EA50399E-BD11-B845-9CA5-68FB9E04457B}"/>
    <hyperlink ref="A177" r:id="rId351" xr:uid="{CE8F8D00-1698-C54E-8069-0CF3419D663C}"/>
    <hyperlink ref="B177" r:id="rId352" xr:uid="{CF01E7B1-5400-4B41-9573-3B2E8B1BA9C1}"/>
    <hyperlink ref="A178" r:id="rId353" xr:uid="{47CC64A1-EEB1-C94D-BCB7-FC4E5789687B}"/>
    <hyperlink ref="B178" r:id="rId354" xr:uid="{09154B07-1378-DC41-8B2D-2ED11F53AA39}"/>
    <hyperlink ref="A179" r:id="rId355" xr:uid="{8BA99B69-18B1-8145-A7E6-94CCFD723570}"/>
    <hyperlink ref="B179" r:id="rId356" xr:uid="{4FAE761F-BB4E-084B-B455-613753318ABC}"/>
    <hyperlink ref="A180" r:id="rId357" xr:uid="{6E64AF44-CF71-9841-8B1C-B4D25B5DF511}"/>
    <hyperlink ref="B180" r:id="rId358" xr:uid="{2919E874-1838-B441-8429-1ECF9FF8D922}"/>
    <hyperlink ref="A181" r:id="rId359" xr:uid="{D412F974-8748-0242-BE51-AE54F518F2CA}"/>
    <hyperlink ref="B181" r:id="rId360" xr:uid="{F4D24B7C-B5DC-494F-A209-C0595CC89337}"/>
    <hyperlink ref="A182" r:id="rId361" xr:uid="{4E68E154-C4E0-CB49-AA27-47BD24C69000}"/>
    <hyperlink ref="B182" r:id="rId362" xr:uid="{29ADABFB-DFC9-D344-A701-1684202E2C01}"/>
    <hyperlink ref="A183" r:id="rId363" xr:uid="{0C0AEDB3-570D-3E49-BD94-FF1838CBBD56}"/>
    <hyperlink ref="B183" r:id="rId364" xr:uid="{6EC0DFF3-615C-BB44-A052-166F79AB32DD}"/>
    <hyperlink ref="A184" r:id="rId365" xr:uid="{B9CE5A92-DA8F-C640-8A0B-E3BA5E9567A8}"/>
    <hyperlink ref="B184" r:id="rId366" xr:uid="{72F406CE-6C32-554B-B1C1-1BD2122E72CC}"/>
    <hyperlink ref="A185" r:id="rId367" xr:uid="{AE20C34A-43A0-804C-BD71-D3BF6DC5C72F}"/>
    <hyperlink ref="B185" r:id="rId368" xr:uid="{7AA8B679-C2E0-E149-A985-F987D502313D}"/>
    <hyperlink ref="A186" r:id="rId369" xr:uid="{F2F7FABC-52D1-3644-91C5-D656D9A2782E}"/>
    <hyperlink ref="B186" r:id="rId370" xr:uid="{CE6060D2-8871-0C4B-AECD-7F2505B19C8A}"/>
    <hyperlink ref="A187" r:id="rId371" xr:uid="{C30DD735-BA63-F843-BDF5-9FB83302C19D}"/>
    <hyperlink ref="B187" r:id="rId372" xr:uid="{230BF249-EADA-D842-8AE9-281A7E766EFC}"/>
    <hyperlink ref="A188" r:id="rId373" xr:uid="{503AEAB8-555C-3441-BC6B-49E515CDA84A}"/>
    <hyperlink ref="B188" r:id="rId374" xr:uid="{6885F0E3-26C4-394A-BFDA-48DC07CC2225}"/>
    <hyperlink ref="A189" r:id="rId375" xr:uid="{C255358B-1D3A-8F40-B120-C44F6290D16F}"/>
    <hyperlink ref="B189" r:id="rId376" xr:uid="{F97B7286-DF19-7A41-98ED-A8F1032D9A39}"/>
    <hyperlink ref="A190" r:id="rId377" xr:uid="{E928EA5D-9294-A34C-B318-5CDBF2FA4EF2}"/>
    <hyperlink ref="B190" r:id="rId378" xr:uid="{055CA7C1-93E8-E14B-A3FF-70AB88B6A7EA}"/>
    <hyperlink ref="A191" r:id="rId379" xr:uid="{D28C5D56-0E51-074B-9CC9-4B47EC658C33}"/>
    <hyperlink ref="B191" r:id="rId380" xr:uid="{5804416F-FE5B-7E4E-A335-62ADBC0C0A40}"/>
    <hyperlink ref="A192" r:id="rId381" xr:uid="{5AE5B031-7228-ED4B-BD7B-9B0219895545}"/>
    <hyperlink ref="B192" r:id="rId382" xr:uid="{B849582F-803E-BB4E-8047-F48A21A2B560}"/>
    <hyperlink ref="A193" r:id="rId383" xr:uid="{CB62ECCA-0832-DB40-9A32-BEDA21D3F5D7}"/>
    <hyperlink ref="B193" r:id="rId384" xr:uid="{37050E5A-F845-6041-AF21-BD4F858AD615}"/>
    <hyperlink ref="A194" r:id="rId385" xr:uid="{AA9E2147-8957-0D4C-A4EF-87AB1A4F802D}"/>
    <hyperlink ref="B194" r:id="rId386" xr:uid="{3EEE5B21-DB8D-B340-972E-DADD82572091}"/>
    <hyperlink ref="A195" r:id="rId387" xr:uid="{69C2E5F5-1486-7046-9AC0-4908AE966E81}"/>
    <hyperlink ref="B195" r:id="rId388" xr:uid="{45701652-6ED9-7E4D-9D9D-2034DFB278EB}"/>
    <hyperlink ref="A196" r:id="rId389" xr:uid="{142C6B4D-3C48-A844-8ACE-F9A69AE8DFE9}"/>
    <hyperlink ref="B196" r:id="rId390" xr:uid="{AE89E285-9533-0D47-AE6B-33F6A3FCB1DA}"/>
    <hyperlink ref="A197" r:id="rId391" xr:uid="{FCA4B25E-4BC8-5645-979A-0BA494E2B205}"/>
    <hyperlink ref="B197" r:id="rId392" xr:uid="{C697A25F-6C5A-A34C-A193-04D78571FABE}"/>
    <hyperlink ref="A198" r:id="rId393" xr:uid="{722B656F-043E-B149-B94B-C3D2D3C47431}"/>
    <hyperlink ref="B198" r:id="rId394" xr:uid="{F8E83B97-0B3C-3143-A60C-954C149468E5}"/>
    <hyperlink ref="A199" r:id="rId395" xr:uid="{A4F3BD2A-C025-D846-9F40-B961E7FA7079}"/>
    <hyperlink ref="B199" r:id="rId396" xr:uid="{F67FE4BB-71E2-BE42-B9C3-9AB96FF1976C}"/>
    <hyperlink ref="A200" r:id="rId397" xr:uid="{2FD3D072-F10E-E944-AB60-BD9B5D57E695}"/>
    <hyperlink ref="B200" r:id="rId398" xr:uid="{C4BF712E-442D-6A49-BD57-40490460FD39}"/>
    <hyperlink ref="A201" r:id="rId399" xr:uid="{91FA48AA-F084-A848-BCE1-5E80D68B6208}"/>
    <hyperlink ref="B201" r:id="rId400" xr:uid="{5CADE9DB-D434-7147-8DA1-87D5E6EB1B8E}"/>
    <hyperlink ref="A202" r:id="rId401" xr:uid="{D79E883C-3847-0E40-8711-E9B217ED4A6D}"/>
    <hyperlink ref="B202" r:id="rId402" xr:uid="{17D4CABF-8D76-C940-BDD3-BA332055F5DB}"/>
    <hyperlink ref="A203" r:id="rId403" xr:uid="{C93D5881-960E-A14F-85FF-9E1B862BDB16}"/>
    <hyperlink ref="B203" r:id="rId404" xr:uid="{2779D98F-6A48-8C4C-97A4-7A28386A80B6}"/>
    <hyperlink ref="A204" r:id="rId405" xr:uid="{28056F1F-0E38-FD42-83D7-9FFF31435C57}"/>
    <hyperlink ref="B204" r:id="rId406" xr:uid="{0898D880-5BE7-FE4F-B1E1-3BF3AAF15FDF}"/>
    <hyperlink ref="A205" r:id="rId407" xr:uid="{8B13A023-F1E7-3249-9CC5-792DDDE2E1C8}"/>
    <hyperlink ref="B205" r:id="rId408" xr:uid="{9B3256C5-72DE-E647-8042-EE86C1DA0C64}"/>
    <hyperlink ref="A206" r:id="rId409" xr:uid="{4C93E60F-5ACA-AD45-8DF9-3FD09B1D990F}"/>
    <hyperlink ref="B206" r:id="rId410" xr:uid="{A1DCFCDB-B5EE-8F45-9807-3087F90B058C}"/>
    <hyperlink ref="A207" r:id="rId411" xr:uid="{2328C1C8-01DF-5A45-8E97-805E171884E5}"/>
    <hyperlink ref="B207" r:id="rId412" xr:uid="{5CE092B8-B34D-324E-821E-D0DACDCB4A6B}"/>
    <hyperlink ref="A208" r:id="rId413" xr:uid="{B93DCF6F-F753-5941-9055-29441C185C55}"/>
    <hyperlink ref="B208" r:id="rId414" xr:uid="{7A7B15FC-353F-8546-8345-CFB4FCC444C0}"/>
    <hyperlink ref="A209" r:id="rId415" xr:uid="{66D7F6D8-CCEF-C74B-8855-39AA7E88B5BA}"/>
    <hyperlink ref="B209" r:id="rId416" xr:uid="{F4F1F6E3-1F2A-1249-B365-1B5A142093BC}"/>
    <hyperlink ref="A210" r:id="rId417" xr:uid="{E431E5A4-3701-1B4E-B3B5-51535DC1E852}"/>
    <hyperlink ref="B210" r:id="rId418" xr:uid="{22D82F07-2D8C-4B4E-86E8-1BA3F0D00635}"/>
    <hyperlink ref="A211" r:id="rId419" xr:uid="{8D978FD6-E680-374C-8515-838327A6F857}"/>
    <hyperlink ref="B211" r:id="rId420" xr:uid="{85902BA3-257A-7E4A-B2B3-976591D91333}"/>
    <hyperlink ref="A212" r:id="rId421" xr:uid="{9F01A6C3-D582-9F4D-B5FD-D23548951BFB}"/>
    <hyperlink ref="B212" r:id="rId422" xr:uid="{6F509386-D5BE-D543-91FB-780FF4477BE8}"/>
    <hyperlink ref="A213" r:id="rId423" xr:uid="{6E5E5BB8-426C-3E47-923F-DB8E0F6C02DB}"/>
    <hyperlink ref="B213" r:id="rId424" xr:uid="{6E1C0D39-E592-2640-B6DA-DE660DC46681}"/>
    <hyperlink ref="A214" r:id="rId425" xr:uid="{593845F0-C912-014D-9D77-20F75104A74F}"/>
    <hyperlink ref="B214" r:id="rId426" xr:uid="{F6D4FB7D-65BF-F844-AC41-FBB593A8D1AD}"/>
    <hyperlink ref="A215" r:id="rId427" xr:uid="{95970758-D2A3-FF46-85CF-F7914FEA869D}"/>
    <hyperlink ref="B215" r:id="rId428" xr:uid="{C4B6FF64-1043-3543-ABB4-4D75356CD5E8}"/>
    <hyperlink ref="A216" r:id="rId429" xr:uid="{A8268FBD-F0E9-834D-93C0-91A281C80753}"/>
    <hyperlink ref="B216" r:id="rId430" xr:uid="{AD74289E-F6E0-7745-BB73-3BF904D55976}"/>
    <hyperlink ref="A217" r:id="rId431" xr:uid="{D43090A3-41F4-D941-800A-61B0BBF6C366}"/>
    <hyperlink ref="B217" r:id="rId432" xr:uid="{5CCA48D9-4472-904F-8B8A-E456B180DDDB}"/>
    <hyperlink ref="A218" r:id="rId433" xr:uid="{83562BE0-08DC-A640-9D4B-259CF06A9FB0}"/>
    <hyperlink ref="B218" r:id="rId434" xr:uid="{5CED63CE-A31E-2544-A9EA-2D11F5407686}"/>
    <hyperlink ref="A219" r:id="rId435" xr:uid="{34118873-2022-5F4B-8AA0-1BC1F75431A5}"/>
    <hyperlink ref="B219" r:id="rId436" xr:uid="{BA665F38-4DAE-D948-B11C-F0C517B0074B}"/>
    <hyperlink ref="A220" r:id="rId437" xr:uid="{F8924AD6-EC22-494D-AE7C-5D9CD6F15EE3}"/>
    <hyperlink ref="B220" r:id="rId438" xr:uid="{DD48057D-D032-4041-9665-ECEBDCAA30D6}"/>
    <hyperlink ref="A221" r:id="rId439" xr:uid="{44F94CC6-7E5D-0646-B493-CB2D4F86FB55}"/>
    <hyperlink ref="B221" r:id="rId440" xr:uid="{6AA3FB5A-918B-2140-ACB5-901F93245F44}"/>
    <hyperlink ref="A222" r:id="rId441" xr:uid="{C93F413D-4EBF-E346-A70B-012E99AEF10A}"/>
    <hyperlink ref="B222" r:id="rId442" xr:uid="{BBD9AC79-C484-8747-B10E-F4053A348402}"/>
    <hyperlink ref="A223" r:id="rId443" xr:uid="{B275E273-514D-9A45-94E0-68C9EDB263B5}"/>
    <hyperlink ref="B223" r:id="rId444" xr:uid="{AEA2281F-688B-A542-A6D8-379CFB2CA825}"/>
    <hyperlink ref="A224" r:id="rId445" xr:uid="{B7EE510E-0AE8-D74A-9C92-07AB020789D0}"/>
    <hyperlink ref="B224" r:id="rId446" xr:uid="{6C99865A-BF53-5A4C-80DB-1BD5309CE095}"/>
    <hyperlink ref="A225" r:id="rId447" xr:uid="{18DC8874-010D-7047-B35D-044DC80A2D83}"/>
    <hyperlink ref="B225" r:id="rId448" xr:uid="{92627388-44A8-764C-8A59-382C7EA6EB22}"/>
    <hyperlink ref="A226" r:id="rId449" xr:uid="{FD52B9D6-F4B9-7B44-941B-20FD218E18FC}"/>
    <hyperlink ref="B226" r:id="rId450" xr:uid="{B28CED4B-6968-6A4B-BA27-AA38EFBA2414}"/>
    <hyperlink ref="A227" r:id="rId451" xr:uid="{59C7F50E-137D-5F43-B677-A0D2145AD106}"/>
    <hyperlink ref="B227" r:id="rId452" xr:uid="{75DFB7F3-7713-4641-B3FA-EF3C0EDB9AF0}"/>
    <hyperlink ref="A228" r:id="rId453" xr:uid="{8D81197F-4EAE-8E48-AE3B-EF549528633D}"/>
    <hyperlink ref="B228" r:id="rId454" xr:uid="{617B8991-494B-2644-A06A-288B0E3A033F}"/>
    <hyperlink ref="A229" r:id="rId455" xr:uid="{FB4179AD-4734-0241-B9B4-6A6079662493}"/>
    <hyperlink ref="B229" r:id="rId456" xr:uid="{8BCEAD74-F60F-264E-B030-13BAADF51B68}"/>
    <hyperlink ref="A230" r:id="rId457" xr:uid="{9A76D142-FF38-1940-A7CD-9CB6549C734A}"/>
    <hyperlink ref="B230" r:id="rId458" xr:uid="{A44BF0DB-886E-214A-8536-CCB901F342B8}"/>
    <hyperlink ref="A231" r:id="rId459" xr:uid="{C2AB22BC-E912-9749-A74F-6D6B608FB2A6}"/>
    <hyperlink ref="B231" r:id="rId460" xr:uid="{D17341CC-5A01-4A4E-8005-39C005BF7CEC}"/>
    <hyperlink ref="A232" r:id="rId461" xr:uid="{E608E0C8-4F56-9148-BC51-582362F86FF5}"/>
    <hyperlink ref="B232" r:id="rId462" xr:uid="{4BAA0E38-0731-ED4B-995E-02B6D5753656}"/>
    <hyperlink ref="A233" r:id="rId463" xr:uid="{5060AB51-B153-CC45-AB4D-AC54C399E815}"/>
    <hyperlink ref="B233" r:id="rId464" xr:uid="{5A270C1A-F34B-7C4F-81B6-0BD91EC9597F}"/>
    <hyperlink ref="A234" r:id="rId465" xr:uid="{5C34A6BE-0E7D-3240-AC6C-7F7132B12A92}"/>
    <hyperlink ref="B234" r:id="rId466" xr:uid="{DA454878-C7E8-E146-A2AE-625894121B5D}"/>
    <hyperlink ref="A235" r:id="rId467" xr:uid="{63A7E993-BD4A-FB4A-91FF-65C25C805E32}"/>
    <hyperlink ref="B235" r:id="rId468" xr:uid="{40AD490F-F8DE-3B4C-8193-B19B914EF542}"/>
    <hyperlink ref="A236" r:id="rId469" xr:uid="{1A0F1B0C-985B-8C40-A31B-ECA0D1F879C7}"/>
    <hyperlink ref="B236" r:id="rId470" xr:uid="{8BAB158E-53AB-624D-8F48-E06F368B7020}"/>
    <hyperlink ref="A237" r:id="rId471" xr:uid="{030597DB-BB1E-4748-B0EE-8E02BD6C7ABA}"/>
    <hyperlink ref="B237" r:id="rId472" xr:uid="{3DD90AAD-FE45-1B47-9722-3C4C830B2236}"/>
    <hyperlink ref="A238" r:id="rId473" xr:uid="{FDF52273-6636-F54E-A3CC-E2928C680AA1}"/>
    <hyperlink ref="B238" r:id="rId474" xr:uid="{5A2CFE54-B975-2A4E-8974-6A8B03AF1C9A}"/>
    <hyperlink ref="A239" r:id="rId475" xr:uid="{3E32293F-29E8-B040-A6F7-AFEF9AEDA3B0}"/>
    <hyperlink ref="B239" r:id="rId476" xr:uid="{5891AF2A-F2E3-A141-86EC-CD973125B130}"/>
    <hyperlink ref="A240" r:id="rId477" xr:uid="{84100085-8A78-2546-905C-371FE6EA6FD6}"/>
    <hyperlink ref="B240" r:id="rId478" xr:uid="{1B2ADB36-426A-5D42-8344-17392BB13BDA}"/>
    <hyperlink ref="A241" r:id="rId479" xr:uid="{BD677D46-E6FF-3540-A3C5-3F8A32140561}"/>
    <hyperlink ref="B241" r:id="rId480" xr:uid="{CD138599-DAB4-9949-84C8-1047C2A25367}"/>
    <hyperlink ref="A242" r:id="rId481" xr:uid="{7B0A46FB-18A8-3543-8E38-F7B05ABB0EF3}"/>
    <hyperlink ref="B242" r:id="rId482" xr:uid="{89D4BADA-8E34-5E43-9044-436157D02DC4}"/>
    <hyperlink ref="A243" r:id="rId483" xr:uid="{925D0DB5-F050-DA41-A9A8-CA335269B08C}"/>
    <hyperlink ref="B243" r:id="rId484" xr:uid="{143922A7-2132-A24B-866A-B1046563B326}"/>
    <hyperlink ref="A244" r:id="rId485" xr:uid="{4EEB42CB-3BC1-C54C-BAAF-5F1399789272}"/>
    <hyperlink ref="B244" r:id="rId486" xr:uid="{9A0844F7-585A-564F-BD40-A0732E973C6C}"/>
    <hyperlink ref="A245" r:id="rId487" xr:uid="{450D5C8F-EF8B-7640-ABF6-B50108417423}"/>
    <hyperlink ref="B245" r:id="rId488" xr:uid="{1B015A28-1D99-024D-9A98-55803AA88C5E}"/>
    <hyperlink ref="A246" r:id="rId489" xr:uid="{8D7CFDA4-5C9A-3141-B253-B1B0BC091179}"/>
    <hyperlink ref="B246" r:id="rId490" xr:uid="{5749CE60-F14F-BF4E-9D07-831654EFE865}"/>
    <hyperlink ref="A247" r:id="rId491" xr:uid="{BD866F5F-960B-0740-81C3-D91B556099D9}"/>
    <hyperlink ref="B247" r:id="rId492" xr:uid="{6C6502EF-F472-7046-8ED0-AAEAD5FBEAD1}"/>
    <hyperlink ref="A248" r:id="rId493" xr:uid="{1F827AD4-9AFB-0B4C-905C-A518B91806DD}"/>
    <hyperlink ref="B248" r:id="rId494" xr:uid="{2994DD7D-96CE-8841-A821-F854641CF2AB}"/>
    <hyperlink ref="A249" r:id="rId495" xr:uid="{61677E20-203C-9846-9C21-8F6CCE2D3F2D}"/>
    <hyperlink ref="B249" r:id="rId496" xr:uid="{7142B72E-07F5-D941-B40F-5052491218F1}"/>
    <hyperlink ref="A250" r:id="rId497" xr:uid="{C3D70F93-6ABA-F744-87A3-5D7A4B3F977C}"/>
    <hyperlink ref="B250" r:id="rId498" xr:uid="{F9CE4E98-D860-4E46-8A37-405EE3036DEA}"/>
    <hyperlink ref="A251" r:id="rId499" xr:uid="{76F30275-AAF9-EF46-B158-59AF889CF7A9}"/>
    <hyperlink ref="B251" r:id="rId500" xr:uid="{5D1FAAAB-01BB-1843-9342-C9F8E1ABD35B}"/>
    <hyperlink ref="A252" r:id="rId501" xr:uid="{94B6A8EF-9AC4-F64D-A465-FDB501B191CA}"/>
    <hyperlink ref="B252" r:id="rId502" xr:uid="{50E2D0C2-C01A-9246-8BBE-7505C1A20F2A}"/>
    <hyperlink ref="A253" r:id="rId503" xr:uid="{D4209B3C-2376-7B44-83D1-F7C105F86E0D}"/>
    <hyperlink ref="B253" r:id="rId504" xr:uid="{D10691C7-6A67-DD47-ABFB-E64B909E9EFF}"/>
    <hyperlink ref="A254" r:id="rId505" xr:uid="{1761D66F-9BB2-7048-80EE-865720366C4E}"/>
    <hyperlink ref="B254" r:id="rId506" xr:uid="{A92CE715-A4FD-E041-A871-2C1CCACFD300}"/>
    <hyperlink ref="A255" r:id="rId507" xr:uid="{5426D61E-E9EB-4F42-9851-8786653451F3}"/>
    <hyperlink ref="B255" r:id="rId508" xr:uid="{121AA714-788F-A340-A98B-E44207863531}"/>
    <hyperlink ref="A256" r:id="rId509" xr:uid="{6DEF0A88-DE3C-3749-88BC-C70F457F3FF3}"/>
    <hyperlink ref="B256" r:id="rId510" xr:uid="{74687A64-FBE1-9A48-BB58-AF4A37DAB16D}"/>
    <hyperlink ref="A257" r:id="rId511" xr:uid="{9487239E-0AF6-1E4F-9898-69BF4728D53E}"/>
    <hyperlink ref="B257" r:id="rId512" xr:uid="{10DA2F10-243E-AE44-B5CC-BA6A095582BD}"/>
    <hyperlink ref="A258" r:id="rId513" xr:uid="{BE683E22-C60D-DB4D-90DB-DADD2E843243}"/>
    <hyperlink ref="B258" r:id="rId514" xr:uid="{296ED1DC-15CE-4646-9E80-1370E17EEB98}"/>
    <hyperlink ref="A259" r:id="rId515" xr:uid="{C3A0F7C4-30C1-9640-A245-BF7E51AA2837}"/>
    <hyperlink ref="B259" r:id="rId516" xr:uid="{D725EC84-F7A5-5648-922D-ED71F736AE8A}"/>
    <hyperlink ref="A260" r:id="rId517" xr:uid="{EB7ED589-2C1E-2F40-BEB3-468E9D648148}"/>
    <hyperlink ref="B260" r:id="rId518" xr:uid="{CA37ED08-A32D-284C-B82C-46B90073884F}"/>
    <hyperlink ref="A261" r:id="rId519" xr:uid="{13048113-0AF9-3F47-B538-99B58AFF4EE3}"/>
    <hyperlink ref="B261" r:id="rId520" xr:uid="{FAC77FB2-A292-1A4B-BEDE-685076B0C1B0}"/>
    <hyperlink ref="A262" r:id="rId521" xr:uid="{C6A010B8-2AF0-3A4A-910F-BBA6A524CE62}"/>
    <hyperlink ref="B262" r:id="rId522" xr:uid="{0F5A8B7A-B134-174C-A12E-AB6DDAA31F67}"/>
    <hyperlink ref="A263" r:id="rId523" xr:uid="{B3EBCB45-468D-514A-977F-1E1D27CDB45B}"/>
    <hyperlink ref="B263" r:id="rId524" xr:uid="{DD313F90-67FD-8B42-BB95-C35DCB457960}"/>
    <hyperlink ref="A264" r:id="rId525" xr:uid="{D3B847B2-CB85-BA43-9E28-E2E8B23A8050}"/>
    <hyperlink ref="B264" r:id="rId526" xr:uid="{178A4366-EA09-3F40-A337-98FB94D4AD4A}"/>
    <hyperlink ref="A265" r:id="rId527" xr:uid="{40F46E5B-46C2-EE47-B59F-E3C550739C3D}"/>
    <hyperlink ref="B265" r:id="rId528" xr:uid="{4AE70D17-C8E1-DC4C-94D4-A3E93CFC7FEB}"/>
    <hyperlink ref="A266" r:id="rId529" xr:uid="{26B1B2AF-E5F7-F843-B4FD-CD1588036582}"/>
    <hyperlink ref="B266" r:id="rId530" xr:uid="{F2E52518-0E1C-6F40-A827-B7150C8D5C45}"/>
    <hyperlink ref="A267" r:id="rId531" xr:uid="{7D1B95CA-7DDC-894F-9969-67D5A387DC1B}"/>
    <hyperlink ref="B267" r:id="rId532" xr:uid="{3E1970E0-1EEB-8A42-9F91-F297F37AD8E3}"/>
    <hyperlink ref="A268" r:id="rId533" xr:uid="{5403F3BC-85E2-7348-8C29-1D823C64C641}"/>
    <hyperlink ref="B268" r:id="rId534" xr:uid="{4F85D9CE-8F73-874B-9D0E-8A992D399C26}"/>
    <hyperlink ref="A269" r:id="rId535" xr:uid="{D5FE5EDE-1DC1-3543-8B3A-FEEF576B24C6}"/>
    <hyperlink ref="B269" r:id="rId536" xr:uid="{A300A1FF-4631-0046-906E-B1ED73EE6B01}"/>
    <hyperlink ref="A270" r:id="rId537" xr:uid="{9CA97115-7CD8-3543-90A8-F6486DB58438}"/>
    <hyperlink ref="B270" r:id="rId538" xr:uid="{A2109575-A6AA-8946-89AC-C13328201ADC}"/>
    <hyperlink ref="A271" r:id="rId539" xr:uid="{33DFCBD3-F17C-3447-9B1C-F9244DA97A5F}"/>
    <hyperlink ref="B271" r:id="rId540" xr:uid="{E10AC22F-AA27-4D4D-8166-E017CDDA9444}"/>
    <hyperlink ref="A272" r:id="rId541" xr:uid="{A97D9F82-B22B-3B41-82C8-B097D3EB8CF5}"/>
    <hyperlink ref="B272" r:id="rId542" xr:uid="{80EED879-F915-0B4F-8AFC-27204F6BAF84}"/>
    <hyperlink ref="A273" r:id="rId543" xr:uid="{F9FF6C80-D194-2842-9A99-B655115A2EE6}"/>
    <hyperlink ref="B273" r:id="rId544" xr:uid="{9F0BD2D4-C4BC-7D44-9F38-BFE955B4FBE2}"/>
    <hyperlink ref="A274" r:id="rId545" xr:uid="{0499FCD5-A99A-0147-91EE-FE67FAEA087A}"/>
    <hyperlink ref="B274" r:id="rId546" xr:uid="{61135C4E-5338-AB46-8693-EDDE823C2AFC}"/>
    <hyperlink ref="A275" r:id="rId547" xr:uid="{ABBA6A8A-DD9B-8040-9460-B41842B6C00F}"/>
    <hyperlink ref="B275" r:id="rId548" xr:uid="{BDD55740-B2F8-DD4D-9A1A-8D3572D43344}"/>
    <hyperlink ref="A276" r:id="rId549" xr:uid="{1A9D7DC3-9E55-2149-AD55-127D47BB56C0}"/>
    <hyperlink ref="B276" r:id="rId550" xr:uid="{EDA99833-BE71-C542-9F96-B0899C29146C}"/>
    <hyperlink ref="A277" r:id="rId551" xr:uid="{FF66A56F-E7D0-514F-BD92-D9C0DACA4601}"/>
    <hyperlink ref="B277" r:id="rId552" xr:uid="{744FC9A0-478F-2F44-9509-026593EECF1A}"/>
    <hyperlink ref="A278" r:id="rId553" xr:uid="{94CDA7A5-AD63-1246-8238-8DBA97253196}"/>
    <hyperlink ref="B278" r:id="rId554" xr:uid="{B347B8F0-F7BD-E747-906B-A801F4AECB1F}"/>
    <hyperlink ref="A279" r:id="rId555" xr:uid="{DF7E119F-CD78-764B-A0AB-177A459B000A}"/>
    <hyperlink ref="B279" r:id="rId556" xr:uid="{65CF793B-EC3D-E443-9446-44ECF09A689E}"/>
    <hyperlink ref="A280" r:id="rId557" xr:uid="{BF9C85E8-62D8-6347-96C3-E58DEF5EE558}"/>
    <hyperlink ref="B280" r:id="rId558" xr:uid="{8CC37DF4-6103-EB40-A03A-E55C2F9E908E}"/>
    <hyperlink ref="A281" r:id="rId559" xr:uid="{4A5374F5-AA00-1443-8CB3-E18D96C7CFC8}"/>
    <hyperlink ref="B281" r:id="rId560" xr:uid="{7242AA3F-F670-384E-9DFA-F39A4234CC4B}"/>
    <hyperlink ref="A282" r:id="rId561" xr:uid="{3064278D-BA21-754A-BD2B-E16A24009B8C}"/>
    <hyperlink ref="B282" r:id="rId562" xr:uid="{4EB2D293-D03F-CE4F-A78B-C39435461C98}"/>
    <hyperlink ref="A283" r:id="rId563" xr:uid="{33E59F84-5713-F04F-8529-E89426D273EB}"/>
    <hyperlink ref="B283" r:id="rId564" xr:uid="{3B959CC0-2321-EA49-ABB1-A25B2EE03F2B}"/>
    <hyperlink ref="A284" r:id="rId565" xr:uid="{E2B14FEE-F4B5-3247-8360-9322BDD5AF01}"/>
    <hyperlink ref="B284" r:id="rId566" xr:uid="{8E19DBCE-798E-2247-9322-CF190B19D37E}"/>
    <hyperlink ref="A285" r:id="rId567" xr:uid="{9CE699A7-3BDE-B043-830D-F8692EF9B955}"/>
    <hyperlink ref="B285" r:id="rId568" xr:uid="{A3E40E1C-B3E0-6042-B1BE-A43ABA453459}"/>
    <hyperlink ref="A286" r:id="rId569" xr:uid="{0DB111FE-D49B-9241-A512-32B2FE0FDCE4}"/>
    <hyperlink ref="B286" r:id="rId570" xr:uid="{37D545B1-4F99-6242-A0D2-A9BA21F647C5}"/>
    <hyperlink ref="A287" r:id="rId571" xr:uid="{BF91851C-507D-1E48-963D-92C7AC312259}"/>
    <hyperlink ref="B287" r:id="rId572" xr:uid="{8328CAC1-25CD-FE44-B7C3-DCDDCCC7D589}"/>
    <hyperlink ref="A288" r:id="rId573" xr:uid="{9B3B57EB-DF01-2F4C-AF82-7A0508406A7B}"/>
    <hyperlink ref="B288" r:id="rId574" xr:uid="{37C53E27-A626-0048-B8C0-ECF3EC4A4FA7}"/>
    <hyperlink ref="A289" r:id="rId575" xr:uid="{15DA80D9-3F60-3E48-A7F6-401E78F99464}"/>
    <hyperlink ref="B289" r:id="rId576" xr:uid="{F4BC005D-3003-8C40-9565-E6A18D40BB3A}"/>
    <hyperlink ref="A290" r:id="rId577" xr:uid="{E04768CE-56EF-4048-BCF2-28E2B7F2F6F0}"/>
    <hyperlink ref="B290" r:id="rId578" xr:uid="{D83D5562-5B88-EA4F-9667-DEB813DE8B31}"/>
    <hyperlink ref="A291" r:id="rId579" xr:uid="{C04DF766-7589-944E-BF89-06A27D4095C9}"/>
    <hyperlink ref="B291" r:id="rId580" xr:uid="{9000B951-7FA3-984A-A42F-FD6D87605264}"/>
    <hyperlink ref="A292" r:id="rId581" xr:uid="{FB3662A0-9DBF-344B-A1D6-CB8D5E7B0742}"/>
    <hyperlink ref="B292" r:id="rId582" xr:uid="{1E07E582-1E37-1441-A7C1-623AC78B69FB}"/>
    <hyperlink ref="A293" r:id="rId583" xr:uid="{C05CD308-948F-0243-AB17-61F6BB540349}"/>
    <hyperlink ref="B293" r:id="rId584" xr:uid="{6A3F63DB-704E-5A40-9835-E9E61295E7C3}"/>
    <hyperlink ref="A294" r:id="rId585" xr:uid="{AAD41489-C10A-CE44-8F88-B6519931720C}"/>
    <hyperlink ref="B294" r:id="rId586" xr:uid="{00A13C0E-A865-2947-A2CA-46AD6E891658}"/>
    <hyperlink ref="A295" r:id="rId587" xr:uid="{E6787348-723B-9E4B-8E03-43928879FFA7}"/>
    <hyperlink ref="B295" r:id="rId588" xr:uid="{2F666DE3-30E3-D344-B731-8AA7FF850F65}"/>
    <hyperlink ref="A296" r:id="rId589" xr:uid="{5FB761C7-CDF0-B549-BAC4-D4906917EFBC}"/>
    <hyperlink ref="B296" r:id="rId590" xr:uid="{0066E586-18B8-774C-A9AF-22A2C1BC746D}"/>
    <hyperlink ref="A297" r:id="rId591" xr:uid="{7AC8C6C0-E272-4D49-9B47-565B22AB8E7D}"/>
    <hyperlink ref="B297" r:id="rId592" xr:uid="{8E8C133A-7F44-4048-B573-8AF58EA9C293}"/>
    <hyperlink ref="A298" r:id="rId593" xr:uid="{3FA56C56-2A0F-A24B-AFC6-7CB73BC32D5E}"/>
    <hyperlink ref="B298" r:id="rId594" xr:uid="{070AE902-09B0-C04C-B10C-65C38792E857}"/>
    <hyperlink ref="A299" r:id="rId595" xr:uid="{5FD9B5B4-20EB-9A46-9B7E-59EE5D9DF891}"/>
    <hyperlink ref="B299" r:id="rId596" xr:uid="{6F350CA9-E29D-9D46-99D5-7502AFD3D926}"/>
    <hyperlink ref="A300" r:id="rId597" xr:uid="{3D9925A0-9854-0844-9A09-6362A09FF4B5}"/>
    <hyperlink ref="B300" r:id="rId598" xr:uid="{31E232D1-9E65-D24A-85AC-DEA871E7C36E}"/>
    <hyperlink ref="A301" r:id="rId599" xr:uid="{5C73DEB5-5DAB-6844-8568-372FC1547CC5}"/>
    <hyperlink ref="B301" r:id="rId600" xr:uid="{F0745439-574B-AE4D-9621-96FE4A0D61C4}"/>
    <hyperlink ref="A302" r:id="rId601" xr:uid="{209444E3-8C2C-264C-A35B-0EED36F52253}"/>
    <hyperlink ref="B302" r:id="rId602" xr:uid="{A9B63341-EEA0-BC41-9D61-2C086E4EBCC9}"/>
    <hyperlink ref="A303" r:id="rId603" xr:uid="{C2CD306B-4C7D-8F42-884F-0EC6B2B68342}"/>
    <hyperlink ref="B303" r:id="rId604" xr:uid="{9C289A13-7A2F-9745-B191-B41ED1B7FA14}"/>
    <hyperlink ref="A304" r:id="rId605" xr:uid="{1319B163-B7E9-9B4E-9967-3EF23E277BD8}"/>
    <hyperlink ref="B304" r:id="rId606" xr:uid="{69C1942B-C55E-0B4B-BAC5-7BF437645EBF}"/>
    <hyperlink ref="A305" r:id="rId607" xr:uid="{65F64D74-39C4-134A-9B39-EE711329AFBC}"/>
    <hyperlink ref="B305" r:id="rId608" xr:uid="{8320C249-6A35-BB4D-84E5-91036B00DD3E}"/>
    <hyperlink ref="A306" r:id="rId609" xr:uid="{ED2C1C1A-5AAE-8947-8513-25823187D12D}"/>
    <hyperlink ref="B306" r:id="rId610" xr:uid="{62C81D70-160A-0940-B0EE-5107E64A00A1}"/>
    <hyperlink ref="A307" r:id="rId611" xr:uid="{957D9D31-1582-6447-83F4-698A2DFD15AD}"/>
    <hyperlink ref="B307" r:id="rId612" xr:uid="{1AB2C1A7-0ACF-D944-A84E-811806152E6C}"/>
    <hyperlink ref="A308" r:id="rId613" xr:uid="{2D06211C-0C4A-7E42-88B3-AEE5B9AF3B34}"/>
    <hyperlink ref="B308" r:id="rId614" xr:uid="{47BE518B-F391-4949-BA85-2A85E2914DE6}"/>
    <hyperlink ref="A309" r:id="rId615" xr:uid="{AE981167-6A38-9C4A-9E52-C7950182F2C8}"/>
    <hyperlink ref="B309" r:id="rId616" xr:uid="{E2947151-0095-B943-8F2D-2CA181B3D851}"/>
    <hyperlink ref="A310" r:id="rId617" xr:uid="{C7ACD254-CE39-3F43-A20D-8696E77738BE}"/>
    <hyperlink ref="B310" r:id="rId618" xr:uid="{528DDE60-F044-D043-95FD-633D93AA78F9}"/>
    <hyperlink ref="A311" r:id="rId619" xr:uid="{C5717BC2-9902-8540-9194-69B073233C7E}"/>
    <hyperlink ref="B311" r:id="rId620" xr:uid="{C3574F3D-1E22-8540-A1AE-BA7E5153522D}"/>
    <hyperlink ref="A312" r:id="rId621" xr:uid="{49B19189-C0C3-284B-8FB5-72F2F7AA0EDC}"/>
    <hyperlink ref="B312" r:id="rId622" xr:uid="{C18B6849-315B-3A4F-863A-565D578EC54E}"/>
    <hyperlink ref="A313" r:id="rId623" xr:uid="{AAB7E600-C958-794B-84B5-4C0B3E783276}"/>
    <hyperlink ref="B313" r:id="rId624" xr:uid="{740974C9-FD4C-744A-AC41-680246FDC281}"/>
    <hyperlink ref="A314" r:id="rId625" xr:uid="{A354E354-46EC-3748-A07C-74ECE22310E6}"/>
    <hyperlink ref="B314" r:id="rId626" xr:uid="{B846A06B-4B2F-B74A-8F01-2C9074991655}"/>
    <hyperlink ref="A315" r:id="rId627" xr:uid="{EC472C4F-7A96-6640-8E53-172721A10756}"/>
    <hyperlink ref="B315" r:id="rId628" xr:uid="{08DC8A70-F808-174B-B3FC-59B4659DB79C}"/>
    <hyperlink ref="A316" r:id="rId629" xr:uid="{A44115E7-BA20-0B49-9D41-07FC962436C1}"/>
    <hyperlink ref="B316" r:id="rId630" xr:uid="{8688DFCA-8E5D-A940-9EFB-AF4D1487B5D1}"/>
    <hyperlink ref="A317" r:id="rId631" xr:uid="{DE65B114-EB31-A94E-A397-38431D2EC865}"/>
    <hyperlink ref="B317" r:id="rId632" xr:uid="{DFA073F5-4BF2-ED45-8A68-CF6798BF9AFB}"/>
    <hyperlink ref="A318" r:id="rId633" xr:uid="{E3171513-A919-9B44-95AF-83B28D8CA591}"/>
    <hyperlink ref="B318" r:id="rId634" xr:uid="{09A37E3E-5318-2C4E-8FB4-693FE7FAC82A}"/>
    <hyperlink ref="A319" r:id="rId635" xr:uid="{96D265A9-9A6F-B541-B39C-7BB157A76685}"/>
    <hyperlink ref="B319" r:id="rId636" xr:uid="{EF8E3EF7-B75E-DC43-A16A-9808A21B4983}"/>
    <hyperlink ref="A320" r:id="rId637" xr:uid="{488A4F94-8724-564B-A70A-E5E0AAB6303D}"/>
    <hyperlink ref="B320" r:id="rId638" xr:uid="{175A5529-8955-EC47-A501-CB7A17ADE7D0}"/>
    <hyperlink ref="A321" r:id="rId639" xr:uid="{CBDC11E5-DCAD-AA4A-AD89-DF76DBA2F4B1}"/>
    <hyperlink ref="B321" r:id="rId640" xr:uid="{7F3D1E12-D0D3-4B48-AC8F-93010949E413}"/>
    <hyperlink ref="A322" r:id="rId641" xr:uid="{D084E104-0445-114F-A11F-FD6BEB6A57A6}"/>
    <hyperlink ref="B322" r:id="rId642" xr:uid="{7A49576C-F58F-4B48-BF19-67EAF871A924}"/>
    <hyperlink ref="A323" r:id="rId643" xr:uid="{0F43DB5E-7414-2840-A2F3-045ACFEDE3CF}"/>
    <hyperlink ref="B323" r:id="rId644" xr:uid="{CB4E9D65-2A06-E748-8C48-8B1FF5C2D439}"/>
    <hyperlink ref="A324" r:id="rId645" xr:uid="{92427671-64DA-284D-A109-B013489FF914}"/>
    <hyperlink ref="B324" r:id="rId646" xr:uid="{796255F9-11DD-1845-A9AA-E81F652AC96C}"/>
    <hyperlink ref="A325" r:id="rId647" xr:uid="{15930B88-1CC4-264C-8342-F7567CFD9ED1}"/>
    <hyperlink ref="B325" r:id="rId648" xr:uid="{123BA8EF-654D-DE4B-A95B-CE5BB3CDFFF4}"/>
    <hyperlink ref="A326" r:id="rId649" xr:uid="{F0C0F8D6-0794-6E4D-A1B4-DD7C524D0C3D}"/>
    <hyperlink ref="B326" r:id="rId650" xr:uid="{1FF28172-A896-824D-AE28-ACAC804FEB2C}"/>
    <hyperlink ref="A327" r:id="rId651" xr:uid="{8A4ED592-3F1A-114D-94D6-C72D6C50BE0F}"/>
    <hyperlink ref="B327" r:id="rId652" xr:uid="{AF79D236-1309-A84F-A11F-D36DE6F45683}"/>
    <hyperlink ref="A328" r:id="rId653" xr:uid="{6E8741F5-281D-9C4E-A87E-FB060E98DBBF}"/>
    <hyperlink ref="B328" r:id="rId654" xr:uid="{25AAB9E3-D3FD-554D-A81A-B6693DA5331B}"/>
    <hyperlink ref="A329" r:id="rId655" xr:uid="{2ACD09CC-AD3E-F840-AB4B-46BDE6FF2EE3}"/>
    <hyperlink ref="B329" r:id="rId656" xr:uid="{50BACE4D-14F5-5C49-9E51-9603B9A920B7}"/>
    <hyperlink ref="A330" r:id="rId657" xr:uid="{C143205E-F58C-2C45-8745-3EF7C8EDE81D}"/>
    <hyperlink ref="B330" r:id="rId658" xr:uid="{7F22F9F6-B038-8240-B825-719C08697FB6}"/>
    <hyperlink ref="A331" r:id="rId659" xr:uid="{25D0BF60-4C3D-6845-8A23-4A78228E0941}"/>
    <hyperlink ref="B331" r:id="rId660" xr:uid="{29785FE7-1D23-8246-AA4C-A997AB61F125}"/>
    <hyperlink ref="A332" r:id="rId661" xr:uid="{A66719C4-8413-D84A-AC5F-B27186AAC760}"/>
    <hyperlink ref="B332" r:id="rId662" xr:uid="{3CDE03BF-3993-F24E-AD46-C1D8C7C0F406}"/>
    <hyperlink ref="A333" r:id="rId663" xr:uid="{A8876B6F-982D-0141-B21B-142B99D96A65}"/>
    <hyperlink ref="B333" r:id="rId664" xr:uid="{D07ED3B4-FBC8-EA4B-A4B7-44C5ACEDB024}"/>
    <hyperlink ref="A334" r:id="rId665" xr:uid="{34F86F90-26BF-9547-821F-694470A35D1E}"/>
    <hyperlink ref="B334" r:id="rId666" xr:uid="{A01F6E03-219C-804A-BDA9-3D6A2082C17C}"/>
    <hyperlink ref="A335" r:id="rId667" xr:uid="{5C5CAE95-2294-5C43-AB40-B135FD5F29D2}"/>
    <hyperlink ref="B335" r:id="rId668" xr:uid="{890E617B-086A-7D43-98BB-5FB7A00D4754}"/>
    <hyperlink ref="A336" r:id="rId669" xr:uid="{CF23DC26-74AB-B143-9B7C-5FAA055FB4C9}"/>
    <hyperlink ref="B336" r:id="rId670" xr:uid="{EAB9C0D0-9FF8-5E4A-B5DB-EE152486526C}"/>
    <hyperlink ref="A337" r:id="rId671" xr:uid="{B9A19AAD-23B3-F542-8FE7-AC50295E0053}"/>
    <hyperlink ref="B337" r:id="rId672" xr:uid="{D483B949-8AEF-8F45-8CF4-9B7A25FD3954}"/>
    <hyperlink ref="A338" r:id="rId673" xr:uid="{50CAFDB1-C0EE-AE42-8292-BAA6F2185DCD}"/>
    <hyperlink ref="B338" r:id="rId674" xr:uid="{09C4AE6A-9D80-6C4C-A4EB-21D3F912829E}"/>
    <hyperlink ref="A339" r:id="rId675" xr:uid="{47075DC1-8898-3A4A-94AC-F82340E423B8}"/>
    <hyperlink ref="B339" r:id="rId676" xr:uid="{8E54C168-E0ED-E049-9314-AAB6C9A35074}"/>
    <hyperlink ref="A340" r:id="rId677" xr:uid="{A1402DAD-8312-F24E-874D-FB4298C37C39}"/>
    <hyperlink ref="B340" r:id="rId678" xr:uid="{C45223B8-C420-9D47-941B-DDA896A0ED38}"/>
    <hyperlink ref="A341" r:id="rId679" xr:uid="{06013F0C-AC11-0C42-972A-4CDEF02F0889}"/>
    <hyperlink ref="B341" r:id="rId680" xr:uid="{93F27094-13A5-D54B-BEDD-7EA1F94DAB39}"/>
    <hyperlink ref="A342" r:id="rId681" xr:uid="{9C0DA5BF-ECC4-7842-B302-739390C7481D}"/>
    <hyperlink ref="B342" r:id="rId682" xr:uid="{09503629-57EC-B94E-B922-20598F1152C8}"/>
    <hyperlink ref="A343" r:id="rId683" xr:uid="{E5A89A90-8B34-6549-A02B-D87618860F0B}"/>
    <hyperlink ref="B343" r:id="rId684" xr:uid="{0B708AA2-6D08-D148-9933-35C4233F2AB6}"/>
    <hyperlink ref="A344" r:id="rId685" xr:uid="{9E5EC816-8249-6746-8CF3-A6B2594506E4}"/>
    <hyperlink ref="B344" r:id="rId686" xr:uid="{7D447ED0-1D52-8846-B266-2450986DD709}"/>
    <hyperlink ref="A345" r:id="rId687" xr:uid="{88CF115E-9025-C847-9487-54832F155F29}"/>
    <hyperlink ref="B345" r:id="rId688" xr:uid="{D2720957-DDE9-F147-9395-DA9362399D16}"/>
    <hyperlink ref="A346" r:id="rId689" xr:uid="{CBE89AEA-F0B9-7345-B565-A12F63BCB4E6}"/>
    <hyperlink ref="B346" r:id="rId690" xr:uid="{C97F18BA-E300-0647-B3C8-3F5AC21A10E0}"/>
    <hyperlink ref="A347" r:id="rId691" xr:uid="{9D4FC550-E3D4-8549-8BAC-39776CF6FBD1}"/>
    <hyperlink ref="B347" r:id="rId692" xr:uid="{747E0076-35EF-CC40-869F-034A81C290E4}"/>
    <hyperlink ref="A348" r:id="rId693" xr:uid="{D3E3804F-443E-BB45-B6F7-8B8790E03119}"/>
    <hyperlink ref="B348" r:id="rId694" xr:uid="{0AB8D403-4D55-5942-9BF3-858EAFD37335}"/>
    <hyperlink ref="A349" r:id="rId695" xr:uid="{D126CCE4-AAEF-FC43-9016-12C02EE9B9F8}"/>
    <hyperlink ref="B349" r:id="rId696" xr:uid="{1EC3C07C-574F-054E-AF62-AA8A5DF15690}"/>
    <hyperlink ref="A350" r:id="rId697" xr:uid="{9241248E-330A-5D45-9F33-C63702F8C07E}"/>
    <hyperlink ref="B350" r:id="rId698" xr:uid="{349E6CCC-2DD7-6041-BB8F-4312FFD91CFC}"/>
    <hyperlink ref="A351" r:id="rId699" xr:uid="{3DF8B8E1-EBC7-464E-9157-746B47A7DC8D}"/>
    <hyperlink ref="B351" r:id="rId700" xr:uid="{D853A1FC-9A71-954F-BA00-1A0958AFD052}"/>
    <hyperlink ref="A352" r:id="rId701" xr:uid="{24B3E31F-BE9F-5B4B-A0DF-697F58D89ABA}"/>
    <hyperlink ref="B352" r:id="rId702" xr:uid="{66C7B07C-86D7-CE46-8748-4AD49438E192}"/>
    <hyperlink ref="A353" r:id="rId703" xr:uid="{5F3D53D9-2130-1648-894A-149EA3E742E7}"/>
    <hyperlink ref="B353" r:id="rId704" xr:uid="{E9D50E45-4A6E-B14C-B105-E24194BD8635}"/>
    <hyperlink ref="A354" r:id="rId705" xr:uid="{9F2248A1-5CD2-8A49-8DAB-E0347A39EABC}"/>
    <hyperlink ref="B354" r:id="rId706" xr:uid="{51B8CAA9-8BA6-144A-8FB6-E0FD64A68F7B}"/>
    <hyperlink ref="A355" r:id="rId707" xr:uid="{85309B0D-AE01-5A4D-9512-057B915A2FA2}"/>
    <hyperlink ref="B355" r:id="rId708" xr:uid="{6C844C4B-4F97-E346-B00F-CA3CED42604C}"/>
    <hyperlink ref="A356" r:id="rId709" xr:uid="{E75AC9E4-7FC0-FD43-9BA5-791D817CA39A}"/>
    <hyperlink ref="B356" r:id="rId710" xr:uid="{4EC7AD94-DBE9-D848-922D-756E4690A09A}"/>
    <hyperlink ref="A357" r:id="rId711" xr:uid="{36E5FAB7-5730-FE4F-B7B0-D3FFBCEBAA87}"/>
    <hyperlink ref="B357" r:id="rId712" xr:uid="{0174BFC7-20B9-B34E-9B4D-1B0F09B5372F}"/>
    <hyperlink ref="A358" r:id="rId713" xr:uid="{C728C00B-4F7D-F347-A7D9-75B46D8F18AE}"/>
    <hyperlink ref="B358" r:id="rId714" xr:uid="{CE5D5727-7426-C647-8034-E50C70C15B2E}"/>
    <hyperlink ref="A359" r:id="rId715" xr:uid="{B6FF735D-1B30-1747-8767-10712F180862}"/>
    <hyperlink ref="B359" r:id="rId716" xr:uid="{CEFFAC06-FD4F-A447-AF60-240444C8EB88}"/>
    <hyperlink ref="A360" r:id="rId717" xr:uid="{21BB4810-73FB-3749-95FC-A37A4AD97808}"/>
    <hyperlink ref="B360" r:id="rId718" xr:uid="{5DE9C52B-9FEE-EF47-A97C-751F65043680}"/>
    <hyperlink ref="A361" r:id="rId719" xr:uid="{62658904-8D80-814A-AC59-1BA6666D58F4}"/>
    <hyperlink ref="B361" r:id="rId720" xr:uid="{3DFD9E31-1C57-6E41-86F2-77F812460ADB}"/>
    <hyperlink ref="A362" r:id="rId721" xr:uid="{05DFD01E-0F5C-CE48-B9CE-C4A348E00BF5}"/>
    <hyperlink ref="B362" r:id="rId722" xr:uid="{09A5F5AC-E5CB-2A45-8035-C45E4B2F941A}"/>
    <hyperlink ref="A363" r:id="rId723" xr:uid="{0A3D8115-2F22-7948-A3D3-1603B4CF6442}"/>
    <hyperlink ref="B363" r:id="rId724" xr:uid="{8C190363-6424-8747-BF8D-E6271ABC083A}"/>
    <hyperlink ref="A364" r:id="rId725" xr:uid="{A2E87B71-4EAF-0245-82BD-BF23484CD50F}"/>
    <hyperlink ref="B364" r:id="rId726" xr:uid="{8D3FAE31-3A53-5A48-9A0A-9F97D67FD3CD}"/>
    <hyperlink ref="A365" r:id="rId727" xr:uid="{3B2E05C7-7EA8-8A47-A031-67FFFA38C113}"/>
    <hyperlink ref="B365" r:id="rId728" xr:uid="{59288A69-278E-0748-ABD6-422429E88454}"/>
    <hyperlink ref="A366" r:id="rId729" xr:uid="{75F8E0B9-9689-2E42-BCDE-D838DD25E60E}"/>
    <hyperlink ref="B366" r:id="rId730" xr:uid="{6E19165F-F3FD-BA41-86CC-90B966153935}"/>
    <hyperlink ref="A367" r:id="rId731" xr:uid="{09A4B8F9-ED68-BF45-BBE4-D1724636D479}"/>
    <hyperlink ref="B367" r:id="rId732" xr:uid="{9D31A1F0-F708-884A-BC62-9F83393DDF02}"/>
    <hyperlink ref="A368" r:id="rId733" xr:uid="{FA1EF9C8-7336-A046-A80D-E53C779360E4}"/>
    <hyperlink ref="B368" r:id="rId734" xr:uid="{2809DAF9-FF3A-6042-9EAE-B4BFB3E6A81D}"/>
    <hyperlink ref="A369" r:id="rId735" xr:uid="{3133827B-EA5F-7D48-809C-34CECE13BDCD}"/>
    <hyperlink ref="B369" r:id="rId736" xr:uid="{E5583B3D-F997-DC4C-8E5A-64C63638A277}"/>
    <hyperlink ref="A370" r:id="rId737" xr:uid="{D3162A56-4241-0F4F-87A9-F01C0810A04E}"/>
    <hyperlink ref="B370" r:id="rId738" xr:uid="{E18FA58B-FBC0-7C42-9F1A-2B564DF4D6B7}"/>
    <hyperlink ref="A371" r:id="rId739" xr:uid="{AB62E5FC-3BE9-AF45-BDAF-EBAAE208049E}"/>
    <hyperlink ref="B371" r:id="rId740" xr:uid="{4ED5C7DC-E0F0-DD4F-8EB5-553836568D7E}"/>
    <hyperlink ref="A372" r:id="rId741" xr:uid="{1E41B626-F68C-224B-8484-9D272BD26297}"/>
    <hyperlink ref="B372" r:id="rId742" xr:uid="{FBBFBECA-5F69-4A4E-B2F7-42E47678AFDB}"/>
    <hyperlink ref="A373" r:id="rId743" xr:uid="{4A597C9E-3BD6-8D49-9202-5F915C049732}"/>
    <hyperlink ref="B373" r:id="rId744" xr:uid="{EE250B7F-9F23-6140-BE7D-F70E845BA299}"/>
    <hyperlink ref="A374" r:id="rId745" xr:uid="{87284B3F-3B9A-9C44-BB23-0FB9E020F58C}"/>
    <hyperlink ref="B374" r:id="rId746" xr:uid="{F953D5FC-443F-6F41-977D-FFCB43CF94CF}"/>
    <hyperlink ref="A375" r:id="rId747" xr:uid="{F04802F5-523A-EB47-9859-B9034DEDCEC8}"/>
    <hyperlink ref="B375" r:id="rId748" xr:uid="{8AE33547-47F0-414F-8C1C-77A4BB641208}"/>
    <hyperlink ref="A376" r:id="rId749" xr:uid="{A072DD84-5534-D343-AF97-79B36AE70308}"/>
    <hyperlink ref="B376" r:id="rId750" xr:uid="{58C6F58D-6521-6D43-AEA7-E69E02B760EA}"/>
    <hyperlink ref="A377" r:id="rId751" xr:uid="{393ABA31-4F43-7F43-899D-57526F745928}"/>
    <hyperlink ref="B377" r:id="rId752" xr:uid="{90099836-B18E-9D47-B172-2A6F9571AB86}"/>
    <hyperlink ref="A378" r:id="rId753" xr:uid="{3AC85B4D-0B30-684A-83EE-A7D3C62222D3}"/>
    <hyperlink ref="B378" r:id="rId754" xr:uid="{78AD2FC7-1CEA-204D-8460-124DBC4B7987}"/>
    <hyperlink ref="A379" r:id="rId755" xr:uid="{CB679576-96A0-5C4F-964D-D4C0A45C276F}"/>
    <hyperlink ref="B379" r:id="rId756" xr:uid="{63CF110E-2F8B-F946-B917-075CE978D6B0}"/>
    <hyperlink ref="A380" r:id="rId757" xr:uid="{2ED73AFF-3318-A44D-B8FC-6A1195623A02}"/>
    <hyperlink ref="B380" r:id="rId758" xr:uid="{BCBFA38C-737D-B744-9085-897531CC4B50}"/>
    <hyperlink ref="A381" r:id="rId759" xr:uid="{7F4A6FA6-4AEF-FC45-B6FF-3E706C3821CA}"/>
    <hyperlink ref="B381" r:id="rId760" xr:uid="{C98474D9-E03F-2D4C-83FD-4AD7EA903A98}"/>
    <hyperlink ref="A382" r:id="rId761" xr:uid="{4A4E0D30-734F-4541-8298-3ED51E22DCA8}"/>
    <hyperlink ref="B382" r:id="rId762" xr:uid="{FFA17336-6FC3-6B4B-9D22-029862064C11}"/>
    <hyperlink ref="A383" r:id="rId763" xr:uid="{DDDD4E82-A033-694D-B015-8ADC2882A614}"/>
    <hyperlink ref="B383" r:id="rId764" xr:uid="{1E2210BF-D00E-BF4C-8ECD-BC65FA1435F6}"/>
    <hyperlink ref="A384" r:id="rId765" xr:uid="{B437222E-D670-BB4F-B5EE-9CAAA3C547B2}"/>
    <hyperlink ref="B384" r:id="rId766" xr:uid="{F356C717-1D37-0A4C-A406-C231070CB70F}"/>
    <hyperlink ref="A385" r:id="rId767" xr:uid="{72AE33A3-443B-8D4C-9E09-BA9EEA4A930E}"/>
    <hyperlink ref="B385" r:id="rId768" xr:uid="{249FAA4D-AF52-7748-844C-3E9678472101}"/>
    <hyperlink ref="A386" r:id="rId769" xr:uid="{2B0F58D4-F073-B94D-B815-7340423968E9}"/>
    <hyperlink ref="B386" r:id="rId770" xr:uid="{5ACEB8F2-93D0-F04E-B0E4-C70B66B5D84E}"/>
    <hyperlink ref="A387" r:id="rId771" xr:uid="{7E0E8E94-CCF0-6342-8EB7-BB25BA0BD42C}"/>
    <hyperlink ref="B387" r:id="rId772" xr:uid="{66E1E570-B79E-5B40-803A-948599D88413}"/>
    <hyperlink ref="A388" r:id="rId773" xr:uid="{88904EE6-AD1F-E347-A844-AE38B50C0F2D}"/>
    <hyperlink ref="B388" r:id="rId774" xr:uid="{85BE2B8F-96EC-F942-B3D3-0A44F33FDCC7}"/>
    <hyperlink ref="A389" r:id="rId775" xr:uid="{0FC780D8-B92F-3D4D-9185-BAAB2CB9C7C2}"/>
    <hyperlink ref="B389" r:id="rId776" xr:uid="{AA525E8D-E8BE-0349-A00B-38BF89803D0B}"/>
    <hyperlink ref="A390" r:id="rId777" xr:uid="{65709F2C-093B-7E44-B2E3-1C05968A2577}"/>
    <hyperlink ref="B390" r:id="rId778" xr:uid="{4571DE4B-0FA1-4E41-A1A9-B7C966979623}"/>
    <hyperlink ref="A391" r:id="rId779" xr:uid="{208BEC15-5C72-694B-969C-C2C778D51914}"/>
    <hyperlink ref="B391" r:id="rId780" xr:uid="{E294754F-8020-9747-A7C8-DBF2AA585AFB}"/>
    <hyperlink ref="A392" r:id="rId781" xr:uid="{38ADA7D0-7517-E846-AC7D-CE8591345E50}"/>
    <hyperlink ref="B392" r:id="rId782" xr:uid="{5FFC7B50-7C1E-F547-8FF9-B5DC2742D3AA}"/>
    <hyperlink ref="A393" r:id="rId783" xr:uid="{F677AA87-2715-EC4E-ADA2-778782A37136}"/>
    <hyperlink ref="B393" r:id="rId784" xr:uid="{395E9EF3-52D2-DE4F-95F2-A8D8197266A2}"/>
    <hyperlink ref="A394" r:id="rId785" xr:uid="{90EE6993-522E-5D49-BB25-15715F545167}"/>
    <hyperlink ref="B394" r:id="rId786" xr:uid="{162A5EFC-578A-0A4D-A79F-57F59E512FB7}"/>
    <hyperlink ref="A395" r:id="rId787" xr:uid="{9951AE61-8115-974E-ABDA-537DC09AC831}"/>
    <hyperlink ref="B395" r:id="rId788" xr:uid="{151329FE-E40D-474E-A656-D510E99F0D6D}"/>
    <hyperlink ref="A396" r:id="rId789" xr:uid="{C1921EF8-2E35-084F-AFAA-388E109AEBC7}"/>
    <hyperlink ref="B396" r:id="rId790" xr:uid="{506B077D-DA88-6E4D-808A-B149BA2F9DC5}"/>
    <hyperlink ref="A397" r:id="rId791" xr:uid="{850895CF-2B39-4F4B-8B48-2A94708CDFA5}"/>
    <hyperlink ref="B397" r:id="rId792" xr:uid="{39A5B669-7296-C042-B096-E5E7F7A5CDD3}"/>
    <hyperlink ref="A398" r:id="rId793" xr:uid="{97E45D7B-5C98-1442-AA7B-382B82FB025D}"/>
    <hyperlink ref="B398" r:id="rId794" xr:uid="{6A907561-0A4A-874F-8728-1171452B2C08}"/>
    <hyperlink ref="A399" r:id="rId795" xr:uid="{B7E5B99E-728E-E749-A13C-5701FC3C1A92}"/>
    <hyperlink ref="B399" r:id="rId796" xr:uid="{78F8DD11-CCD7-8944-B1E7-05726B7D17B8}"/>
    <hyperlink ref="A400" r:id="rId797" xr:uid="{7041E325-44A2-0F44-9089-A61585A5B880}"/>
    <hyperlink ref="B400" r:id="rId798" xr:uid="{03BB4547-B198-A049-B1DF-ADC1EA01CEBA}"/>
    <hyperlink ref="A401" r:id="rId799" xr:uid="{E7225D36-BC6F-424F-AA38-6723E3E5675D}"/>
    <hyperlink ref="B401" r:id="rId800" xr:uid="{BBB1278D-5C89-884F-ADA3-E3826CD3F20D}"/>
    <hyperlink ref="A402" r:id="rId801" xr:uid="{F47A0CA2-6ACF-D64B-A7CD-654432757C28}"/>
    <hyperlink ref="B402" r:id="rId802" xr:uid="{143CD4C2-9F87-C84A-8A92-EDDC2EC490C4}"/>
    <hyperlink ref="A403" r:id="rId803" xr:uid="{B7C7B2DC-7C22-A643-845B-F91F8910FCD3}"/>
    <hyperlink ref="B403" r:id="rId804" xr:uid="{51496FDA-05A7-0046-ABF4-1E2E8AC87714}"/>
    <hyperlink ref="A404" r:id="rId805" xr:uid="{84E7A319-ED97-864A-A14E-C30A813506C7}"/>
    <hyperlink ref="B404" r:id="rId806" xr:uid="{017D3255-63E7-924E-918A-6298003EDE90}"/>
    <hyperlink ref="A405" r:id="rId807" xr:uid="{118192BC-006B-2D44-8440-73A1B7F330B5}"/>
    <hyperlink ref="B405" r:id="rId808" xr:uid="{CB93C6A7-E736-2146-98DE-E6BA10BDD061}"/>
    <hyperlink ref="A406" r:id="rId809" xr:uid="{2FD28582-E7B8-1D4B-8C43-D3B9B1A236A6}"/>
    <hyperlink ref="B406" r:id="rId810" xr:uid="{AF20B46D-4C31-CC49-9A8E-1D611F8AA030}"/>
    <hyperlink ref="A407" r:id="rId811" xr:uid="{E02E3EDE-4303-9246-828B-D184BAD9B825}"/>
    <hyperlink ref="B407" r:id="rId812" xr:uid="{43D1965F-F7C5-C243-AAAC-B7E8FAD18B24}"/>
    <hyperlink ref="A408" r:id="rId813" xr:uid="{E5E64264-8427-CA49-84E9-AF0B89F666E7}"/>
    <hyperlink ref="B408" r:id="rId814" xr:uid="{469628B5-25E2-414C-862E-03A188AD9664}"/>
    <hyperlink ref="A409" r:id="rId815" xr:uid="{AE63B2A3-EA9A-CC44-A347-AF90FDF36210}"/>
    <hyperlink ref="B409" r:id="rId816" xr:uid="{222A91D7-C2DC-AB42-BB4A-6843B9AF7CD4}"/>
    <hyperlink ref="A410" r:id="rId817" xr:uid="{EA645C62-FA6E-124E-89F1-06131FCE7235}"/>
    <hyperlink ref="B410" r:id="rId818" xr:uid="{872D9633-D3AF-E344-AE3D-59F9D95287C3}"/>
    <hyperlink ref="A411" r:id="rId819" xr:uid="{C729E464-D8C4-FD4D-882B-43315AC8C3D3}"/>
    <hyperlink ref="B411" r:id="rId820" xr:uid="{D0BDB085-C0F3-934A-899B-26BD45F70E7D}"/>
    <hyperlink ref="A412" r:id="rId821" xr:uid="{E3ABB8C2-4139-B64B-81E2-549D721E717D}"/>
    <hyperlink ref="B412" r:id="rId822" xr:uid="{E9E167F6-9280-C64C-97A5-AF4E498558CC}"/>
    <hyperlink ref="A413" r:id="rId823" xr:uid="{B344F00B-E5CC-AD4F-AB12-58417FF33259}"/>
    <hyperlink ref="B413" r:id="rId824" xr:uid="{5A25A3D2-78CE-9546-AFD5-07DBD27DB906}"/>
    <hyperlink ref="A414" r:id="rId825" xr:uid="{37C483B3-D686-9D46-A102-D2E46920864D}"/>
    <hyperlink ref="B414" r:id="rId826" xr:uid="{F41C7983-61DC-C747-A173-DFC7598FB083}"/>
    <hyperlink ref="A415" r:id="rId827" xr:uid="{7044E586-4B69-8D4F-8748-50FA683087BD}"/>
    <hyperlink ref="B415" r:id="rId828" xr:uid="{48AF5F2D-B182-2B4A-A304-8A66328B10A2}"/>
    <hyperlink ref="A416" r:id="rId829" xr:uid="{D7704AD8-2C7F-A146-B949-00C0C75D238C}"/>
    <hyperlink ref="B416" r:id="rId830" xr:uid="{C1459B6F-27A8-0145-A3E6-AA7AE94AD1FF}"/>
    <hyperlink ref="A417" r:id="rId831" xr:uid="{CE354FE8-5D34-A84F-B934-B80B10B0DC71}"/>
    <hyperlink ref="B417" r:id="rId832" xr:uid="{A8B7F899-51A8-EE4A-A709-4C460BFB9468}"/>
    <hyperlink ref="A418" r:id="rId833" xr:uid="{3667696A-2218-D244-BABD-123CF2BE4B9C}"/>
    <hyperlink ref="B418" r:id="rId834" xr:uid="{06FA08A1-17A1-C14C-9138-5816A2F80CFB}"/>
    <hyperlink ref="A419" r:id="rId835" xr:uid="{014CFE11-519A-AB48-A417-CBDB0D6AA375}"/>
    <hyperlink ref="B419" r:id="rId836" xr:uid="{985FBAFF-AABA-FD4D-B9CD-13BE49FF7C8E}"/>
    <hyperlink ref="A420" r:id="rId837" xr:uid="{E3C86D89-0ACA-8A41-B337-7E92B2E34766}"/>
    <hyperlink ref="B420" r:id="rId838" xr:uid="{867DA7D9-F128-7E4D-9A16-84D9F8860939}"/>
    <hyperlink ref="A421" r:id="rId839" xr:uid="{3A5472B9-3B0C-5749-9209-5026F2947650}"/>
    <hyperlink ref="B421" r:id="rId840" xr:uid="{15B27650-1F99-3941-90FF-59DA79115071}"/>
    <hyperlink ref="A422" r:id="rId841" xr:uid="{10434A7D-D88A-DF4A-B858-8F24179658BD}"/>
    <hyperlink ref="B422" r:id="rId842" xr:uid="{C837F5F9-B000-EB45-A9AE-9A379534166D}"/>
    <hyperlink ref="A423" r:id="rId843" xr:uid="{D89251C6-5379-AB49-A010-F26083BECCF5}"/>
    <hyperlink ref="B423" r:id="rId844" xr:uid="{735529BA-DE81-424D-89CC-04F0446DE58D}"/>
    <hyperlink ref="A424" r:id="rId845" xr:uid="{9D7A7CC9-EB99-CD41-8665-7EB5A6366B5C}"/>
    <hyperlink ref="B424" r:id="rId846" xr:uid="{CA7B609C-16A9-974A-9FAE-99A3DE1567AF}"/>
    <hyperlink ref="A425" r:id="rId847" xr:uid="{06F97433-D975-8E4B-9E13-67D7A151C819}"/>
    <hyperlink ref="B425" r:id="rId848" xr:uid="{8444DD85-FCF5-CD40-915D-BCE580FE6047}"/>
    <hyperlink ref="A426" r:id="rId849" xr:uid="{8A493FA9-4D62-134A-9B41-4F93B8A762DB}"/>
    <hyperlink ref="B426" r:id="rId850" xr:uid="{09CDD22E-ECE1-5146-8598-9328FB5DA0F6}"/>
    <hyperlink ref="A427" r:id="rId851" xr:uid="{B7AE95E0-6FD0-4447-AB34-07DFF941DD61}"/>
    <hyperlink ref="B427" r:id="rId852" xr:uid="{E29D21DA-AB8F-4F41-B0B5-7A6BBA73D2B3}"/>
    <hyperlink ref="A428" r:id="rId853" xr:uid="{AA0424AA-F57F-D34A-9DCC-6BCBAA7640DF}"/>
    <hyperlink ref="B428" r:id="rId854" xr:uid="{68EC9DDB-3F60-6C43-872D-BB5D327EBADF}"/>
    <hyperlink ref="A429" r:id="rId855" xr:uid="{2380424D-6A34-D646-BA40-1EB044B2FC25}"/>
    <hyperlink ref="B429" r:id="rId856" xr:uid="{265F7BE8-3107-EA49-9A03-18BC96A7FB64}"/>
    <hyperlink ref="A430" r:id="rId857" xr:uid="{5458671E-F6E3-2E4B-BF4B-A86FD95009FE}"/>
    <hyperlink ref="B430" r:id="rId858" xr:uid="{9B2A08A0-0604-5849-8FFA-8BA0291F8E46}"/>
    <hyperlink ref="A431" r:id="rId859" xr:uid="{60AAB1B0-23FC-ED42-9D4C-9537E302534A}"/>
    <hyperlink ref="B431" r:id="rId860" xr:uid="{76FE1335-4B77-9345-9AB8-3E31031E8577}"/>
    <hyperlink ref="A432" r:id="rId861" xr:uid="{759A26C8-FB0A-AE4C-B8B1-84D003C7F19F}"/>
    <hyperlink ref="B432" r:id="rId862" xr:uid="{522F7A71-8FD2-8E45-86F9-BBC1C00D2FB0}"/>
    <hyperlink ref="A433" r:id="rId863" xr:uid="{0AE68508-739D-6248-AFA6-D949953A106D}"/>
    <hyperlink ref="B433" r:id="rId864" xr:uid="{38AFE6A1-1D59-894A-850D-AE30EFC7BF6E}"/>
    <hyperlink ref="A434" r:id="rId865" xr:uid="{4C8874C8-7D6E-A84E-B8BE-6DEB60D3B91D}"/>
    <hyperlink ref="B434" r:id="rId866" xr:uid="{C592964F-FC18-7441-8DCA-7DA511D49950}"/>
    <hyperlink ref="A435" r:id="rId867" xr:uid="{578F24CB-E713-1545-B9D2-801C82B9C8DC}"/>
    <hyperlink ref="B435" r:id="rId868" xr:uid="{4E5BB308-29FD-774C-A81D-EAA7B0484ECF}"/>
    <hyperlink ref="A436" r:id="rId869" xr:uid="{B24B9C1A-1249-E549-97BE-D919ABF5AE55}"/>
    <hyperlink ref="B436" r:id="rId870" xr:uid="{14392646-722E-604C-A860-AFDA57B2CB54}"/>
    <hyperlink ref="A437" r:id="rId871" xr:uid="{FB44BDAD-0CD5-DD45-BF6D-30394773200F}"/>
    <hyperlink ref="B437" r:id="rId872" xr:uid="{5A2E5E31-2177-0F4F-86CA-66DE7BB3D083}"/>
    <hyperlink ref="A438" r:id="rId873" xr:uid="{9F45CFE7-B5F9-A543-A935-4E90C457E5A9}"/>
    <hyperlink ref="B438" r:id="rId874" xr:uid="{143C5B21-6235-884D-8A83-A543EF14E660}"/>
    <hyperlink ref="A439" r:id="rId875" xr:uid="{B4D7F119-92B9-D544-956A-70C0D316CFDC}"/>
    <hyperlink ref="B439" r:id="rId876" xr:uid="{9D32E49E-1944-EA46-A028-5A6CCDFEB04C}"/>
    <hyperlink ref="A440" r:id="rId877" xr:uid="{00BA19F2-937B-6243-94C2-C30EDEAAF212}"/>
    <hyperlink ref="B440" r:id="rId878" xr:uid="{4883D4CC-A839-3A42-B69A-6D8897ADD94A}"/>
    <hyperlink ref="A441" r:id="rId879" xr:uid="{D69B2804-0FA7-9D45-8997-8D8038571553}"/>
    <hyperlink ref="B441" r:id="rId880" xr:uid="{B592697D-0C56-FF46-9E81-9585D69AF28F}"/>
    <hyperlink ref="A442" r:id="rId881" xr:uid="{242C9ED3-D115-D04B-81AB-60F6418CC22C}"/>
    <hyperlink ref="B442" r:id="rId882" xr:uid="{FB241EA3-DFA6-8E46-B48A-D8B88030E304}"/>
    <hyperlink ref="A443" r:id="rId883" xr:uid="{CCB1CA72-830A-5645-B1E2-5E10B37EF498}"/>
    <hyperlink ref="B443" r:id="rId884" xr:uid="{BB0447C4-B030-B944-AF32-E5A23C4D6D7F}"/>
    <hyperlink ref="A444" r:id="rId885" xr:uid="{F098FDF9-83D0-AA41-BFE5-544463BF1FF6}"/>
    <hyperlink ref="B444" r:id="rId886" xr:uid="{30DFF4BD-FC3A-7841-8EC4-F0B4EFA0E09C}"/>
    <hyperlink ref="A445" r:id="rId887" xr:uid="{D6A68651-A722-2D44-9836-7C4C219F4F38}"/>
    <hyperlink ref="B445" r:id="rId888" xr:uid="{F374757B-677D-4E41-949F-7CB942403614}"/>
    <hyperlink ref="A446" r:id="rId889" xr:uid="{E378C801-4005-6548-A030-4E96AE9E7337}"/>
    <hyperlink ref="B446" r:id="rId890" xr:uid="{13636DB8-61D1-7243-8724-04DE2C20FC26}"/>
    <hyperlink ref="A447" r:id="rId891" xr:uid="{CED57EB5-2587-A946-A6BB-9043F8142FEC}"/>
    <hyperlink ref="B447" r:id="rId892" xr:uid="{E44EEDD4-5D5F-AB4D-BD6D-BF9E503088A5}"/>
    <hyperlink ref="A448" r:id="rId893" xr:uid="{A4250E7E-92EA-4F49-889E-753671864681}"/>
    <hyperlink ref="B448" r:id="rId894" xr:uid="{9B236E16-6602-7543-9B7D-9C757F89F471}"/>
    <hyperlink ref="A449" r:id="rId895" xr:uid="{60BA779E-DABD-3445-A37D-BC9CEF306AE3}"/>
    <hyperlink ref="B449" r:id="rId896" xr:uid="{523B2234-1C14-8C4C-9818-6424FF73DD85}"/>
    <hyperlink ref="A450" r:id="rId897" xr:uid="{4625DE84-0771-2B43-8B5F-1A36CE0BFC9B}"/>
    <hyperlink ref="B450" r:id="rId898" xr:uid="{EA310FA1-E12A-594D-9C4B-2C62F4FA0F34}"/>
    <hyperlink ref="A451" r:id="rId899" xr:uid="{99262F29-F4B0-EB40-96A7-626996B4EF66}"/>
    <hyperlink ref="B451" r:id="rId900" xr:uid="{9871D755-DAD8-9243-AE75-21F17293CB59}"/>
    <hyperlink ref="A452" r:id="rId901" xr:uid="{52768FC3-CD9B-754F-B389-B28FED360E25}"/>
    <hyperlink ref="B452" r:id="rId902" xr:uid="{B9BEB3A3-7BF0-E342-9719-C11364D15258}"/>
    <hyperlink ref="A453" r:id="rId903" xr:uid="{CECD6E6D-3398-C94F-8416-440609A006AE}"/>
    <hyperlink ref="B453" r:id="rId904" xr:uid="{4B48A500-22BD-E94B-9E3B-C3B8A999C482}"/>
    <hyperlink ref="A454" r:id="rId905" xr:uid="{EEBA09FB-512F-E845-8EEC-FF6922970C60}"/>
    <hyperlink ref="B454" r:id="rId906" xr:uid="{9DE75774-29CC-C845-82BA-3EBD6124CCEE}"/>
    <hyperlink ref="A455" r:id="rId907" xr:uid="{20946111-AB1F-0844-9378-AE530A271A83}"/>
    <hyperlink ref="B455" r:id="rId908" xr:uid="{FDB6CC56-687F-AA4D-96F5-34D8BDE17A92}"/>
    <hyperlink ref="A456" r:id="rId909" xr:uid="{4F0D87CE-ECEE-D140-860F-85FD052D98F1}"/>
    <hyperlink ref="B456" r:id="rId910" xr:uid="{B60242ED-C15C-9C43-9CF6-D71FF680CEE6}"/>
    <hyperlink ref="A457" r:id="rId911" xr:uid="{E052DF5C-DE9C-2146-83D2-0FC653A4DD60}"/>
    <hyperlink ref="B457" r:id="rId912" xr:uid="{883E2B17-1C01-F549-91D7-75BB90462EA6}"/>
    <hyperlink ref="A458" r:id="rId913" xr:uid="{CF9D975B-F5D2-DE4B-BEAD-077BC35553E5}"/>
    <hyperlink ref="B458" r:id="rId914" xr:uid="{17A5B5D8-A5E6-F143-BC33-F67904F4C966}"/>
    <hyperlink ref="A459" r:id="rId915" xr:uid="{66E8865D-AB77-7F44-A226-249DB8BF04F9}"/>
    <hyperlink ref="B459" r:id="rId916" xr:uid="{4AF9B936-3FE0-044E-8F72-C741F8E1B43C}"/>
    <hyperlink ref="A460" r:id="rId917" xr:uid="{1F609B85-0BA3-424E-A448-683CC8AABB0C}"/>
    <hyperlink ref="B460" r:id="rId918" xr:uid="{FF8CAAB5-8ACC-194F-B1AC-56D30625D6A2}"/>
    <hyperlink ref="A461" r:id="rId919" xr:uid="{7D1A66F5-18A9-B042-A04F-54AFE63BD38C}"/>
    <hyperlink ref="B461" r:id="rId920" xr:uid="{99D64278-8C6E-2848-8D89-FF270E3C35D3}"/>
    <hyperlink ref="A462" r:id="rId921" xr:uid="{AA7EAE65-72F9-1B43-B96E-114B8761FB57}"/>
    <hyperlink ref="B462" r:id="rId922" xr:uid="{96A15F8F-6FEA-0146-9B21-09E664F295BD}"/>
    <hyperlink ref="A463" r:id="rId923" xr:uid="{FFBC2FB5-0ABC-5E44-8CA4-30EC77E2285B}"/>
    <hyperlink ref="B463" r:id="rId924" xr:uid="{AC73D816-E60D-7948-A15B-3257D676F380}"/>
    <hyperlink ref="A464" r:id="rId925" xr:uid="{56059882-BE06-7540-83D7-F3F0712F4B6F}"/>
    <hyperlink ref="B464" r:id="rId926" xr:uid="{DDA443EF-B152-DB49-8B72-0729EFDDF761}"/>
    <hyperlink ref="A465" r:id="rId927" xr:uid="{C0E6E84A-4138-6646-B2BB-99BD9496CFCF}"/>
    <hyperlink ref="B465" r:id="rId928" xr:uid="{05067388-0199-A94D-A44B-E2F6A50601D4}"/>
    <hyperlink ref="A466" r:id="rId929" xr:uid="{93ABA3CB-D509-DE49-B9FD-9E0FBB21A9BC}"/>
    <hyperlink ref="B466" r:id="rId930" xr:uid="{E94F35AB-F1D2-E743-93C5-5A0FB905C8C0}"/>
    <hyperlink ref="A467" r:id="rId931" xr:uid="{E7DD2343-0C6D-074F-B410-FDF0564A88D8}"/>
    <hyperlink ref="B467" r:id="rId932" xr:uid="{11030190-7E93-364B-9FB2-D2AF9C76F3FB}"/>
    <hyperlink ref="A468" r:id="rId933" xr:uid="{836059EB-5F17-3D42-9D43-7E2D11FDA573}"/>
    <hyperlink ref="B468" r:id="rId934" xr:uid="{DE56AE17-487B-4840-95CA-227634D4CE32}"/>
    <hyperlink ref="A469" r:id="rId935" xr:uid="{07CE68DB-8A6F-7345-B47B-A034A86D50B4}"/>
    <hyperlink ref="B469" r:id="rId936" xr:uid="{FFCDEC38-32D1-E248-BB77-D0276D0BD3F4}"/>
    <hyperlink ref="A470" r:id="rId937" xr:uid="{1118A953-E35B-F54A-8708-DFAA3BAC9C74}"/>
    <hyperlink ref="B470" r:id="rId938" xr:uid="{B3BF5C02-31B5-7A47-B85A-B3DE48C4C6A2}"/>
    <hyperlink ref="A471" r:id="rId939" xr:uid="{9BAA6DCB-C691-8D42-B293-460844BA12A7}"/>
    <hyperlink ref="B471" r:id="rId940" xr:uid="{01DCF9E8-ED48-D14B-9F16-24442725BAD1}"/>
    <hyperlink ref="A472" r:id="rId941" xr:uid="{60B69941-DE8B-7D4C-8E74-744A68752E8B}"/>
    <hyperlink ref="B472" r:id="rId942" xr:uid="{503309A8-7D78-BA47-B134-5BE7E7167B79}"/>
    <hyperlink ref="A473" r:id="rId943" xr:uid="{EE650674-35E8-EF4F-BED9-CBA5DE8874A0}"/>
    <hyperlink ref="B473" r:id="rId944" xr:uid="{E15098B0-CFCD-E34A-AE49-1FE7FD1803EA}"/>
    <hyperlink ref="A474" r:id="rId945" xr:uid="{F46E6DA7-E7BA-F44C-8362-804C5BE83A60}"/>
    <hyperlink ref="B474" r:id="rId946" xr:uid="{C6507A92-BF9A-AF42-A9B2-D7EE34523BD1}"/>
    <hyperlink ref="A475" r:id="rId947" xr:uid="{BF3FAE65-6C2D-6341-A137-222FEECED5B8}"/>
    <hyperlink ref="B475" r:id="rId948" xr:uid="{8C1A38DE-92CE-6E45-BE2D-379AE7C1D9D2}"/>
    <hyperlink ref="A476" r:id="rId949" xr:uid="{CABF392A-7101-0441-A1C0-940DFFCD6CA6}"/>
    <hyperlink ref="B476" r:id="rId950" xr:uid="{67782F88-0877-7747-A4D0-045A7AAE77CE}"/>
    <hyperlink ref="A477" r:id="rId951" xr:uid="{0D82E2BE-91DA-BB43-A3D0-AD7CCE63C6E0}"/>
    <hyperlink ref="B477" r:id="rId952" xr:uid="{ACBC7137-4960-3647-B15C-0AF3DD768562}"/>
    <hyperlink ref="A478" r:id="rId953" xr:uid="{2C9ED6D7-810C-F446-A84E-B59D7B0A78D3}"/>
    <hyperlink ref="B478" r:id="rId954" xr:uid="{BBE028BF-0158-4B4B-8779-754CB9DDFA51}"/>
    <hyperlink ref="A479" r:id="rId955" xr:uid="{4D9D953D-2C8E-E248-B562-2A34CB589211}"/>
    <hyperlink ref="B479" r:id="rId956" xr:uid="{297B3092-8968-A640-AB50-9166B132CC66}"/>
    <hyperlink ref="A480" r:id="rId957" xr:uid="{A28B6F9A-1F52-DC44-AA7E-1471CAF6F569}"/>
    <hyperlink ref="B480" r:id="rId958" xr:uid="{A77C5D1F-C19F-7943-8EDA-0D6725F99AD0}"/>
    <hyperlink ref="A481" r:id="rId959" xr:uid="{CF4C4295-27D9-EE4C-80A5-B94C6ACDA23F}"/>
    <hyperlink ref="B481" r:id="rId960" xr:uid="{837844AE-2CDF-C54A-9340-2AD958A8BE93}"/>
    <hyperlink ref="A482" r:id="rId961" xr:uid="{04BB12D4-6AA3-E34F-8891-089FF6A504CE}"/>
    <hyperlink ref="B482" r:id="rId962" xr:uid="{A78A544A-AF64-AD44-8E1A-CCE9D417A8AD}"/>
    <hyperlink ref="A483" r:id="rId963" xr:uid="{654500A7-10D7-6A41-ADA0-E157F52C56FC}"/>
    <hyperlink ref="B483" r:id="rId964" xr:uid="{61039CB9-83FF-E34B-AAC3-495096AB976B}"/>
    <hyperlink ref="A484" r:id="rId965" xr:uid="{E3E6C427-FE41-1B41-913D-78968EEAF134}"/>
    <hyperlink ref="B484" r:id="rId966" xr:uid="{4BB37516-C956-EA4B-A66A-943D941021FD}"/>
    <hyperlink ref="A485" r:id="rId967" xr:uid="{29ED47BE-14A0-8B4E-9DAB-46671F9B5893}"/>
    <hyperlink ref="B485" r:id="rId968" xr:uid="{263F38AC-7B69-4145-8C6A-D5491D900F7A}"/>
    <hyperlink ref="A486" r:id="rId969" xr:uid="{32FC4C53-3ECF-F149-8284-3A6077D9FD01}"/>
    <hyperlink ref="B486" r:id="rId970" xr:uid="{C6BF97A0-B525-A24C-86BB-C118E2080793}"/>
    <hyperlink ref="A487" r:id="rId971" xr:uid="{D8890ACF-EB15-CD4A-A96F-E6B2F11FFE90}"/>
    <hyperlink ref="B487" r:id="rId972" xr:uid="{7A96BF4F-8988-F147-B4EA-21F3408C5907}"/>
    <hyperlink ref="A488" r:id="rId973" xr:uid="{F5AA9138-7F4C-8D4B-9BE5-8F8A381A7194}"/>
    <hyperlink ref="B488" r:id="rId974" xr:uid="{E2789A79-1343-B24A-8EFC-768563E428E4}"/>
    <hyperlink ref="A489" r:id="rId975" xr:uid="{51059D1C-6DED-E247-B6C1-E33BF7EEBF83}"/>
    <hyperlink ref="B489" r:id="rId976" xr:uid="{69F39652-41A7-1D48-B817-1EC455871E0F}"/>
    <hyperlink ref="A490" r:id="rId977" xr:uid="{1C6A1FC8-2984-B949-B73D-81E3B2B0FBA5}"/>
    <hyperlink ref="B490" r:id="rId978" xr:uid="{5B5492BD-64EA-5C4D-96AB-FDD83BD9B4F4}"/>
    <hyperlink ref="A491" r:id="rId979" xr:uid="{B39FD54B-1C3D-9A4A-812F-61EE45ECFA9C}"/>
    <hyperlink ref="B491" r:id="rId980" xr:uid="{E55687D8-CACE-7849-8704-59EEF598E138}"/>
    <hyperlink ref="A492" r:id="rId981" xr:uid="{427446A1-91E2-E846-9470-0F72D135F8F7}"/>
    <hyperlink ref="B492" r:id="rId982" xr:uid="{4DE3B29D-9FDB-1D4E-921E-8A078AC69C2B}"/>
    <hyperlink ref="A493" r:id="rId983" xr:uid="{DBA37AD7-FF55-444C-9AF1-1BF37C7B469C}"/>
    <hyperlink ref="B493" r:id="rId984" xr:uid="{44BD9E34-562B-9F46-8571-063213B169A3}"/>
    <hyperlink ref="A494" r:id="rId985" xr:uid="{ACB43E07-710F-F844-A565-A7F4B489F2F1}"/>
    <hyperlink ref="B494" r:id="rId986" xr:uid="{F4433E9E-3FDB-514D-9722-95F6AB1BD142}"/>
    <hyperlink ref="A495" r:id="rId987" xr:uid="{1903B55D-EB84-D843-8313-030EEF977114}"/>
    <hyperlink ref="B495" r:id="rId988" xr:uid="{1FEF8B21-EBF5-8D4C-B9EE-3575FB01A034}"/>
    <hyperlink ref="A496" r:id="rId989" xr:uid="{FE46749D-AB98-D64F-84B2-BF36DDE70922}"/>
    <hyperlink ref="B496" r:id="rId990" xr:uid="{06290FFC-399E-414A-AEF6-C358EC7DCF36}"/>
    <hyperlink ref="A497" r:id="rId991" xr:uid="{58844D54-E37E-D64A-928F-49604C283565}"/>
    <hyperlink ref="B497" r:id="rId992" xr:uid="{1BB8426A-6922-B647-8C12-C7860C849167}"/>
    <hyperlink ref="A498" r:id="rId993" xr:uid="{6AC20FFF-77D0-B94D-9CCF-CA17737B1CBF}"/>
    <hyperlink ref="B498" r:id="rId994" xr:uid="{96D60938-026D-4E49-A3D9-02CB94D54B77}"/>
    <hyperlink ref="A499" r:id="rId995" xr:uid="{077CA275-F919-9F42-95BF-7573B150A14E}"/>
    <hyperlink ref="B499" r:id="rId996" xr:uid="{73E95346-37BD-BE42-BEF8-B20F6956E6EB}"/>
    <hyperlink ref="A500" r:id="rId997" xr:uid="{CA5503C3-B8AA-BA42-8B35-19E4F17B2C3B}"/>
    <hyperlink ref="B500" r:id="rId998" xr:uid="{58EA9B8D-4341-FB43-8569-ED17FE1F17E1}"/>
    <hyperlink ref="A501" r:id="rId999" xr:uid="{9E0B5098-87B9-A643-8711-AE0936491C69}"/>
    <hyperlink ref="B501" r:id="rId1000" xr:uid="{3E2DAC25-4DC7-3A42-8DB9-E15063073CE6}"/>
    <hyperlink ref="A502" r:id="rId1001" xr:uid="{8DCC1DD4-6928-B343-B38A-96E93E37CF05}"/>
    <hyperlink ref="B502" r:id="rId1002" xr:uid="{F8F2B228-8C87-D741-B168-091E6A7A29B5}"/>
    <hyperlink ref="A503" r:id="rId1003" xr:uid="{2978608B-389B-8C43-B62F-048CE5AEACAD}"/>
    <hyperlink ref="B503" r:id="rId1004" xr:uid="{5A7582E4-5A20-D843-9E07-B7AF71A4DE43}"/>
    <hyperlink ref="A504" r:id="rId1005" xr:uid="{E292D861-412B-B84F-A32D-D74CFDBC978B}"/>
    <hyperlink ref="B504" r:id="rId1006" xr:uid="{6667DA7D-E50A-EB49-A5D3-6F0FFD5EBF0B}"/>
    <hyperlink ref="A505" r:id="rId1007" xr:uid="{0A9FD715-EC45-AD43-AE6B-5878D6722719}"/>
    <hyperlink ref="B505" r:id="rId1008" xr:uid="{60A5916A-6BAB-3B4E-8207-FE7A949405FC}"/>
    <hyperlink ref="A506" r:id="rId1009" xr:uid="{8DC02CF8-CB59-1D43-8702-403320032205}"/>
    <hyperlink ref="B506" r:id="rId1010" xr:uid="{F7D9CE8C-EBEA-3243-B56B-AE5C84C1DB22}"/>
    <hyperlink ref="A507" r:id="rId1011" xr:uid="{41F04853-B810-6148-8AD0-9FBEBF268330}"/>
    <hyperlink ref="B507" r:id="rId1012" xr:uid="{7A56260E-43B6-4C41-A619-F234364A238E}"/>
    <hyperlink ref="A508" r:id="rId1013" xr:uid="{0CA935AF-72AF-1E4B-868E-5E5F6A4AF266}"/>
    <hyperlink ref="B508" r:id="rId1014" xr:uid="{3344F8CB-AB4F-B24D-984C-5B178C3B444A}"/>
    <hyperlink ref="A509" r:id="rId1015" xr:uid="{D6350B8A-4544-894D-A67E-86074E22D47C}"/>
    <hyperlink ref="B509" r:id="rId1016" xr:uid="{F3FA3924-C11D-F24F-B45B-C8267DDD9568}"/>
    <hyperlink ref="A510" r:id="rId1017" xr:uid="{79643B16-9054-EB43-BBDF-0CAEE265442F}"/>
    <hyperlink ref="B510" r:id="rId1018" xr:uid="{D1C611FA-DC44-FB45-B5B6-5393D9E183E7}"/>
    <hyperlink ref="A511" r:id="rId1019" xr:uid="{B6E44852-EEDA-054A-8EEA-2EF3967273F7}"/>
    <hyperlink ref="B511" r:id="rId1020" xr:uid="{78AAC252-325D-AC46-BD4D-1B612123B57E}"/>
    <hyperlink ref="A512" r:id="rId1021" xr:uid="{C658184C-4944-1E4E-A285-96AD8A22E520}"/>
    <hyperlink ref="B512" r:id="rId1022" xr:uid="{35E4335A-D1BD-1B4B-8029-70433C80DCDD}"/>
    <hyperlink ref="A513" r:id="rId1023" xr:uid="{84604BDE-C4F7-B84B-9818-5691537D59DC}"/>
    <hyperlink ref="B513" r:id="rId1024" xr:uid="{00DC2525-8870-9840-87BB-F0FFA645ED47}"/>
    <hyperlink ref="A514" r:id="rId1025" xr:uid="{B3F59ED5-5052-4142-A42E-0CF2A0C0EE19}"/>
    <hyperlink ref="B514" r:id="rId1026" xr:uid="{C68DE8E5-685C-5544-88B5-62ED1787E0A9}"/>
    <hyperlink ref="A515" r:id="rId1027" xr:uid="{1E2D6AEC-530B-FE43-8B3A-48FA2A23AE41}"/>
    <hyperlink ref="B515" r:id="rId1028" xr:uid="{1BF86A74-6B85-5C47-9672-E1F4CBE32414}"/>
    <hyperlink ref="A516" r:id="rId1029" xr:uid="{B46B4D0D-F184-954B-B17E-A1CC967447B8}"/>
    <hyperlink ref="B516" r:id="rId1030" xr:uid="{C119B390-FA51-4B41-BAA5-5499073E99D5}"/>
    <hyperlink ref="A517" r:id="rId1031" xr:uid="{530E6261-0B4C-EE4B-BCAA-35ADF3AE100F}"/>
    <hyperlink ref="B517" r:id="rId1032" xr:uid="{5A0E67E6-D674-464B-A266-ABEA81A24605}"/>
    <hyperlink ref="A518" r:id="rId1033" xr:uid="{EA57FCC7-5D8C-B14B-B67C-438341E53AF8}"/>
    <hyperlink ref="B518" r:id="rId1034" xr:uid="{E249F8BA-1338-BC42-835E-B9991E1093CA}"/>
    <hyperlink ref="A519" r:id="rId1035" xr:uid="{1BA01126-8C29-F243-8050-C0079145533A}"/>
    <hyperlink ref="B519" r:id="rId1036" xr:uid="{86470072-1043-374D-A39C-BB061DDF29D9}"/>
    <hyperlink ref="A520" r:id="rId1037" xr:uid="{DD090B86-2D69-8745-B810-ADD3E79F392E}"/>
    <hyperlink ref="B520" r:id="rId1038" xr:uid="{75F98BCE-5583-D047-9313-7B112C0BFA80}"/>
    <hyperlink ref="A521" r:id="rId1039" xr:uid="{0A25F115-4978-4E44-AD8F-368E98F77FC2}"/>
    <hyperlink ref="B521" r:id="rId1040" xr:uid="{ADBA8A79-DB84-CE4F-884E-55FF628FF43E}"/>
    <hyperlink ref="A522" r:id="rId1041" xr:uid="{A33DF021-D5A5-5345-9599-D155E6455DD2}"/>
    <hyperlink ref="B522" r:id="rId1042" xr:uid="{FFD54A4A-59A7-F245-95EB-16049821253A}"/>
    <hyperlink ref="A523" r:id="rId1043" xr:uid="{4FC6C863-E854-994C-ABE4-12ACF347CF67}"/>
    <hyperlink ref="B523" r:id="rId1044" xr:uid="{01621A39-50ED-A044-B32D-CD23EFA8A16B}"/>
    <hyperlink ref="A524" r:id="rId1045" xr:uid="{024820F2-B2E2-9C40-9ED2-EECA0B767355}"/>
    <hyperlink ref="B524" r:id="rId1046" xr:uid="{2EF50A61-6EAD-9242-A794-276738DC7576}"/>
    <hyperlink ref="A525" r:id="rId1047" xr:uid="{E586C995-2A7B-D146-9B67-A292846EA6DF}"/>
    <hyperlink ref="B525" r:id="rId1048" xr:uid="{C8469711-6A46-F446-907B-777467847313}"/>
    <hyperlink ref="A526" r:id="rId1049" xr:uid="{C8CDA04A-A0DA-2C44-95B3-C821E7468450}"/>
    <hyperlink ref="B526" r:id="rId1050" xr:uid="{9E76127D-70BE-7149-AF7C-97B55DA20DC1}"/>
    <hyperlink ref="A527" r:id="rId1051" xr:uid="{0D98AE59-D0C0-9543-BFC7-58FE3E8684E6}"/>
    <hyperlink ref="B527" r:id="rId1052" xr:uid="{4EC68F52-44CC-7149-ACEF-458899CDF8BC}"/>
    <hyperlink ref="A528" r:id="rId1053" xr:uid="{13FC65A2-E5D2-044B-9703-15BFCA79AF9C}"/>
    <hyperlink ref="B528" r:id="rId1054" xr:uid="{B3104D97-496C-4141-82E9-50E8E71F2F6E}"/>
    <hyperlink ref="A529" r:id="rId1055" xr:uid="{10FF5319-ABE0-7441-B0CE-8DC961D82F65}"/>
    <hyperlink ref="B529" r:id="rId1056" xr:uid="{8DD5D604-4C0E-9041-95D1-0F82961C4259}"/>
    <hyperlink ref="A530" r:id="rId1057" xr:uid="{97E8803C-1252-0645-BAEA-B2FA249ECE51}"/>
    <hyperlink ref="B530" r:id="rId1058" xr:uid="{C983DE55-BF5C-2A4F-9129-757091135D25}"/>
    <hyperlink ref="A531" r:id="rId1059" xr:uid="{864D7854-B3CE-CD4D-A921-27008CA2AF79}"/>
    <hyperlink ref="B531" r:id="rId1060" xr:uid="{BF9EBE75-9256-3B43-BC48-9A36D31C04D0}"/>
    <hyperlink ref="A532" r:id="rId1061" xr:uid="{19CB33B5-E09C-C14E-95AC-9B9B8192819A}"/>
    <hyperlink ref="B532" r:id="rId1062" xr:uid="{11581B0D-9AC0-0747-B72C-1B7F0FD7C0F6}"/>
    <hyperlink ref="A533" r:id="rId1063" xr:uid="{41BCC9FB-44E1-4145-A7CF-58350E8869CB}"/>
    <hyperlink ref="B533" r:id="rId1064" xr:uid="{351D9503-99BC-2B47-A3BF-97FC6AA3AB58}"/>
    <hyperlink ref="A534" r:id="rId1065" xr:uid="{FAAFEFEA-AC12-BE4B-B139-F6772C18A1E8}"/>
    <hyperlink ref="B534" r:id="rId1066" xr:uid="{A9D7D148-CD77-9A44-908C-5D1EF9F81940}"/>
    <hyperlink ref="A535" r:id="rId1067" xr:uid="{0AE62A96-632C-AF40-A278-E77CA29A9FA3}"/>
    <hyperlink ref="B535" r:id="rId1068" xr:uid="{F936FB6A-07A5-C047-9E98-B99A9C2BD018}"/>
    <hyperlink ref="A536" r:id="rId1069" xr:uid="{86557B90-0788-0644-80FB-6F3BE67F53DA}"/>
    <hyperlink ref="B536" r:id="rId1070" xr:uid="{7065CBCE-A1FB-9246-9BC0-CA467A9143A3}"/>
    <hyperlink ref="A537" r:id="rId1071" xr:uid="{3AD8796A-051A-534D-959A-0B67B1EF85A6}"/>
    <hyperlink ref="B537" r:id="rId1072" xr:uid="{CC54101F-A5C0-4445-803E-2C4E3BE06F2A}"/>
    <hyperlink ref="A538" r:id="rId1073" xr:uid="{39A2B738-B60E-2045-9C81-E3BA1144F178}"/>
    <hyperlink ref="B538" r:id="rId1074" xr:uid="{3895169A-2F09-4744-B8E3-287235C5B613}"/>
    <hyperlink ref="A539" r:id="rId1075" xr:uid="{FAFF2C5C-062A-3248-BC47-252C054C8D35}"/>
    <hyperlink ref="B539" r:id="rId1076" xr:uid="{B0991AA2-5797-EC40-82BA-91E4CE1331DD}"/>
    <hyperlink ref="A540" r:id="rId1077" xr:uid="{6E5F085D-5892-AD49-97AD-767F358A97F6}"/>
    <hyperlink ref="B540" r:id="rId1078" xr:uid="{07D97823-AFE0-B649-8DC6-D340F6C8E559}"/>
    <hyperlink ref="A541" r:id="rId1079" xr:uid="{1228F366-4054-704F-A6AC-815B077103F7}"/>
    <hyperlink ref="B541" r:id="rId1080" xr:uid="{9D80E679-5054-794E-8A07-4EE3B302CEC5}"/>
    <hyperlink ref="A542" r:id="rId1081" xr:uid="{AB76AFB5-DE11-974C-9AC8-E93CB9D512F3}"/>
    <hyperlink ref="B542" r:id="rId1082" xr:uid="{003F7B65-F6F7-384B-A4A8-DC1C636720F9}"/>
    <hyperlink ref="A543" r:id="rId1083" xr:uid="{693BD128-4B4B-D148-9E8B-62C108B45350}"/>
    <hyperlink ref="B543" r:id="rId1084" xr:uid="{694648C2-41BC-5146-9677-6E5843786E18}"/>
    <hyperlink ref="A544" r:id="rId1085" xr:uid="{A318C31B-B20B-6E45-BA67-9AEB56A559B8}"/>
    <hyperlink ref="B544" r:id="rId1086" xr:uid="{C9250ABB-2AC6-0343-A991-6145CA6C263C}"/>
    <hyperlink ref="A545" r:id="rId1087" xr:uid="{A1181BC1-3573-C84F-B5FE-3093982E2F18}"/>
    <hyperlink ref="B545" r:id="rId1088" xr:uid="{48A76897-4D04-5D45-A955-F32BABD8F3DD}"/>
    <hyperlink ref="A546" r:id="rId1089" xr:uid="{B4794300-CBEA-2345-A1EE-68BE5F9F6EB5}"/>
    <hyperlink ref="B546" r:id="rId1090" xr:uid="{7AD4D742-0437-D447-9C92-FCA27DF99287}"/>
    <hyperlink ref="A547" r:id="rId1091" xr:uid="{432A29A4-3F45-244E-B825-8510B1F80A14}"/>
    <hyperlink ref="B547" r:id="rId1092" xr:uid="{692A34F0-B128-7D46-BD1E-A15D2AE33BC4}"/>
    <hyperlink ref="A548" r:id="rId1093" xr:uid="{57FF7625-63EB-1349-9216-830581FEB330}"/>
    <hyperlink ref="B548" r:id="rId1094" xr:uid="{5B9FEE02-4BEE-1546-8EAB-740919D00CF3}"/>
    <hyperlink ref="A549" r:id="rId1095" xr:uid="{66B62157-C05D-5340-80AD-6AAFE0DC3C25}"/>
    <hyperlink ref="B549" r:id="rId1096" xr:uid="{52B4DF53-466E-7A4D-8756-17F62535EADB}"/>
    <hyperlink ref="A550" r:id="rId1097" xr:uid="{14F48FD0-CBCE-724F-8540-402C6F08C977}"/>
    <hyperlink ref="B550" r:id="rId1098" xr:uid="{317C9953-1DF1-434E-8DB2-89E6E952B4DE}"/>
    <hyperlink ref="A551" r:id="rId1099" xr:uid="{1B4F039A-24B4-5F49-B1BE-0B7BEB90BF0F}"/>
    <hyperlink ref="B551" r:id="rId1100" xr:uid="{86D95E06-3A41-EC47-9F05-608A84EF56A2}"/>
    <hyperlink ref="A552" r:id="rId1101" xr:uid="{306E9151-F6A7-A141-BF74-3F1DA739A06E}"/>
    <hyperlink ref="B552" r:id="rId1102" xr:uid="{6A2E8511-A970-854F-AC5C-8CEA314DCB8F}"/>
    <hyperlink ref="A553" r:id="rId1103" xr:uid="{A4B3674F-509E-914F-9E27-1B35E61C3380}"/>
    <hyperlink ref="B553" r:id="rId1104" xr:uid="{F4D72D3F-FCBB-EA4D-9DBD-6E6051960A0A}"/>
    <hyperlink ref="A554" r:id="rId1105" xr:uid="{8A1E13A0-B2E6-B649-AB38-7685C070BAD2}"/>
    <hyperlink ref="B554" r:id="rId1106" xr:uid="{E2D06F4C-E06E-274A-B0B2-68D096803E2C}"/>
    <hyperlink ref="A555" r:id="rId1107" xr:uid="{65ABB405-A1DC-D249-8F04-18AF24206B0C}"/>
    <hyperlink ref="B555" r:id="rId1108" xr:uid="{470A06FA-14A7-5943-983E-5283181E014C}"/>
    <hyperlink ref="A556" r:id="rId1109" xr:uid="{390F12DE-C0C9-644C-B24E-4C0C96B7E321}"/>
    <hyperlink ref="B556" r:id="rId1110" xr:uid="{75CDA51D-DC88-AF44-8865-41036318BDC4}"/>
    <hyperlink ref="A557" r:id="rId1111" xr:uid="{ED09E9DF-450E-8344-96C4-DB984AD84F32}"/>
    <hyperlink ref="B557" r:id="rId1112" xr:uid="{677970F5-7BEF-C949-8BFC-6227804D1AB2}"/>
    <hyperlink ref="A558" r:id="rId1113" xr:uid="{62DF14C8-A80B-C84E-9B3F-0D0E80C565D5}"/>
    <hyperlink ref="B558" r:id="rId1114" xr:uid="{C9BB168C-CDC1-1143-BA19-34B58B0B4F8C}"/>
    <hyperlink ref="A559" r:id="rId1115" xr:uid="{71485F15-28D7-CE4B-BC62-BF137B66CC1E}"/>
    <hyperlink ref="B559" r:id="rId1116" xr:uid="{A661AC3A-70DE-FD4B-9D44-F43BC1219187}"/>
    <hyperlink ref="A560" r:id="rId1117" xr:uid="{CD3C937A-727F-524C-920E-26B6F2A1FD19}"/>
    <hyperlink ref="B560" r:id="rId1118" xr:uid="{14D69599-BB3A-D440-8490-A41D25E6B000}"/>
    <hyperlink ref="A561" r:id="rId1119" xr:uid="{6136C8EC-6E47-C642-B947-7F12777C8437}"/>
    <hyperlink ref="B561" r:id="rId1120" xr:uid="{16D5CAEB-2B1C-6549-B607-3CAC9A2A68DE}"/>
    <hyperlink ref="A562" r:id="rId1121" xr:uid="{7C735249-4EC5-0E4B-A632-A95AAE0591C2}"/>
    <hyperlink ref="B562" r:id="rId1122" xr:uid="{CD5C919D-DCEB-8443-A71E-974C1E5D1FB4}"/>
    <hyperlink ref="A563" r:id="rId1123" xr:uid="{5B67C447-4562-2041-AD81-9B262E9F6FFD}"/>
    <hyperlink ref="B563" r:id="rId1124" xr:uid="{470C89ED-8ADB-9C47-AC45-7848C04E411A}"/>
    <hyperlink ref="A564" r:id="rId1125" xr:uid="{83E0C45E-1224-3440-9CF3-29595CBA3D9C}"/>
    <hyperlink ref="B564" r:id="rId1126" xr:uid="{F25E7FF2-D2FF-9949-A526-CC5946D70F4C}"/>
    <hyperlink ref="A565" r:id="rId1127" xr:uid="{B23F8A61-05B5-DD4F-AEF8-0051B2535564}"/>
    <hyperlink ref="B565" r:id="rId1128" xr:uid="{BC3FC440-D1E2-F24B-AC18-9A29351253C2}"/>
    <hyperlink ref="A566" r:id="rId1129" xr:uid="{03DB1A87-117B-6649-BCA7-AE10C0A707EF}"/>
    <hyperlink ref="B566" r:id="rId1130" xr:uid="{7370E8A1-5B92-784C-8423-15564300E9A7}"/>
    <hyperlink ref="A567" r:id="rId1131" xr:uid="{28CC1BF2-17A7-7640-BBED-10E3E2DAB01A}"/>
    <hyperlink ref="B567" r:id="rId1132" xr:uid="{8A6C389E-AC66-F244-8466-49A7266451F3}"/>
    <hyperlink ref="A568" r:id="rId1133" xr:uid="{B73DFDEB-AC62-F646-AB30-E3C0C8077B0A}"/>
    <hyperlink ref="B568" r:id="rId1134" xr:uid="{A726B1B3-EE98-1944-A569-6FE4A4C4D832}"/>
    <hyperlink ref="A569" r:id="rId1135" xr:uid="{A2747304-C285-BB4C-AEA4-768A0EF1453B}"/>
    <hyperlink ref="B569" r:id="rId1136" xr:uid="{0E041816-9A5A-9D41-9F05-533956BDA795}"/>
    <hyperlink ref="A570" r:id="rId1137" xr:uid="{B3D5AD3C-6A1C-8241-9A8B-1C45313A7D84}"/>
    <hyperlink ref="B570" r:id="rId1138" xr:uid="{D3EDBB4E-05E9-D54D-8800-7B8871374471}"/>
  </hyperlinks>
  <pageMargins left="0.7" right="0.7" top="0.75" bottom="0.75" header="0.3" footer="0.3"/>
  <drawing r:id="rId1139"/>
  <tableParts count="1">
    <tablePart r:id="rId114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DEB1-8672-3546-B5CE-59FA38C55347}">
  <dimension ref="A1:AO570"/>
  <sheetViews>
    <sheetView zoomScaleNormal="257" workbookViewId="0">
      <pane ySplit="1" topLeftCell="A2" activePane="bottomLeft" state="frozen"/>
      <selection pane="bottomLeft" activeCell="P21" sqref="P21"/>
    </sheetView>
  </sheetViews>
  <sheetFormatPr baseColWidth="10" defaultRowHeight="13"/>
  <cols>
    <col min="1" max="1" width="18" customWidth="1"/>
    <col min="2" max="2" width="6.33203125" customWidth="1"/>
    <col min="3" max="3" width="12.6640625" style="43" customWidth="1"/>
    <col min="4" max="4" width="13.6640625" style="43" customWidth="1"/>
    <col min="5" max="5" width="6.5" style="32" customWidth="1"/>
    <col min="6" max="7" width="6.5" style="26" customWidth="1"/>
    <col min="8" max="11" width="6.5" customWidth="1"/>
    <col min="12" max="12" width="6.5" style="26" customWidth="1"/>
    <col min="13" max="16" width="6.5" customWidth="1"/>
    <col min="17" max="18" width="6.5" style="26" customWidth="1"/>
    <col min="19" max="41" width="6.5" customWidth="1"/>
  </cols>
  <sheetData>
    <row r="1" spans="1:41">
      <c r="A1" s="1" t="s">
        <v>0</v>
      </c>
      <c r="B1" s="2" t="s">
        <v>1</v>
      </c>
      <c r="C1" s="40" t="s">
        <v>1871</v>
      </c>
      <c r="D1" s="40" t="s">
        <v>1872</v>
      </c>
      <c r="E1" s="30" t="s">
        <v>7</v>
      </c>
      <c r="F1" s="28" t="s">
        <v>8</v>
      </c>
      <c r="G1" s="28" t="s">
        <v>9</v>
      </c>
      <c r="H1" s="27" t="s">
        <v>10</v>
      </c>
      <c r="I1" s="27" t="s">
        <v>11</v>
      </c>
      <c r="J1" s="27" t="s">
        <v>12</v>
      </c>
      <c r="K1" s="27" t="s">
        <v>13</v>
      </c>
      <c r="L1" s="28" t="s">
        <v>14</v>
      </c>
      <c r="M1" s="27" t="s">
        <v>15</v>
      </c>
      <c r="N1" s="27" t="s">
        <v>16</v>
      </c>
      <c r="O1" s="27" t="s">
        <v>17</v>
      </c>
      <c r="P1" s="27" t="s">
        <v>18</v>
      </c>
      <c r="Q1" s="28" t="s">
        <v>19</v>
      </c>
      <c r="R1" s="28" t="s">
        <v>20</v>
      </c>
      <c r="S1" s="27" t="s">
        <v>21</v>
      </c>
      <c r="T1" s="27" t="s">
        <v>22</v>
      </c>
      <c r="U1" s="27" t="s">
        <v>23</v>
      </c>
      <c r="V1" s="27" t="s">
        <v>24</v>
      </c>
      <c r="W1" s="27" t="s">
        <v>25</v>
      </c>
      <c r="X1" s="27" t="s">
        <v>26</v>
      </c>
      <c r="Y1" s="1" t="str">
        <f>"+/-"</f>
        <v>+/-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</row>
    <row r="2" spans="1:41">
      <c r="A2" s="6" t="s">
        <v>43</v>
      </c>
      <c r="B2" s="6" t="s">
        <v>44</v>
      </c>
      <c r="C2" s="41">
        <f>IFERROR((E2/(2*(G2+0.44*L2))),"NA")</f>
        <v>0.63673540505083626</v>
      </c>
      <c r="D2" s="42">
        <f t="shared" ref="D2:D65" si="0">IFERROR(Q2/R2,"NA")</f>
        <v>2.6703296703296702</v>
      </c>
      <c r="E2" s="31">
        <v>2485</v>
      </c>
      <c r="F2" s="24">
        <v>859</v>
      </c>
      <c r="G2" s="24">
        <v>1657</v>
      </c>
      <c r="H2" s="8">
        <v>51.9</v>
      </c>
      <c r="I2" s="9">
        <v>433</v>
      </c>
      <c r="J2" s="8">
        <v>37.5</v>
      </c>
      <c r="K2" s="8">
        <v>600</v>
      </c>
      <c r="L2" s="25">
        <v>669</v>
      </c>
      <c r="M2" s="8">
        <v>89.8</v>
      </c>
      <c r="N2" s="9">
        <v>68</v>
      </c>
      <c r="O2" s="9">
        <v>312</v>
      </c>
      <c r="P2" s="9">
        <v>380</v>
      </c>
      <c r="Q2" s="24">
        <v>486</v>
      </c>
      <c r="R2" s="24">
        <v>182</v>
      </c>
      <c r="S2" s="9">
        <v>129</v>
      </c>
      <c r="T2" s="9">
        <v>76</v>
      </c>
      <c r="U2" s="9">
        <v>167</v>
      </c>
      <c r="V2" s="8">
        <v>4112</v>
      </c>
      <c r="W2" s="8">
        <v>6</v>
      </c>
      <c r="X2" s="8">
        <v>0</v>
      </c>
      <c r="Y2" s="7">
        <v>12.1</v>
      </c>
      <c r="Z2" s="7">
        <v>122.4</v>
      </c>
      <c r="AA2" s="7">
        <v>105.7</v>
      </c>
      <c r="AB2" s="7">
        <v>16.7</v>
      </c>
      <c r="AC2" s="7">
        <v>29.9</v>
      </c>
      <c r="AD2" s="7">
        <v>2.66</v>
      </c>
      <c r="AE2" s="7">
        <v>18.7</v>
      </c>
      <c r="AF2" s="7">
        <v>2.5</v>
      </c>
      <c r="AG2" s="7">
        <v>11.2</v>
      </c>
      <c r="AH2" s="7">
        <v>6.9</v>
      </c>
      <c r="AI2" s="7">
        <v>7</v>
      </c>
      <c r="AJ2" s="7">
        <v>56.9</v>
      </c>
      <c r="AK2" s="7">
        <v>63.7</v>
      </c>
      <c r="AL2" s="7">
        <v>33.6</v>
      </c>
      <c r="AM2" s="7">
        <v>101.91</v>
      </c>
      <c r="AN2" s="7">
        <v>19.899999999999999</v>
      </c>
      <c r="AO2" s="7">
        <v>5514</v>
      </c>
    </row>
    <row r="3" spans="1:41">
      <c r="A3" s="6" t="s">
        <v>45</v>
      </c>
      <c r="B3" s="6" t="s">
        <v>46</v>
      </c>
      <c r="C3" s="41">
        <f t="shared" ref="C3:C66" si="1">IFERROR((E3/(2*(G3+0.44*L3))),"NA")</f>
        <v>0.59526410065970559</v>
      </c>
      <c r="D3" s="42">
        <f t="shared" si="0"/>
        <v>1.4071146245059289</v>
      </c>
      <c r="E3" s="31">
        <v>2180</v>
      </c>
      <c r="F3" s="24">
        <v>719</v>
      </c>
      <c r="G3" s="24">
        <v>1612</v>
      </c>
      <c r="H3" s="8">
        <v>44.7</v>
      </c>
      <c r="I3" s="9">
        <v>814</v>
      </c>
      <c r="J3" s="8">
        <v>39.5</v>
      </c>
      <c r="K3" s="8">
        <v>419</v>
      </c>
      <c r="L3" s="25">
        <v>498</v>
      </c>
      <c r="M3" s="8">
        <v>83.7</v>
      </c>
      <c r="N3" s="9">
        <v>63</v>
      </c>
      <c r="O3" s="9">
        <v>387</v>
      </c>
      <c r="P3" s="9">
        <v>450</v>
      </c>
      <c r="Q3" s="24">
        <v>356</v>
      </c>
      <c r="R3" s="24">
        <v>253</v>
      </c>
      <c r="S3" s="9">
        <v>95</v>
      </c>
      <c r="T3" s="9">
        <v>47</v>
      </c>
      <c r="U3" s="9">
        <v>150</v>
      </c>
      <c r="V3" s="8">
        <v>3429</v>
      </c>
      <c r="W3" s="8">
        <v>7</v>
      </c>
      <c r="X3" s="8">
        <v>0</v>
      </c>
      <c r="Y3" s="7">
        <v>3.7</v>
      </c>
      <c r="Z3" s="7">
        <v>116.2</v>
      </c>
      <c r="AA3" s="7">
        <v>111.4</v>
      </c>
      <c r="AB3" s="7">
        <v>4.8</v>
      </c>
      <c r="AC3" s="7">
        <v>20.9</v>
      </c>
      <c r="AD3" s="7">
        <v>1.44</v>
      </c>
      <c r="AE3" s="7">
        <v>14.8</v>
      </c>
      <c r="AF3" s="7">
        <v>2.1</v>
      </c>
      <c r="AG3" s="7">
        <v>13.1</v>
      </c>
      <c r="AH3" s="7">
        <v>7.7</v>
      </c>
      <c r="AI3" s="7">
        <v>10.3</v>
      </c>
      <c r="AJ3" s="7">
        <v>54.7</v>
      </c>
      <c r="AK3" s="7">
        <v>59.5</v>
      </c>
      <c r="AL3" s="7">
        <v>30.7</v>
      </c>
      <c r="AM3" s="7">
        <v>98.27</v>
      </c>
      <c r="AN3" s="7">
        <v>14</v>
      </c>
      <c r="AO3" s="7">
        <v>5883</v>
      </c>
    </row>
    <row r="4" spans="1:41">
      <c r="A4" s="6" t="s">
        <v>47</v>
      </c>
      <c r="B4" s="6" t="s">
        <v>48</v>
      </c>
      <c r="C4" s="41">
        <f t="shared" si="1"/>
        <v>0.66320129055386279</v>
      </c>
      <c r="D4" s="42">
        <f t="shared" si="0"/>
        <v>3.0909090909090908</v>
      </c>
      <c r="E4" s="31">
        <v>2072</v>
      </c>
      <c r="F4" s="24">
        <v>784</v>
      </c>
      <c r="G4" s="24">
        <v>1365</v>
      </c>
      <c r="H4" s="8">
        <v>57.6</v>
      </c>
      <c r="I4" s="9">
        <v>329</v>
      </c>
      <c r="J4" s="8">
        <v>41.7</v>
      </c>
      <c r="K4" s="8">
        <v>364</v>
      </c>
      <c r="L4" s="25">
        <v>448</v>
      </c>
      <c r="M4" s="8">
        <v>80</v>
      </c>
      <c r="N4" s="9">
        <v>203</v>
      </c>
      <c r="O4" s="9">
        <v>693</v>
      </c>
      <c r="P4" s="9">
        <v>889</v>
      </c>
      <c r="Q4" s="24">
        <v>714</v>
      </c>
      <c r="R4" s="24">
        <v>231</v>
      </c>
      <c r="S4" s="9">
        <v>126</v>
      </c>
      <c r="T4" s="9">
        <v>42</v>
      </c>
      <c r="U4" s="9">
        <v>161</v>
      </c>
      <c r="V4" s="8">
        <v>4501</v>
      </c>
      <c r="W4" s="8">
        <v>59</v>
      </c>
      <c r="X4" s="8">
        <v>34</v>
      </c>
      <c r="Y4" s="7">
        <v>8.5</v>
      </c>
      <c r="Z4" s="7">
        <v>125.6</v>
      </c>
      <c r="AA4" s="7">
        <v>115.1</v>
      </c>
      <c r="AB4" s="7">
        <v>10.5</v>
      </c>
      <c r="AC4" s="7">
        <v>39.799999999999997</v>
      </c>
      <c r="AD4" s="7">
        <v>3.11</v>
      </c>
      <c r="AE4" s="7">
        <v>28.7</v>
      </c>
      <c r="AF4" s="7">
        <v>8.3000000000000007</v>
      </c>
      <c r="AG4" s="7">
        <v>25.2</v>
      </c>
      <c r="AH4" s="7">
        <v>17.3</v>
      </c>
      <c r="AI4" s="7">
        <v>9.1999999999999993</v>
      </c>
      <c r="AJ4" s="7">
        <v>62.7</v>
      </c>
      <c r="AK4" s="7">
        <v>66.3</v>
      </c>
      <c r="AL4" s="7">
        <v>28.5</v>
      </c>
      <c r="AM4" s="7">
        <v>101.99</v>
      </c>
      <c r="AN4" s="7">
        <v>20.6</v>
      </c>
      <c r="AO4" s="7">
        <v>5471</v>
      </c>
    </row>
    <row r="5" spans="1:41">
      <c r="A5" s="6" t="s">
        <v>49</v>
      </c>
      <c r="B5" s="6" t="s">
        <v>50</v>
      </c>
      <c r="C5" s="41">
        <f t="shared" si="1"/>
        <v>0.62392795883361918</v>
      </c>
      <c r="D5" s="42">
        <f t="shared" si="0"/>
        <v>2.0961538461538463</v>
      </c>
      <c r="E5" s="31">
        <v>2037</v>
      </c>
      <c r="F5" s="24">
        <v>791</v>
      </c>
      <c r="G5" s="24">
        <v>1320</v>
      </c>
      <c r="H5" s="8">
        <v>60.1</v>
      </c>
      <c r="I5" s="9">
        <v>60</v>
      </c>
      <c r="J5" s="8">
        <v>22.2</v>
      </c>
      <c r="K5" s="8">
        <v>436</v>
      </c>
      <c r="L5" s="25">
        <v>710</v>
      </c>
      <c r="M5" s="8">
        <v>61.7</v>
      </c>
      <c r="N5" s="9">
        <v>147</v>
      </c>
      <c r="O5" s="9">
        <v>650</v>
      </c>
      <c r="P5" s="9">
        <v>797</v>
      </c>
      <c r="Q5" s="24">
        <v>436</v>
      </c>
      <c r="R5" s="24">
        <v>208</v>
      </c>
      <c r="S5" s="9">
        <v>60</v>
      </c>
      <c r="T5" s="9">
        <v>80</v>
      </c>
      <c r="U5" s="9">
        <v>154</v>
      </c>
      <c r="V5" s="8">
        <v>3846</v>
      </c>
      <c r="W5" s="8">
        <v>55</v>
      </c>
      <c r="X5" s="8">
        <v>11</v>
      </c>
      <c r="Y5" s="7">
        <v>5</v>
      </c>
      <c r="Z5" s="7">
        <v>118.9</v>
      </c>
      <c r="AA5" s="7">
        <v>111.7</v>
      </c>
      <c r="AB5" s="7">
        <v>7.2</v>
      </c>
      <c r="AC5" s="7">
        <v>33.9</v>
      </c>
      <c r="AD5" s="7">
        <v>2.1</v>
      </c>
      <c r="AE5" s="7">
        <v>19.2</v>
      </c>
      <c r="AF5" s="7">
        <v>6.7</v>
      </c>
      <c r="AG5" s="7">
        <v>26.6</v>
      </c>
      <c r="AH5" s="7">
        <v>17.2</v>
      </c>
      <c r="AI5" s="7">
        <v>9.1</v>
      </c>
      <c r="AJ5" s="7">
        <v>60.7</v>
      </c>
      <c r="AK5" s="7">
        <v>62.5</v>
      </c>
      <c r="AL5" s="7">
        <v>34.6</v>
      </c>
      <c r="AM5" s="7">
        <v>100.18</v>
      </c>
      <c r="AN5" s="7">
        <v>21</v>
      </c>
      <c r="AO5" s="7">
        <v>4772</v>
      </c>
    </row>
    <row r="6" spans="1:41">
      <c r="A6" s="6" t="s">
        <v>51</v>
      </c>
      <c r="B6" s="6" t="s">
        <v>52</v>
      </c>
      <c r="C6" s="41">
        <f t="shared" si="1"/>
        <v>0.58302520602237851</v>
      </c>
      <c r="D6" s="42">
        <f t="shared" si="0"/>
        <v>2.0669856459330145</v>
      </c>
      <c r="E6" s="31">
        <v>1930</v>
      </c>
      <c r="F6" s="24">
        <v>662</v>
      </c>
      <c r="G6" s="24">
        <v>1462</v>
      </c>
      <c r="H6" s="8">
        <v>45.2</v>
      </c>
      <c r="I6" s="9">
        <v>727</v>
      </c>
      <c r="J6" s="8">
        <v>34.299999999999997</v>
      </c>
      <c r="K6" s="8">
        <v>360</v>
      </c>
      <c r="L6" s="25">
        <v>439</v>
      </c>
      <c r="M6" s="8">
        <v>81.400000000000006</v>
      </c>
      <c r="N6" s="9">
        <v>50</v>
      </c>
      <c r="O6" s="9">
        <v>576</v>
      </c>
      <c r="P6" s="9">
        <v>626</v>
      </c>
      <c r="Q6" s="24">
        <v>432</v>
      </c>
      <c r="R6" s="24">
        <v>209</v>
      </c>
      <c r="S6" s="9">
        <v>79</v>
      </c>
      <c r="T6" s="9">
        <v>36</v>
      </c>
      <c r="U6" s="9">
        <v>158</v>
      </c>
      <c r="V6" s="8">
        <v>3456</v>
      </c>
      <c r="W6" s="8">
        <v>31</v>
      </c>
      <c r="X6" s="8">
        <v>2</v>
      </c>
      <c r="Y6" s="7">
        <v>7.4</v>
      </c>
      <c r="Z6" s="7">
        <v>119.6</v>
      </c>
      <c r="AA6" s="7">
        <v>109.8</v>
      </c>
      <c r="AB6" s="7">
        <v>9.8000000000000007</v>
      </c>
      <c r="AC6" s="7">
        <v>26.6</v>
      </c>
      <c r="AD6" s="7">
        <v>2.6</v>
      </c>
      <c r="AE6" s="7">
        <v>18.899999999999999</v>
      </c>
      <c r="AF6" s="7">
        <v>1.7</v>
      </c>
      <c r="AG6" s="7">
        <v>20.6</v>
      </c>
      <c r="AH6" s="7">
        <v>11.2</v>
      </c>
      <c r="AI6" s="7">
        <v>9.1999999999999993</v>
      </c>
      <c r="AJ6" s="7">
        <v>53.7</v>
      </c>
      <c r="AK6" s="7">
        <v>58.2</v>
      </c>
      <c r="AL6" s="7">
        <v>30.1</v>
      </c>
      <c r="AM6" s="7">
        <v>98.14</v>
      </c>
      <c r="AN6" s="7">
        <v>15.8</v>
      </c>
      <c r="AO6" s="7">
        <v>5368</v>
      </c>
    </row>
    <row r="7" spans="1:41">
      <c r="A7" s="12" t="s">
        <v>53</v>
      </c>
      <c r="B7" s="6" t="s">
        <v>54</v>
      </c>
      <c r="C7" s="41">
        <f t="shared" si="1"/>
        <v>0.5892462558310827</v>
      </c>
      <c r="D7" s="42">
        <f t="shared" si="0"/>
        <v>2.4449541284403669</v>
      </c>
      <c r="E7" s="31">
        <v>1920</v>
      </c>
      <c r="F7" s="24">
        <v>653</v>
      </c>
      <c r="G7" s="24">
        <v>1418</v>
      </c>
      <c r="H7" s="8">
        <v>46.1</v>
      </c>
      <c r="I7" s="9">
        <v>548</v>
      </c>
      <c r="J7" s="8">
        <v>33.200000000000003</v>
      </c>
      <c r="K7" s="8">
        <v>435</v>
      </c>
      <c r="L7" s="25">
        <v>480</v>
      </c>
      <c r="M7" s="8">
        <v>89.4</v>
      </c>
      <c r="N7" s="9">
        <v>75</v>
      </c>
      <c r="O7" s="9">
        <v>233</v>
      </c>
      <c r="P7" s="9">
        <v>308</v>
      </c>
      <c r="Q7" s="24">
        <v>533</v>
      </c>
      <c r="R7" s="24">
        <v>218</v>
      </c>
      <c r="S7" s="9">
        <v>68</v>
      </c>
      <c r="T7" s="9">
        <v>15</v>
      </c>
      <c r="U7" s="9">
        <v>195</v>
      </c>
      <c r="V7" s="8">
        <v>3113</v>
      </c>
      <c r="W7" s="8">
        <v>16</v>
      </c>
      <c r="X7" s="8">
        <v>0</v>
      </c>
      <c r="Y7" s="7">
        <v>-2.4</v>
      </c>
      <c r="Z7" s="7">
        <v>115.3</v>
      </c>
      <c r="AA7" s="7">
        <v>118.5</v>
      </c>
      <c r="AB7" s="7">
        <v>-3.2</v>
      </c>
      <c r="AC7" s="7">
        <v>30.1</v>
      </c>
      <c r="AD7" s="7">
        <v>2.4</v>
      </c>
      <c r="AE7" s="7">
        <v>22.4</v>
      </c>
      <c r="AF7" s="7">
        <v>2.8</v>
      </c>
      <c r="AG7" s="7">
        <v>8</v>
      </c>
      <c r="AH7" s="7">
        <v>5.5</v>
      </c>
      <c r="AI7" s="7">
        <v>9.3000000000000007</v>
      </c>
      <c r="AJ7" s="7">
        <v>52.5</v>
      </c>
      <c r="AK7" s="7">
        <v>58.9</v>
      </c>
      <c r="AL7" s="7">
        <v>28.5</v>
      </c>
      <c r="AM7" s="7">
        <v>98.72</v>
      </c>
      <c r="AN7" s="7">
        <v>12.2</v>
      </c>
      <c r="AO7" s="7">
        <v>5752</v>
      </c>
    </row>
    <row r="8" spans="1:41">
      <c r="A8" s="6" t="s">
        <v>55</v>
      </c>
      <c r="B8" s="6" t="s">
        <v>56</v>
      </c>
      <c r="C8" s="41">
        <f t="shared" si="1"/>
        <v>0.60521537773333689</v>
      </c>
      <c r="D8" s="42">
        <f t="shared" si="0"/>
        <v>2.12</v>
      </c>
      <c r="E8" s="31">
        <v>1840</v>
      </c>
      <c r="F8" s="24">
        <v>655</v>
      </c>
      <c r="G8" s="24">
        <v>1378</v>
      </c>
      <c r="H8" s="8">
        <v>47.2</v>
      </c>
      <c r="I8" s="9">
        <v>670</v>
      </c>
      <c r="J8" s="8">
        <v>37.5</v>
      </c>
      <c r="K8" s="8">
        <v>285</v>
      </c>
      <c r="L8" s="25">
        <v>323</v>
      </c>
      <c r="M8" s="8">
        <v>87.8</v>
      </c>
      <c r="N8" s="9">
        <v>39</v>
      </c>
      <c r="O8" s="9">
        <v>362</v>
      </c>
      <c r="P8" s="9">
        <v>400</v>
      </c>
      <c r="Q8" s="24">
        <v>424</v>
      </c>
      <c r="R8" s="24">
        <v>200</v>
      </c>
      <c r="S8" s="9">
        <v>69</v>
      </c>
      <c r="T8" s="9">
        <v>15</v>
      </c>
      <c r="U8" s="9">
        <v>85</v>
      </c>
      <c r="V8" s="8">
        <v>3018</v>
      </c>
      <c r="W8" s="8">
        <v>9</v>
      </c>
      <c r="X8" s="8">
        <v>0</v>
      </c>
      <c r="Y8" s="7">
        <v>1.3</v>
      </c>
      <c r="Z8" s="7">
        <v>113.9</v>
      </c>
      <c r="AA8" s="7">
        <v>112.6</v>
      </c>
      <c r="AB8" s="7">
        <v>1.3</v>
      </c>
      <c r="AC8" s="7">
        <v>25.4</v>
      </c>
      <c r="AD8" s="7">
        <v>2.14</v>
      </c>
      <c r="AE8" s="7">
        <v>20</v>
      </c>
      <c r="AF8" s="7">
        <v>1.3</v>
      </c>
      <c r="AG8" s="7">
        <v>13.2</v>
      </c>
      <c r="AH8" s="7">
        <v>7.3</v>
      </c>
      <c r="AI8" s="7">
        <v>9.3000000000000007</v>
      </c>
      <c r="AJ8" s="7">
        <v>56.3</v>
      </c>
      <c r="AK8" s="7">
        <v>60.5</v>
      </c>
      <c r="AL8" s="7">
        <v>27.1</v>
      </c>
      <c r="AM8" s="7">
        <v>97.78</v>
      </c>
      <c r="AN8" s="7">
        <v>13.9</v>
      </c>
      <c r="AO8" s="7">
        <v>5564</v>
      </c>
    </row>
    <row r="9" spans="1:41">
      <c r="A9" s="6" t="s">
        <v>57</v>
      </c>
      <c r="B9" s="6" t="s">
        <v>58</v>
      </c>
      <c r="C9" s="41">
        <f t="shared" si="1"/>
        <v>0.56644571484894779</v>
      </c>
      <c r="D9" s="42">
        <f t="shared" si="0"/>
        <v>2.4705882352941178</v>
      </c>
      <c r="E9" s="31">
        <v>1839</v>
      </c>
      <c r="F9" s="24">
        <v>562</v>
      </c>
      <c r="G9" s="24">
        <v>1376</v>
      </c>
      <c r="H9" s="8">
        <v>41.1</v>
      </c>
      <c r="I9" s="9">
        <v>638</v>
      </c>
      <c r="J9" s="8">
        <v>34</v>
      </c>
      <c r="K9" s="8">
        <v>494</v>
      </c>
      <c r="L9" s="25">
        <v>562</v>
      </c>
      <c r="M9" s="8">
        <v>87.5</v>
      </c>
      <c r="N9" s="9">
        <v>38</v>
      </c>
      <c r="O9" s="9">
        <v>198</v>
      </c>
      <c r="P9" s="9">
        <v>236</v>
      </c>
      <c r="Q9" s="24">
        <v>882</v>
      </c>
      <c r="R9" s="24">
        <v>357</v>
      </c>
      <c r="S9" s="9">
        <v>91</v>
      </c>
      <c r="T9" s="9">
        <v>15</v>
      </c>
      <c r="U9" s="9">
        <v>144</v>
      </c>
      <c r="V9" s="8">
        <v>3397</v>
      </c>
      <c r="W9" s="8">
        <v>51</v>
      </c>
      <c r="X9" s="8">
        <v>0</v>
      </c>
      <c r="Y9" s="7">
        <v>0.4</v>
      </c>
      <c r="Z9" s="7">
        <v>115.2</v>
      </c>
      <c r="AA9" s="7">
        <v>114.6</v>
      </c>
      <c r="AB9" s="7">
        <v>0.6</v>
      </c>
      <c r="AC9" s="7">
        <v>45.2</v>
      </c>
      <c r="AD9" s="7">
        <v>2.48</v>
      </c>
      <c r="AE9" s="7">
        <v>30.9</v>
      </c>
      <c r="AF9" s="7">
        <v>1.2</v>
      </c>
      <c r="AG9" s="7">
        <v>7.2</v>
      </c>
      <c r="AH9" s="7">
        <v>4.2</v>
      </c>
      <c r="AI9" s="7">
        <v>12.5</v>
      </c>
      <c r="AJ9" s="7">
        <v>49.1</v>
      </c>
      <c r="AK9" s="7">
        <v>56.7</v>
      </c>
      <c r="AL9" s="7">
        <v>28.5</v>
      </c>
      <c r="AM9" s="7">
        <v>105.51</v>
      </c>
      <c r="AN9" s="7">
        <v>12.9</v>
      </c>
      <c r="AO9" s="7">
        <v>6020</v>
      </c>
    </row>
    <row r="10" spans="1:41">
      <c r="A10" s="6" t="s">
        <v>59</v>
      </c>
      <c r="B10" s="6" t="s">
        <v>60</v>
      </c>
      <c r="C10" s="41">
        <f t="shared" si="1"/>
        <v>0.56415355351893481</v>
      </c>
      <c r="D10" s="42">
        <f t="shared" si="0"/>
        <v>2.0681818181818183</v>
      </c>
      <c r="E10" s="31">
        <v>1827</v>
      </c>
      <c r="F10" s="24">
        <v>686</v>
      </c>
      <c r="G10" s="24">
        <v>1456</v>
      </c>
      <c r="H10" s="8">
        <v>46.9</v>
      </c>
      <c r="I10" s="9">
        <v>420</v>
      </c>
      <c r="J10" s="8">
        <v>35.6</v>
      </c>
      <c r="K10" s="8">
        <v>315</v>
      </c>
      <c r="L10" s="25">
        <v>371</v>
      </c>
      <c r="M10" s="8">
        <v>84.6</v>
      </c>
      <c r="N10" s="9">
        <v>56</v>
      </c>
      <c r="O10" s="9">
        <v>371</v>
      </c>
      <c r="P10" s="9">
        <v>427</v>
      </c>
      <c r="Q10" s="24">
        <v>637</v>
      </c>
      <c r="R10" s="24">
        <v>308</v>
      </c>
      <c r="S10" s="9">
        <v>70</v>
      </c>
      <c r="T10" s="9">
        <v>56</v>
      </c>
      <c r="U10" s="9">
        <v>196</v>
      </c>
      <c r="V10" s="8">
        <v>3360</v>
      </c>
      <c r="W10" s="8">
        <v>31</v>
      </c>
      <c r="X10" s="8">
        <v>9</v>
      </c>
      <c r="Y10" s="7">
        <v>2.5</v>
      </c>
      <c r="Z10" s="7">
        <v>115</v>
      </c>
      <c r="AA10" s="7">
        <v>112.2</v>
      </c>
      <c r="AB10" s="7">
        <v>2.8</v>
      </c>
      <c r="AC10" s="7">
        <v>40.9</v>
      </c>
      <c r="AD10" s="7">
        <v>2.06</v>
      </c>
      <c r="AE10" s="7">
        <v>25</v>
      </c>
      <c r="AF10" s="7">
        <v>2.2999999999999998</v>
      </c>
      <c r="AG10" s="7">
        <v>14.7</v>
      </c>
      <c r="AH10" s="7">
        <v>8.6</v>
      </c>
      <c r="AI10" s="7">
        <v>12.1</v>
      </c>
      <c r="AJ10" s="7">
        <v>52.1</v>
      </c>
      <c r="AK10" s="7">
        <v>56.5</v>
      </c>
      <c r="AL10" s="7">
        <v>32.299999999999997</v>
      </c>
      <c r="AM10" s="7">
        <v>101.57</v>
      </c>
      <c r="AN10" s="7">
        <v>15.2</v>
      </c>
      <c r="AO10" s="7">
        <v>5201</v>
      </c>
    </row>
    <row r="11" spans="1:41">
      <c r="A11" s="6" t="s">
        <v>61</v>
      </c>
      <c r="B11" s="6" t="s">
        <v>62</v>
      </c>
      <c r="C11" s="41">
        <f t="shared" si="1"/>
        <v>0.58101272356569533</v>
      </c>
      <c r="D11" s="42">
        <f t="shared" si="0"/>
        <v>2.0205882352941176</v>
      </c>
      <c r="E11" s="31">
        <v>1801</v>
      </c>
      <c r="F11" s="24">
        <v>529</v>
      </c>
      <c r="G11" s="24">
        <v>1296</v>
      </c>
      <c r="H11" s="8">
        <v>41</v>
      </c>
      <c r="I11" s="9">
        <v>672</v>
      </c>
      <c r="J11" s="8">
        <v>35.200000000000003</v>
      </c>
      <c r="K11" s="8">
        <v>506</v>
      </c>
      <c r="L11" s="25">
        <v>577</v>
      </c>
      <c r="M11" s="8">
        <v>87.4</v>
      </c>
      <c r="N11" s="9">
        <v>55</v>
      </c>
      <c r="O11" s="9">
        <v>403</v>
      </c>
      <c r="P11" s="9">
        <v>458</v>
      </c>
      <c r="Q11" s="24">
        <v>687</v>
      </c>
      <c r="R11" s="24">
        <v>340</v>
      </c>
      <c r="S11" s="9">
        <v>119</v>
      </c>
      <c r="T11" s="9">
        <v>55</v>
      </c>
      <c r="U11" s="9">
        <v>166</v>
      </c>
      <c r="V11" s="8">
        <v>3555</v>
      </c>
      <c r="W11" s="8">
        <v>38</v>
      </c>
      <c r="X11" s="8">
        <v>3</v>
      </c>
      <c r="Y11" s="7">
        <v>4.4000000000000004</v>
      </c>
      <c r="Z11" s="7">
        <v>115.4</v>
      </c>
      <c r="AA11" s="7">
        <v>109.2</v>
      </c>
      <c r="AB11" s="7">
        <v>6.2</v>
      </c>
      <c r="AC11" s="7">
        <v>36.5</v>
      </c>
      <c r="AD11" s="7">
        <v>2.0099999999999998</v>
      </c>
      <c r="AE11" s="7">
        <v>26.9</v>
      </c>
      <c r="AF11" s="7">
        <v>2</v>
      </c>
      <c r="AG11" s="7">
        <v>14.3</v>
      </c>
      <c r="AH11" s="7">
        <v>8.3000000000000007</v>
      </c>
      <c r="AI11" s="7">
        <v>13.4</v>
      </c>
      <c r="AJ11" s="7">
        <v>50.1</v>
      </c>
      <c r="AK11" s="7">
        <v>58.2</v>
      </c>
      <c r="AL11" s="7">
        <v>28.6</v>
      </c>
      <c r="AM11" s="7">
        <v>98.82</v>
      </c>
      <c r="AN11" s="7">
        <v>14.5</v>
      </c>
      <c r="AO11" s="7">
        <v>5737</v>
      </c>
    </row>
    <row r="12" spans="1:41">
      <c r="A12" s="6" t="s">
        <v>63</v>
      </c>
      <c r="B12" s="6" t="s">
        <v>64</v>
      </c>
      <c r="C12" s="41">
        <f t="shared" si="1"/>
        <v>0.62866752540432225</v>
      </c>
      <c r="D12" s="42">
        <f t="shared" si="0"/>
        <v>1.1494845360824741</v>
      </c>
      <c r="E12" s="31">
        <v>1757</v>
      </c>
      <c r="F12" s="24">
        <v>641</v>
      </c>
      <c r="G12" s="24">
        <v>1217</v>
      </c>
      <c r="H12" s="8">
        <v>52.6</v>
      </c>
      <c r="I12" s="9">
        <v>338</v>
      </c>
      <c r="J12" s="8">
        <v>42</v>
      </c>
      <c r="K12" s="8">
        <v>338</v>
      </c>
      <c r="L12" s="25">
        <v>410</v>
      </c>
      <c r="M12" s="8">
        <v>82.9</v>
      </c>
      <c r="N12" s="9">
        <v>209</v>
      </c>
      <c r="O12" s="9">
        <v>706</v>
      </c>
      <c r="P12" s="9">
        <v>922</v>
      </c>
      <c r="Q12" s="24">
        <v>223</v>
      </c>
      <c r="R12" s="24">
        <v>194</v>
      </c>
      <c r="S12" s="9">
        <v>72</v>
      </c>
      <c r="T12" s="9">
        <v>50</v>
      </c>
      <c r="U12" s="9">
        <v>252</v>
      </c>
      <c r="V12" s="8">
        <v>3370</v>
      </c>
      <c r="W12" s="8">
        <v>58</v>
      </c>
      <c r="X12" s="8">
        <v>1</v>
      </c>
      <c r="Y12" s="7">
        <v>5.3</v>
      </c>
      <c r="Z12" s="7">
        <v>119.4</v>
      </c>
      <c r="AA12" s="7">
        <v>112.7</v>
      </c>
      <c r="AB12" s="7">
        <v>6.8</v>
      </c>
      <c r="AC12" s="7">
        <v>13</v>
      </c>
      <c r="AD12" s="7">
        <v>1.1599999999999999</v>
      </c>
      <c r="AE12" s="7">
        <v>12.4</v>
      </c>
      <c r="AF12" s="7">
        <v>8.6999999999999993</v>
      </c>
      <c r="AG12" s="7">
        <v>28.4</v>
      </c>
      <c r="AH12" s="7">
        <v>18.7</v>
      </c>
      <c r="AI12" s="7">
        <v>10.7</v>
      </c>
      <c r="AJ12" s="7">
        <v>58.4</v>
      </c>
      <c r="AK12" s="7">
        <v>63</v>
      </c>
      <c r="AL12" s="7">
        <v>26.5</v>
      </c>
      <c r="AM12" s="7">
        <v>99.25</v>
      </c>
      <c r="AN12" s="7">
        <v>16.100000000000001</v>
      </c>
      <c r="AO12" s="7">
        <v>5215</v>
      </c>
    </row>
    <row r="13" spans="1:41">
      <c r="A13" s="6" t="s">
        <v>65</v>
      </c>
      <c r="B13" s="6" t="s">
        <v>66</v>
      </c>
      <c r="C13" s="41">
        <f t="shared" si="1"/>
        <v>0.63938998338476138</v>
      </c>
      <c r="D13" s="42">
        <f t="shared" si="0"/>
        <v>1.5024154589371981</v>
      </c>
      <c r="E13" s="31">
        <v>1724</v>
      </c>
      <c r="F13" s="24">
        <v>622</v>
      </c>
      <c r="G13" s="24">
        <v>1221</v>
      </c>
      <c r="H13" s="8">
        <v>51.1</v>
      </c>
      <c r="I13" s="9">
        <v>533</v>
      </c>
      <c r="J13" s="8">
        <v>44.6</v>
      </c>
      <c r="K13" s="8">
        <v>237</v>
      </c>
      <c r="L13" s="25">
        <v>289</v>
      </c>
      <c r="M13" s="8">
        <v>82.5</v>
      </c>
      <c r="N13" s="9">
        <v>22</v>
      </c>
      <c r="O13" s="9">
        <v>296</v>
      </c>
      <c r="P13" s="9">
        <v>318</v>
      </c>
      <c r="Q13" s="24">
        <v>311</v>
      </c>
      <c r="R13" s="24">
        <v>207</v>
      </c>
      <c r="S13" s="9">
        <v>59</v>
      </c>
      <c r="T13" s="9">
        <v>15</v>
      </c>
      <c r="U13" s="9">
        <v>118</v>
      </c>
      <c r="V13" s="8">
        <v>2568</v>
      </c>
      <c r="W13" s="8">
        <v>6</v>
      </c>
      <c r="X13" s="8">
        <v>0</v>
      </c>
      <c r="Y13" s="7">
        <v>-0.9</v>
      </c>
      <c r="Z13" s="7">
        <v>115.4</v>
      </c>
      <c r="AA13" s="7">
        <v>116.8</v>
      </c>
      <c r="AB13" s="7">
        <v>-1.4</v>
      </c>
      <c r="AC13" s="7">
        <v>17.8</v>
      </c>
      <c r="AD13" s="7">
        <v>1.49</v>
      </c>
      <c r="AE13" s="7">
        <v>16.7</v>
      </c>
      <c r="AF13" s="7">
        <v>0.9</v>
      </c>
      <c r="AG13" s="7">
        <v>10.7</v>
      </c>
      <c r="AH13" s="7">
        <v>5.9</v>
      </c>
      <c r="AI13" s="7">
        <v>11.2</v>
      </c>
      <c r="AJ13" s="7">
        <v>60.9</v>
      </c>
      <c r="AK13" s="7">
        <v>63.9</v>
      </c>
      <c r="AL13" s="7">
        <v>25.1</v>
      </c>
      <c r="AM13" s="7">
        <v>101.28</v>
      </c>
      <c r="AN13" s="7">
        <v>11.5</v>
      </c>
      <c r="AO13" s="7">
        <v>5493</v>
      </c>
    </row>
    <row r="14" spans="1:41">
      <c r="A14" s="6" t="s">
        <v>67</v>
      </c>
      <c r="B14" s="6" t="s">
        <v>68</v>
      </c>
      <c r="C14" s="41">
        <f t="shared" si="1"/>
        <v>0.54395895984433051</v>
      </c>
      <c r="D14" s="42">
        <f t="shared" si="0"/>
        <v>1.3609756097560977</v>
      </c>
      <c r="E14" s="31">
        <v>1722</v>
      </c>
      <c r="F14" s="24">
        <v>607</v>
      </c>
      <c r="G14" s="24">
        <v>1435</v>
      </c>
      <c r="H14" s="8">
        <v>42.3</v>
      </c>
      <c r="I14" s="9">
        <v>664</v>
      </c>
      <c r="J14" s="8">
        <v>35.4</v>
      </c>
      <c r="K14" s="8">
        <v>271</v>
      </c>
      <c r="L14" s="25">
        <v>336</v>
      </c>
      <c r="M14" s="8">
        <v>81.3</v>
      </c>
      <c r="N14" s="9">
        <v>41</v>
      </c>
      <c r="O14" s="9">
        <v>328</v>
      </c>
      <c r="P14" s="9">
        <v>377</v>
      </c>
      <c r="Q14" s="24">
        <v>279</v>
      </c>
      <c r="R14" s="24">
        <v>205</v>
      </c>
      <c r="S14" s="9">
        <v>74</v>
      </c>
      <c r="T14" s="9">
        <v>25</v>
      </c>
      <c r="U14" s="9">
        <v>123</v>
      </c>
      <c r="V14" s="8">
        <v>2690</v>
      </c>
      <c r="W14" s="8">
        <v>4</v>
      </c>
      <c r="X14" s="8">
        <v>0</v>
      </c>
      <c r="Y14" s="7">
        <v>2</v>
      </c>
      <c r="Z14" s="7">
        <v>113.8</v>
      </c>
      <c r="AA14" s="7">
        <v>111.1</v>
      </c>
      <c r="AB14" s="7">
        <v>2.8</v>
      </c>
      <c r="AC14" s="7">
        <v>15.9</v>
      </c>
      <c r="AD14" s="7">
        <v>1.39</v>
      </c>
      <c r="AE14" s="7">
        <v>13.7</v>
      </c>
      <c r="AF14" s="7">
        <v>1.5</v>
      </c>
      <c r="AG14" s="7">
        <v>12</v>
      </c>
      <c r="AH14" s="7">
        <v>6.5</v>
      </c>
      <c r="AI14" s="7">
        <v>9.9</v>
      </c>
      <c r="AJ14" s="7">
        <v>50.5</v>
      </c>
      <c r="AK14" s="7">
        <v>54.4</v>
      </c>
      <c r="AL14" s="7">
        <v>26.7</v>
      </c>
      <c r="AM14" s="7">
        <v>99.75</v>
      </c>
      <c r="AN14" s="7">
        <v>11.1</v>
      </c>
      <c r="AO14" s="7">
        <v>5610</v>
      </c>
    </row>
    <row r="15" spans="1:41">
      <c r="A15" s="6" t="s">
        <v>69</v>
      </c>
      <c r="B15" s="6" t="s">
        <v>70</v>
      </c>
      <c r="C15" s="41">
        <f t="shared" si="1"/>
        <v>0.61582545747033979</v>
      </c>
      <c r="D15" s="42">
        <f t="shared" si="0"/>
        <v>2.0689655172413794</v>
      </c>
      <c r="E15" s="31">
        <v>1715</v>
      </c>
      <c r="F15" s="24">
        <v>567</v>
      </c>
      <c r="G15" s="24">
        <v>1260</v>
      </c>
      <c r="H15" s="8">
        <v>44.8</v>
      </c>
      <c r="I15" s="9">
        <v>784</v>
      </c>
      <c r="J15" s="8">
        <v>39.700000000000003</v>
      </c>
      <c r="K15" s="8">
        <v>280</v>
      </c>
      <c r="L15" s="25">
        <v>301</v>
      </c>
      <c r="M15" s="8">
        <v>93.3</v>
      </c>
      <c r="N15" s="9">
        <v>42</v>
      </c>
      <c r="O15" s="9">
        <v>273</v>
      </c>
      <c r="P15" s="9">
        <v>308</v>
      </c>
      <c r="Q15" s="24">
        <v>420</v>
      </c>
      <c r="R15" s="24">
        <v>203</v>
      </c>
      <c r="S15" s="9">
        <v>77</v>
      </c>
      <c r="T15" s="9">
        <v>28</v>
      </c>
      <c r="U15" s="9">
        <v>98</v>
      </c>
      <c r="V15" s="8">
        <v>2849</v>
      </c>
      <c r="W15" s="8">
        <v>9</v>
      </c>
      <c r="X15" s="8">
        <v>0</v>
      </c>
      <c r="Y15" s="7">
        <v>4.3</v>
      </c>
      <c r="Z15" s="7">
        <v>118.4</v>
      </c>
      <c r="AA15" s="7">
        <v>112.7</v>
      </c>
      <c r="AB15" s="7">
        <v>5.7</v>
      </c>
      <c r="AC15" s="7">
        <v>28.4</v>
      </c>
      <c r="AD15" s="7">
        <v>2.11</v>
      </c>
      <c r="AE15" s="7">
        <v>21.1</v>
      </c>
      <c r="AF15" s="7">
        <v>1.7</v>
      </c>
      <c r="AG15" s="7">
        <v>11.8</v>
      </c>
      <c r="AH15" s="7">
        <v>6.6</v>
      </c>
      <c r="AI15" s="7">
        <v>10</v>
      </c>
      <c r="AJ15" s="7">
        <v>57.2</v>
      </c>
      <c r="AK15" s="7">
        <v>61.8</v>
      </c>
      <c r="AL15" s="7">
        <v>28.6</v>
      </c>
      <c r="AM15" s="7">
        <v>101.72</v>
      </c>
      <c r="AN15" s="7">
        <v>14.5</v>
      </c>
      <c r="AO15" s="7">
        <v>4785</v>
      </c>
    </row>
    <row r="16" spans="1:41">
      <c r="A16" s="6" t="s">
        <v>71</v>
      </c>
      <c r="B16" s="6" t="s">
        <v>66</v>
      </c>
      <c r="C16" s="41">
        <f t="shared" si="1"/>
        <v>0.568847526228897</v>
      </c>
      <c r="D16" s="42">
        <f t="shared" si="0"/>
        <v>3.1388888888888888</v>
      </c>
      <c r="E16" s="31">
        <v>1709</v>
      </c>
      <c r="F16" s="24">
        <v>624</v>
      </c>
      <c r="G16" s="24">
        <v>1309</v>
      </c>
      <c r="H16" s="8">
        <v>47.7</v>
      </c>
      <c r="I16" s="9">
        <v>254</v>
      </c>
      <c r="J16" s="8">
        <v>32.799999999999997</v>
      </c>
      <c r="K16" s="8">
        <v>377</v>
      </c>
      <c r="L16" s="25">
        <v>439</v>
      </c>
      <c r="M16" s="8">
        <v>85.7</v>
      </c>
      <c r="N16" s="9">
        <v>46</v>
      </c>
      <c r="O16" s="9">
        <v>246</v>
      </c>
      <c r="P16" s="9">
        <v>300</v>
      </c>
      <c r="Q16" s="24">
        <v>339</v>
      </c>
      <c r="R16" s="24">
        <v>108</v>
      </c>
      <c r="S16" s="9">
        <v>62</v>
      </c>
      <c r="T16" s="9">
        <v>31</v>
      </c>
      <c r="U16" s="9">
        <v>146</v>
      </c>
      <c r="V16" s="8">
        <v>2757</v>
      </c>
      <c r="W16" s="8">
        <v>3</v>
      </c>
      <c r="X16" s="8">
        <v>0</v>
      </c>
      <c r="Y16" s="7">
        <v>1.4</v>
      </c>
      <c r="Z16" s="7">
        <v>116.8</v>
      </c>
      <c r="AA16" s="7">
        <v>115.3</v>
      </c>
      <c r="AB16" s="7">
        <v>1.5</v>
      </c>
      <c r="AC16" s="7">
        <v>18.2</v>
      </c>
      <c r="AD16" s="7">
        <v>3.26</v>
      </c>
      <c r="AE16" s="7">
        <v>17.7</v>
      </c>
      <c r="AF16" s="7">
        <v>1.8</v>
      </c>
      <c r="AG16" s="7">
        <v>9</v>
      </c>
      <c r="AH16" s="7">
        <v>5.4</v>
      </c>
      <c r="AI16" s="7">
        <v>5.4</v>
      </c>
      <c r="AJ16" s="7">
        <v>50.9</v>
      </c>
      <c r="AK16" s="7">
        <v>56.9</v>
      </c>
      <c r="AL16" s="7">
        <v>24.4</v>
      </c>
      <c r="AM16" s="7">
        <v>99.35</v>
      </c>
      <c r="AN16" s="7">
        <v>11.2</v>
      </c>
      <c r="AO16" s="7">
        <v>5740</v>
      </c>
    </row>
    <row r="17" spans="1:41">
      <c r="A17" s="6" t="s">
        <v>73</v>
      </c>
      <c r="B17" s="6" t="s">
        <v>74</v>
      </c>
      <c r="C17" s="41">
        <f t="shared" si="1"/>
        <v>0.60491868306227692</v>
      </c>
      <c r="D17" s="42">
        <f t="shared" si="0"/>
        <v>2.2162162162162162</v>
      </c>
      <c r="E17" s="31">
        <v>1708</v>
      </c>
      <c r="F17" s="24">
        <v>651</v>
      </c>
      <c r="G17" s="24">
        <v>1267</v>
      </c>
      <c r="H17" s="8">
        <v>51.3</v>
      </c>
      <c r="I17" s="9">
        <v>399</v>
      </c>
      <c r="J17" s="8">
        <v>37.6</v>
      </c>
      <c r="K17" s="8">
        <v>259</v>
      </c>
      <c r="L17" s="25">
        <v>329</v>
      </c>
      <c r="M17" s="8">
        <v>78.2</v>
      </c>
      <c r="N17" s="9">
        <v>70</v>
      </c>
      <c r="O17" s="9">
        <v>476</v>
      </c>
      <c r="P17" s="9">
        <v>546</v>
      </c>
      <c r="Q17" s="24">
        <v>574</v>
      </c>
      <c r="R17" s="24">
        <v>259</v>
      </c>
      <c r="S17" s="9">
        <v>70</v>
      </c>
      <c r="T17" s="9">
        <v>42</v>
      </c>
      <c r="U17" s="9">
        <v>98</v>
      </c>
      <c r="V17" s="8">
        <v>3297</v>
      </c>
      <c r="W17" s="8">
        <v>32</v>
      </c>
      <c r="X17" s="8">
        <v>10</v>
      </c>
      <c r="Y17" s="7">
        <v>-0.8</v>
      </c>
      <c r="Z17" s="7">
        <v>112.7</v>
      </c>
      <c r="AA17" s="7">
        <v>114</v>
      </c>
      <c r="AB17" s="7">
        <v>-1.3</v>
      </c>
      <c r="AC17" s="7">
        <v>39.5</v>
      </c>
      <c r="AD17" s="7">
        <v>2.21</v>
      </c>
      <c r="AE17" s="7">
        <v>25.6</v>
      </c>
      <c r="AF17" s="7">
        <v>3.1</v>
      </c>
      <c r="AG17" s="7">
        <v>18.7</v>
      </c>
      <c r="AH17" s="7">
        <v>11.2</v>
      </c>
      <c r="AI17" s="7">
        <v>11.6</v>
      </c>
      <c r="AJ17" s="7">
        <v>57.1</v>
      </c>
      <c r="AK17" s="7">
        <v>60.4</v>
      </c>
      <c r="AL17" s="7">
        <v>29.1</v>
      </c>
      <c r="AM17" s="7">
        <v>100.62</v>
      </c>
      <c r="AN17" s="7">
        <v>16.899999999999999</v>
      </c>
      <c r="AO17" s="7">
        <v>5129</v>
      </c>
    </row>
    <row r="18" spans="1:41">
      <c r="A18" s="6" t="s">
        <v>75</v>
      </c>
      <c r="B18" s="6" t="s">
        <v>76</v>
      </c>
      <c r="C18" s="41">
        <f t="shared" si="1"/>
        <v>0.57556678466236122</v>
      </c>
      <c r="D18" s="42">
        <f t="shared" si="0"/>
        <v>2.3825503355704698</v>
      </c>
      <c r="E18" s="31">
        <v>1704</v>
      </c>
      <c r="F18" s="24">
        <v>582</v>
      </c>
      <c r="G18" s="24">
        <v>1321</v>
      </c>
      <c r="H18" s="8">
        <v>44.3</v>
      </c>
      <c r="I18" s="9">
        <v>632</v>
      </c>
      <c r="J18" s="8">
        <v>36.799999999999997</v>
      </c>
      <c r="K18" s="8">
        <v>298</v>
      </c>
      <c r="L18" s="25">
        <v>362</v>
      </c>
      <c r="M18" s="8">
        <v>82.3</v>
      </c>
      <c r="N18" s="9">
        <v>57</v>
      </c>
      <c r="O18" s="9">
        <v>263</v>
      </c>
      <c r="P18" s="9">
        <v>320</v>
      </c>
      <c r="Q18" s="24">
        <v>355</v>
      </c>
      <c r="R18" s="24">
        <v>149</v>
      </c>
      <c r="S18" s="9">
        <v>92</v>
      </c>
      <c r="T18" s="9">
        <v>14</v>
      </c>
      <c r="U18" s="9">
        <v>142</v>
      </c>
      <c r="V18" s="8">
        <v>2805</v>
      </c>
      <c r="W18" s="8">
        <v>6</v>
      </c>
      <c r="X18" s="8">
        <v>0</v>
      </c>
      <c r="Y18" s="7">
        <v>7.4</v>
      </c>
      <c r="Z18" s="7">
        <v>119.7</v>
      </c>
      <c r="AA18" s="7">
        <v>109.1</v>
      </c>
      <c r="AB18" s="7">
        <v>10.5</v>
      </c>
      <c r="AC18" s="7">
        <v>23.8</v>
      </c>
      <c r="AD18" s="7">
        <v>2.38</v>
      </c>
      <c r="AE18" s="7">
        <v>18</v>
      </c>
      <c r="AF18" s="7">
        <v>2.5</v>
      </c>
      <c r="AG18" s="7">
        <v>11.2</v>
      </c>
      <c r="AH18" s="7">
        <v>6.9</v>
      </c>
      <c r="AI18" s="7">
        <v>7.6</v>
      </c>
      <c r="AJ18" s="7">
        <v>53.1</v>
      </c>
      <c r="AK18" s="7">
        <v>57.5</v>
      </c>
      <c r="AL18" s="7">
        <v>29.8</v>
      </c>
      <c r="AM18" s="7">
        <v>102.21</v>
      </c>
      <c r="AN18" s="7">
        <v>13.7</v>
      </c>
      <c r="AO18" s="7">
        <v>4762</v>
      </c>
    </row>
    <row r="19" spans="1:41">
      <c r="A19" s="6" t="s">
        <v>77</v>
      </c>
      <c r="B19" s="6" t="s">
        <v>64</v>
      </c>
      <c r="C19" s="41">
        <f t="shared" si="1"/>
        <v>0.60333009653281544</v>
      </c>
      <c r="D19" s="42">
        <f t="shared" si="0"/>
        <v>2.9141104294478528</v>
      </c>
      <c r="E19" s="31">
        <v>1690</v>
      </c>
      <c r="F19" s="24">
        <v>585</v>
      </c>
      <c r="G19" s="24">
        <v>1203</v>
      </c>
      <c r="H19" s="8">
        <v>48.8</v>
      </c>
      <c r="I19" s="9">
        <v>397</v>
      </c>
      <c r="J19" s="8">
        <v>38.299999999999997</v>
      </c>
      <c r="K19" s="8">
        <v>371</v>
      </c>
      <c r="L19" s="25">
        <v>449</v>
      </c>
      <c r="M19" s="8">
        <v>82.1</v>
      </c>
      <c r="N19" s="9">
        <v>26</v>
      </c>
      <c r="O19" s="9">
        <v>163</v>
      </c>
      <c r="P19" s="9">
        <v>189</v>
      </c>
      <c r="Q19" s="24">
        <v>475</v>
      </c>
      <c r="R19" s="24">
        <v>163</v>
      </c>
      <c r="S19" s="9">
        <v>59</v>
      </c>
      <c r="T19" s="9">
        <v>7</v>
      </c>
      <c r="U19" s="9">
        <v>137</v>
      </c>
      <c r="V19" s="8">
        <v>2665</v>
      </c>
      <c r="W19" s="8">
        <v>14</v>
      </c>
      <c r="X19" s="8">
        <v>0</v>
      </c>
      <c r="Y19" s="7">
        <v>2.2000000000000002</v>
      </c>
      <c r="Z19" s="7">
        <v>118.3</v>
      </c>
      <c r="AA19" s="7">
        <v>115.7</v>
      </c>
      <c r="AB19" s="7">
        <v>2.6</v>
      </c>
      <c r="AC19" s="7">
        <v>31.8</v>
      </c>
      <c r="AD19" s="7">
        <v>2.9</v>
      </c>
      <c r="AE19" s="7">
        <v>23.5</v>
      </c>
      <c r="AF19" s="7">
        <v>1.2</v>
      </c>
      <c r="AG19" s="7">
        <v>7.2</v>
      </c>
      <c r="AH19" s="7">
        <v>4.2</v>
      </c>
      <c r="AI19" s="7">
        <v>8.1</v>
      </c>
      <c r="AJ19" s="7">
        <v>55.1</v>
      </c>
      <c r="AK19" s="7">
        <v>60.5</v>
      </c>
      <c r="AL19" s="7">
        <v>28.9</v>
      </c>
      <c r="AM19" s="7">
        <v>97.79</v>
      </c>
      <c r="AN19" s="7">
        <v>13.8</v>
      </c>
      <c r="AO19" s="7">
        <v>4697</v>
      </c>
    </row>
    <row r="20" spans="1:41">
      <c r="A20" s="6" t="s">
        <v>79</v>
      </c>
      <c r="B20" s="6" t="s">
        <v>54</v>
      </c>
      <c r="C20" s="41">
        <f t="shared" si="1"/>
        <v>0.64393939393939392</v>
      </c>
      <c r="D20" s="42">
        <f t="shared" si="0"/>
        <v>1.3541666666666667</v>
      </c>
      <c r="E20" s="31">
        <v>1649</v>
      </c>
      <c r="F20" s="24">
        <v>589</v>
      </c>
      <c r="G20" s="24">
        <v>1122</v>
      </c>
      <c r="H20" s="8">
        <v>52.7</v>
      </c>
      <c r="I20" s="9">
        <v>372</v>
      </c>
      <c r="J20" s="8">
        <v>43</v>
      </c>
      <c r="K20" s="8">
        <v>304</v>
      </c>
      <c r="L20" s="25">
        <v>360</v>
      </c>
      <c r="M20" s="8">
        <v>83.9</v>
      </c>
      <c r="N20" s="9">
        <v>25</v>
      </c>
      <c r="O20" s="9">
        <v>353</v>
      </c>
      <c r="P20" s="9">
        <v>372</v>
      </c>
      <c r="Q20" s="24">
        <v>260</v>
      </c>
      <c r="R20" s="24">
        <v>192</v>
      </c>
      <c r="S20" s="9">
        <v>50</v>
      </c>
      <c r="T20" s="9">
        <v>74</v>
      </c>
      <c r="U20" s="9">
        <v>105</v>
      </c>
      <c r="V20" s="8">
        <v>2678</v>
      </c>
      <c r="W20" s="8">
        <v>5</v>
      </c>
      <c r="X20" s="8">
        <v>0</v>
      </c>
      <c r="Y20" s="7">
        <v>-0.6</v>
      </c>
      <c r="Z20" s="7">
        <v>116.5</v>
      </c>
      <c r="AA20" s="7">
        <v>117.4</v>
      </c>
      <c r="AB20" s="7">
        <v>-1</v>
      </c>
      <c r="AC20" s="7">
        <v>18.8</v>
      </c>
      <c r="AD20" s="7">
        <v>1.38</v>
      </c>
      <c r="AE20" s="7">
        <v>15.2</v>
      </c>
      <c r="AF20" s="7">
        <v>1.1000000000000001</v>
      </c>
      <c r="AG20" s="7">
        <v>14.7</v>
      </c>
      <c r="AH20" s="7">
        <v>8.4</v>
      </c>
      <c r="AI20" s="7">
        <v>11</v>
      </c>
      <c r="AJ20" s="7">
        <v>59.8</v>
      </c>
      <c r="AK20" s="7">
        <v>64.2</v>
      </c>
      <c r="AL20" s="7">
        <v>28.3</v>
      </c>
      <c r="AM20" s="7">
        <v>99.49</v>
      </c>
      <c r="AN20" s="7">
        <v>14.2</v>
      </c>
      <c r="AO20" s="7">
        <v>4697</v>
      </c>
    </row>
    <row r="21" spans="1:41">
      <c r="A21" s="13" t="s">
        <v>81</v>
      </c>
      <c r="B21" s="6" t="s">
        <v>82</v>
      </c>
      <c r="C21" s="41">
        <f t="shared" si="1"/>
        <v>0.59100719424460435</v>
      </c>
      <c r="D21" s="42">
        <f t="shared" si="0"/>
        <v>0.95483870967741935</v>
      </c>
      <c r="E21" s="31">
        <v>1643</v>
      </c>
      <c r="F21" s="24">
        <v>592</v>
      </c>
      <c r="G21" s="24">
        <v>1214</v>
      </c>
      <c r="H21" s="8">
        <v>48.8</v>
      </c>
      <c r="I21" s="9">
        <v>392</v>
      </c>
      <c r="J21" s="8">
        <v>37.5</v>
      </c>
      <c r="K21" s="8">
        <v>311</v>
      </c>
      <c r="L21" s="25">
        <v>400</v>
      </c>
      <c r="M21" s="8">
        <v>78.099999999999994</v>
      </c>
      <c r="N21" s="9">
        <v>89</v>
      </c>
      <c r="O21" s="9">
        <v>326</v>
      </c>
      <c r="P21" s="9">
        <v>414</v>
      </c>
      <c r="Q21" s="24">
        <v>148</v>
      </c>
      <c r="R21" s="24">
        <v>155</v>
      </c>
      <c r="S21" s="9">
        <v>89</v>
      </c>
      <c r="T21" s="9">
        <v>111</v>
      </c>
      <c r="U21" s="9">
        <v>259</v>
      </c>
      <c r="V21" s="8">
        <v>2827</v>
      </c>
      <c r="W21" s="8">
        <v>6</v>
      </c>
      <c r="X21" s="8">
        <v>0</v>
      </c>
      <c r="Y21" s="7">
        <v>4.5</v>
      </c>
      <c r="Z21" s="7">
        <v>115.2</v>
      </c>
      <c r="AA21" s="7">
        <v>108.8</v>
      </c>
      <c r="AB21" s="7">
        <v>6.4</v>
      </c>
      <c r="AC21" s="7">
        <v>10.199999999999999</v>
      </c>
      <c r="AD21" s="7">
        <v>0.97</v>
      </c>
      <c r="AE21" s="7">
        <v>8.8000000000000007</v>
      </c>
      <c r="AF21" s="7">
        <v>3.8</v>
      </c>
      <c r="AG21" s="7">
        <v>13.4</v>
      </c>
      <c r="AH21" s="7">
        <v>8.6999999999999993</v>
      </c>
      <c r="AI21" s="7">
        <v>9.1</v>
      </c>
      <c r="AJ21" s="7">
        <v>54.8</v>
      </c>
      <c r="AK21" s="7">
        <v>59.1</v>
      </c>
      <c r="AL21" s="7">
        <v>27.4</v>
      </c>
      <c r="AM21" s="7">
        <v>105.56</v>
      </c>
      <c r="AN21" s="7">
        <v>12.4</v>
      </c>
      <c r="AO21" s="7">
        <v>4863</v>
      </c>
    </row>
    <row r="22" spans="1:41">
      <c r="A22" s="6" t="s">
        <v>83</v>
      </c>
      <c r="B22" s="6" t="s">
        <v>84</v>
      </c>
      <c r="C22" s="41">
        <f t="shared" si="1"/>
        <v>0.59707825665272474</v>
      </c>
      <c r="D22" s="42">
        <f t="shared" si="0"/>
        <v>2.4311926605504586</v>
      </c>
      <c r="E22" s="31">
        <v>1576</v>
      </c>
      <c r="F22" s="24">
        <v>616</v>
      </c>
      <c r="G22" s="24">
        <v>1186</v>
      </c>
      <c r="H22" s="8">
        <v>51.9</v>
      </c>
      <c r="I22" s="9">
        <v>328</v>
      </c>
      <c r="J22" s="8">
        <v>38.9</v>
      </c>
      <c r="K22" s="8">
        <v>226</v>
      </c>
      <c r="L22" s="25">
        <v>304</v>
      </c>
      <c r="M22" s="8">
        <v>73.400000000000006</v>
      </c>
      <c r="N22" s="9">
        <v>133</v>
      </c>
      <c r="O22" s="9">
        <v>406</v>
      </c>
      <c r="P22" s="9">
        <v>538</v>
      </c>
      <c r="Q22" s="24">
        <v>265</v>
      </c>
      <c r="R22" s="24">
        <v>109</v>
      </c>
      <c r="S22" s="9">
        <v>70</v>
      </c>
      <c r="T22" s="9">
        <v>39</v>
      </c>
      <c r="U22" s="9">
        <v>187</v>
      </c>
      <c r="V22" s="8">
        <v>2847</v>
      </c>
      <c r="W22" s="8">
        <v>11</v>
      </c>
      <c r="X22" s="8">
        <v>0</v>
      </c>
      <c r="Y22" s="7">
        <v>4</v>
      </c>
      <c r="Z22" s="7">
        <v>114.5</v>
      </c>
      <c r="AA22" s="7">
        <v>108.9</v>
      </c>
      <c r="AB22" s="7">
        <v>5.5</v>
      </c>
      <c r="AC22" s="7">
        <v>15.5</v>
      </c>
      <c r="AD22" s="7">
        <v>2.41</v>
      </c>
      <c r="AE22" s="7">
        <v>15.6</v>
      </c>
      <c r="AF22" s="7">
        <v>5.3</v>
      </c>
      <c r="AG22" s="7">
        <v>15.4</v>
      </c>
      <c r="AH22" s="7">
        <v>10.4</v>
      </c>
      <c r="AI22" s="7">
        <v>6.5</v>
      </c>
      <c r="AJ22" s="7">
        <v>57.2</v>
      </c>
      <c r="AK22" s="7">
        <v>59.9</v>
      </c>
      <c r="AL22" s="7">
        <v>23.7</v>
      </c>
      <c r="AM22" s="7">
        <v>101.43</v>
      </c>
      <c r="AN22" s="7">
        <v>13</v>
      </c>
      <c r="AO22" s="7">
        <v>5390</v>
      </c>
    </row>
    <row r="23" spans="1:41">
      <c r="A23" s="6" t="s">
        <v>85</v>
      </c>
      <c r="B23" s="6" t="s">
        <v>76</v>
      </c>
      <c r="C23" s="41">
        <f t="shared" si="1"/>
        <v>0.59874438071616798</v>
      </c>
      <c r="D23" s="42">
        <f t="shared" si="0"/>
        <v>2.6755319148936172</v>
      </c>
      <c r="E23" s="31">
        <v>1545</v>
      </c>
      <c r="F23" s="24">
        <v>555</v>
      </c>
      <c r="G23" s="24">
        <v>1178</v>
      </c>
      <c r="H23" s="8">
        <v>47.2</v>
      </c>
      <c r="I23" s="9">
        <v>533</v>
      </c>
      <c r="J23" s="8">
        <v>40.1</v>
      </c>
      <c r="K23" s="8">
        <v>225</v>
      </c>
      <c r="L23" s="25">
        <v>255</v>
      </c>
      <c r="M23" s="8">
        <v>87.8</v>
      </c>
      <c r="N23" s="9">
        <v>45</v>
      </c>
      <c r="O23" s="9">
        <v>165</v>
      </c>
      <c r="P23" s="9">
        <v>218</v>
      </c>
      <c r="Q23" s="24">
        <v>503</v>
      </c>
      <c r="R23" s="24">
        <v>188</v>
      </c>
      <c r="S23" s="9">
        <v>90</v>
      </c>
      <c r="T23" s="9">
        <v>8</v>
      </c>
      <c r="U23" s="9">
        <v>143</v>
      </c>
      <c r="V23" s="8">
        <v>2678</v>
      </c>
      <c r="W23" s="8">
        <v>7</v>
      </c>
      <c r="X23" s="8">
        <v>0</v>
      </c>
      <c r="Y23" s="7">
        <v>6.7</v>
      </c>
      <c r="Z23" s="7">
        <v>123.2</v>
      </c>
      <c r="AA23" s="7">
        <v>113.4</v>
      </c>
      <c r="AB23" s="7">
        <v>9.9</v>
      </c>
      <c r="AC23" s="7">
        <v>30.9</v>
      </c>
      <c r="AD23" s="7">
        <v>2.68</v>
      </c>
      <c r="AE23" s="7">
        <v>25.6</v>
      </c>
      <c r="AF23" s="7">
        <v>2.1</v>
      </c>
      <c r="AG23" s="7">
        <v>6.8</v>
      </c>
      <c r="AH23" s="7">
        <v>4.5</v>
      </c>
      <c r="AI23" s="7">
        <v>9.6</v>
      </c>
      <c r="AJ23" s="7">
        <v>56.2</v>
      </c>
      <c r="AK23" s="7">
        <v>60</v>
      </c>
      <c r="AL23" s="7">
        <v>26.5</v>
      </c>
      <c r="AM23" s="7">
        <v>101.32</v>
      </c>
      <c r="AN23" s="7">
        <v>12.6</v>
      </c>
      <c r="AO23" s="7">
        <v>4865</v>
      </c>
    </row>
    <row r="24" spans="1:41">
      <c r="A24" s="6" t="s">
        <v>87</v>
      </c>
      <c r="B24" s="6" t="s">
        <v>88</v>
      </c>
      <c r="C24" s="41">
        <f t="shared" si="1"/>
        <v>0.60384541557361315</v>
      </c>
      <c r="D24" s="42">
        <f t="shared" si="0"/>
        <v>1.8707865168539326</v>
      </c>
      <c r="E24" s="31">
        <v>1510</v>
      </c>
      <c r="F24" s="24">
        <v>511</v>
      </c>
      <c r="G24" s="24">
        <v>1117</v>
      </c>
      <c r="H24" s="8">
        <v>45.3</v>
      </c>
      <c r="I24" s="9">
        <v>585</v>
      </c>
      <c r="J24" s="8">
        <v>37</v>
      </c>
      <c r="K24" s="8">
        <v>274</v>
      </c>
      <c r="L24" s="25">
        <v>303</v>
      </c>
      <c r="M24" s="8">
        <v>90.2</v>
      </c>
      <c r="N24" s="9">
        <v>22</v>
      </c>
      <c r="O24" s="9">
        <v>252</v>
      </c>
      <c r="P24" s="9">
        <v>274</v>
      </c>
      <c r="Q24" s="24">
        <v>333</v>
      </c>
      <c r="R24" s="24">
        <v>178</v>
      </c>
      <c r="S24" s="9">
        <v>67</v>
      </c>
      <c r="T24" s="9">
        <v>15</v>
      </c>
      <c r="U24" s="9">
        <v>155</v>
      </c>
      <c r="V24" s="8">
        <v>2412</v>
      </c>
      <c r="W24" s="8">
        <v>2</v>
      </c>
      <c r="X24" s="8">
        <v>0</v>
      </c>
      <c r="Y24" s="7">
        <v>-1.9</v>
      </c>
      <c r="Z24" s="7">
        <v>111.5</v>
      </c>
      <c r="AA24" s="7">
        <v>113.9</v>
      </c>
      <c r="AB24" s="7">
        <v>-2.5</v>
      </c>
      <c r="AC24" s="7">
        <v>19.7</v>
      </c>
      <c r="AD24" s="7">
        <v>1.86</v>
      </c>
      <c r="AE24" s="7">
        <v>18.8</v>
      </c>
      <c r="AF24" s="7">
        <v>1</v>
      </c>
      <c r="AG24" s="7">
        <v>9.5</v>
      </c>
      <c r="AH24" s="7">
        <v>5.3</v>
      </c>
      <c r="AI24" s="7">
        <v>10.1</v>
      </c>
      <c r="AJ24" s="7">
        <v>55</v>
      </c>
      <c r="AK24" s="7">
        <v>60.1</v>
      </c>
      <c r="AL24" s="7">
        <v>23.7</v>
      </c>
      <c r="AM24" s="7">
        <v>105.37</v>
      </c>
      <c r="AN24" s="7">
        <v>10.3</v>
      </c>
      <c r="AO24" s="7">
        <v>5375</v>
      </c>
    </row>
    <row r="25" spans="1:41">
      <c r="A25" s="6" t="s">
        <v>89</v>
      </c>
      <c r="B25" s="6" t="s">
        <v>44</v>
      </c>
      <c r="C25" s="41">
        <f t="shared" si="1"/>
        <v>0.57454422062498067</v>
      </c>
      <c r="D25" s="42">
        <f t="shared" si="0"/>
        <v>2.3157894736842106</v>
      </c>
      <c r="E25" s="31">
        <v>1490</v>
      </c>
      <c r="F25" s="24">
        <v>566</v>
      </c>
      <c r="G25" s="24">
        <v>1166</v>
      </c>
      <c r="H25" s="8">
        <v>48.4</v>
      </c>
      <c r="I25" s="9">
        <v>338</v>
      </c>
      <c r="J25" s="8">
        <v>36.5</v>
      </c>
      <c r="K25" s="8">
        <v>235</v>
      </c>
      <c r="L25" s="25">
        <v>297</v>
      </c>
      <c r="M25" s="8">
        <v>78.900000000000006</v>
      </c>
      <c r="N25" s="9">
        <v>62</v>
      </c>
      <c r="O25" s="9">
        <v>311</v>
      </c>
      <c r="P25" s="9">
        <v>366</v>
      </c>
      <c r="Q25" s="24">
        <v>352</v>
      </c>
      <c r="R25" s="24">
        <v>152</v>
      </c>
      <c r="S25" s="9">
        <v>110</v>
      </c>
      <c r="T25" s="9">
        <v>48</v>
      </c>
      <c r="U25" s="9">
        <v>159</v>
      </c>
      <c r="V25" s="8">
        <v>2788</v>
      </c>
      <c r="W25" s="8">
        <v>3</v>
      </c>
      <c r="X25" s="8">
        <v>0</v>
      </c>
      <c r="Y25" s="7">
        <v>6.6</v>
      </c>
      <c r="Z25" s="7">
        <v>116.7</v>
      </c>
      <c r="AA25" s="7">
        <v>106.5</v>
      </c>
      <c r="AB25" s="7">
        <v>10.199999999999999</v>
      </c>
      <c r="AC25" s="7">
        <v>23.4</v>
      </c>
      <c r="AD25" s="7">
        <v>2.37</v>
      </c>
      <c r="AE25" s="7">
        <v>19.7</v>
      </c>
      <c r="AF25" s="7">
        <v>2.6</v>
      </c>
      <c r="AG25" s="7">
        <v>13.1</v>
      </c>
      <c r="AH25" s="7">
        <v>7.9</v>
      </c>
      <c r="AI25" s="7">
        <v>8.3000000000000007</v>
      </c>
      <c r="AJ25" s="7">
        <v>53.7</v>
      </c>
      <c r="AK25" s="7">
        <v>57.3</v>
      </c>
      <c r="AL25" s="7">
        <v>27</v>
      </c>
      <c r="AM25" s="7">
        <v>102.44</v>
      </c>
      <c r="AN25" s="7">
        <v>13.8</v>
      </c>
      <c r="AO25" s="7">
        <v>4760</v>
      </c>
    </row>
    <row r="26" spans="1:41">
      <c r="A26" s="6" t="s">
        <v>91</v>
      </c>
      <c r="B26" s="6" t="s">
        <v>74</v>
      </c>
      <c r="C26" s="41">
        <f t="shared" si="1"/>
        <v>0.61581496325985308</v>
      </c>
      <c r="D26" s="42">
        <f t="shared" si="0"/>
        <v>2.4171428571428573</v>
      </c>
      <c r="E26" s="31">
        <v>1475</v>
      </c>
      <c r="F26" s="24">
        <v>475</v>
      </c>
      <c r="G26" s="24">
        <v>1037</v>
      </c>
      <c r="H26" s="8">
        <v>46</v>
      </c>
      <c r="I26" s="9">
        <v>533</v>
      </c>
      <c r="J26" s="8">
        <v>37.700000000000003</v>
      </c>
      <c r="K26" s="8">
        <v>321</v>
      </c>
      <c r="L26" s="25">
        <v>365</v>
      </c>
      <c r="M26" s="8">
        <v>87.7</v>
      </c>
      <c r="N26" s="9">
        <v>58</v>
      </c>
      <c r="O26" s="9">
        <v>270</v>
      </c>
      <c r="P26" s="9">
        <v>329</v>
      </c>
      <c r="Q26" s="24">
        <v>423</v>
      </c>
      <c r="R26" s="24">
        <v>175</v>
      </c>
      <c r="S26" s="9">
        <v>80</v>
      </c>
      <c r="T26" s="9">
        <v>22</v>
      </c>
      <c r="U26" s="9">
        <v>153</v>
      </c>
      <c r="V26" s="8">
        <v>2635</v>
      </c>
      <c r="W26" s="8">
        <v>9</v>
      </c>
      <c r="X26" s="8">
        <v>1</v>
      </c>
      <c r="Y26" s="7">
        <v>2.7</v>
      </c>
      <c r="Z26" s="7">
        <v>117.1</v>
      </c>
      <c r="AA26" s="7">
        <v>113.3</v>
      </c>
      <c r="AB26" s="7">
        <v>3.8</v>
      </c>
      <c r="AC26" s="7">
        <v>24.1</v>
      </c>
      <c r="AD26" s="7">
        <v>2.38</v>
      </c>
      <c r="AE26" s="7">
        <v>23.6</v>
      </c>
      <c r="AF26" s="7">
        <v>2.5</v>
      </c>
      <c r="AG26" s="7">
        <v>10.1</v>
      </c>
      <c r="AH26" s="7">
        <v>6.5</v>
      </c>
      <c r="AI26" s="7">
        <v>9.9</v>
      </c>
      <c r="AJ26" s="7">
        <v>55.6</v>
      </c>
      <c r="AK26" s="7">
        <v>61.6</v>
      </c>
      <c r="AL26" s="7">
        <v>23</v>
      </c>
      <c r="AM26" s="7">
        <v>99.86</v>
      </c>
      <c r="AN26" s="7">
        <v>11.8</v>
      </c>
      <c r="AO26" s="7">
        <v>5303</v>
      </c>
    </row>
    <row r="27" spans="1:41">
      <c r="A27" s="6" t="s">
        <v>93</v>
      </c>
      <c r="B27" s="6" t="s">
        <v>94</v>
      </c>
      <c r="C27" s="41">
        <f t="shared" si="1"/>
        <v>0.55822043768773377</v>
      </c>
      <c r="D27" s="42">
        <f t="shared" si="0"/>
        <v>2.2471264367816093</v>
      </c>
      <c r="E27" s="31">
        <v>1457</v>
      </c>
      <c r="F27" s="24">
        <v>539</v>
      </c>
      <c r="G27" s="24">
        <v>1166</v>
      </c>
      <c r="H27" s="8">
        <v>46.3</v>
      </c>
      <c r="I27" s="9">
        <v>378</v>
      </c>
      <c r="J27" s="8">
        <v>31</v>
      </c>
      <c r="K27" s="8">
        <v>260</v>
      </c>
      <c r="L27" s="25">
        <v>316</v>
      </c>
      <c r="M27" s="8">
        <v>82.7</v>
      </c>
      <c r="N27" s="9">
        <v>56</v>
      </c>
      <c r="O27" s="9">
        <v>242</v>
      </c>
      <c r="P27" s="9">
        <v>298</v>
      </c>
      <c r="Q27" s="24">
        <v>391</v>
      </c>
      <c r="R27" s="24">
        <v>174</v>
      </c>
      <c r="S27" s="9">
        <v>93</v>
      </c>
      <c r="T27" s="9">
        <v>25</v>
      </c>
      <c r="U27" s="9">
        <v>161</v>
      </c>
      <c r="V27" s="8">
        <v>2579</v>
      </c>
      <c r="W27" s="8">
        <v>9</v>
      </c>
      <c r="X27" s="8">
        <v>0</v>
      </c>
      <c r="Y27" s="7">
        <v>-1.1000000000000001</v>
      </c>
      <c r="Z27" s="7">
        <v>113.7</v>
      </c>
      <c r="AA27" s="7">
        <v>114.9</v>
      </c>
      <c r="AB27" s="7">
        <v>-1.2</v>
      </c>
      <c r="AC27" s="7">
        <v>26.2</v>
      </c>
      <c r="AD27" s="7">
        <v>2.25</v>
      </c>
      <c r="AE27" s="7">
        <v>21</v>
      </c>
      <c r="AF27" s="7">
        <v>2.2999999999999998</v>
      </c>
      <c r="AG27" s="7">
        <v>10.6</v>
      </c>
      <c r="AH27" s="7">
        <v>6.4</v>
      </c>
      <c r="AI27" s="7">
        <v>9.3000000000000007</v>
      </c>
      <c r="AJ27" s="7">
        <v>51.4</v>
      </c>
      <c r="AK27" s="7">
        <v>56</v>
      </c>
      <c r="AL27" s="7">
        <v>27.4</v>
      </c>
      <c r="AM27" s="7">
        <v>102.22</v>
      </c>
      <c r="AN27" s="7">
        <v>11.9</v>
      </c>
      <c r="AO27" s="7">
        <v>4768</v>
      </c>
    </row>
    <row r="28" spans="1:41">
      <c r="A28" s="6" t="s">
        <v>95</v>
      </c>
      <c r="B28" s="6" t="s">
        <v>68</v>
      </c>
      <c r="C28" s="41">
        <f t="shared" si="1"/>
        <v>0.54691737479660096</v>
      </c>
      <c r="D28" s="42">
        <f t="shared" si="0"/>
        <v>1.8787878787878789</v>
      </c>
      <c r="E28" s="31">
        <v>1452</v>
      </c>
      <c r="F28" s="24">
        <v>570</v>
      </c>
      <c r="G28" s="24">
        <v>1140</v>
      </c>
      <c r="H28" s="8">
        <v>49.6</v>
      </c>
      <c r="I28" s="9">
        <v>91</v>
      </c>
      <c r="J28" s="8">
        <v>23.3</v>
      </c>
      <c r="K28" s="8">
        <v>296</v>
      </c>
      <c r="L28" s="25">
        <v>426</v>
      </c>
      <c r="M28" s="8">
        <v>69.2</v>
      </c>
      <c r="N28" s="9">
        <v>258</v>
      </c>
      <c r="O28" s="9">
        <v>524</v>
      </c>
      <c r="P28" s="9">
        <v>783</v>
      </c>
      <c r="Q28" s="24">
        <v>372</v>
      </c>
      <c r="R28" s="24">
        <v>198</v>
      </c>
      <c r="S28" s="9">
        <v>84</v>
      </c>
      <c r="T28" s="9">
        <v>61</v>
      </c>
      <c r="U28" s="9">
        <v>213</v>
      </c>
      <c r="V28" s="8">
        <v>3192</v>
      </c>
      <c r="W28" s="8">
        <v>45</v>
      </c>
      <c r="X28" s="8">
        <v>4</v>
      </c>
      <c r="Y28" s="7">
        <v>5.4</v>
      </c>
      <c r="Z28" s="7">
        <v>114.9</v>
      </c>
      <c r="AA28" s="7">
        <v>107.4</v>
      </c>
      <c r="AB28" s="7">
        <v>7.6</v>
      </c>
      <c r="AC28" s="7">
        <v>23.8</v>
      </c>
      <c r="AD28" s="7">
        <v>1.92</v>
      </c>
      <c r="AE28" s="7">
        <v>19.600000000000001</v>
      </c>
      <c r="AF28" s="7">
        <v>9.9</v>
      </c>
      <c r="AG28" s="7">
        <v>21</v>
      </c>
      <c r="AH28" s="7">
        <v>15.3</v>
      </c>
      <c r="AI28" s="7">
        <v>10.199999999999999</v>
      </c>
      <c r="AJ28" s="7">
        <v>50.5</v>
      </c>
      <c r="AK28" s="7">
        <v>54.5</v>
      </c>
      <c r="AL28" s="7">
        <v>25.9</v>
      </c>
      <c r="AM28" s="7">
        <v>99.47</v>
      </c>
      <c r="AN28" s="7">
        <v>15.3</v>
      </c>
      <c r="AO28" s="7">
        <v>4978</v>
      </c>
    </row>
    <row r="29" spans="1:41">
      <c r="A29" s="6" t="s">
        <v>97</v>
      </c>
      <c r="B29" s="6" t="s">
        <v>98</v>
      </c>
      <c r="C29" s="41">
        <f t="shared" si="1"/>
        <v>0.55791220951678344</v>
      </c>
      <c r="D29" s="42">
        <f t="shared" si="0"/>
        <v>2.0434782608695654</v>
      </c>
      <c r="E29" s="31">
        <v>1452</v>
      </c>
      <c r="F29" s="24">
        <v>540</v>
      </c>
      <c r="G29" s="24">
        <v>1164</v>
      </c>
      <c r="H29" s="8">
        <v>46.3</v>
      </c>
      <c r="I29" s="9">
        <v>354</v>
      </c>
      <c r="J29" s="8">
        <v>29.5</v>
      </c>
      <c r="K29" s="8">
        <v>270</v>
      </c>
      <c r="L29" s="25">
        <v>312</v>
      </c>
      <c r="M29" s="8">
        <v>87.1</v>
      </c>
      <c r="N29" s="9">
        <v>54</v>
      </c>
      <c r="O29" s="9">
        <v>288</v>
      </c>
      <c r="P29" s="9">
        <v>342</v>
      </c>
      <c r="Q29" s="24">
        <v>282</v>
      </c>
      <c r="R29" s="24">
        <v>138</v>
      </c>
      <c r="S29" s="9">
        <v>78</v>
      </c>
      <c r="T29" s="9">
        <v>24</v>
      </c>
      <c r="U29" s="9">
        <v>150</v>
      </c>
      <c r="V29" s="8">
        <v>2436</v>
      </c>
      <c r="W29" s="8">
        <v>3</v>
      </c>
      <c r="X29" s="8">
        <v>0</v>
      </c>
      <c r="Y29" s="7">
        <v>4.0999999999999996</v>
      </c>
      <c r="Z29" s="7">
        <v>111.8</v>
      </c>
      <c r="AA29" s="7">
        <v>105.8</v>
      </c>
      <c r="AB29" s="7">
        <v>6</v>
      </c>
      <c r="AC29" s="7">
        <v>24.7</v>
      </c>
      <c r="AD29" s="7">
        <v>2.06</v>
      </c>
      <c r="AE29" s="7">
        <v>16.5</v>
      </c>
      <c r="AF29" s="7">
        <v>2.7</v>
      </c>
      <c r="AG29" s="7">
        <v>14.6</v>
      </c>
      <c r="AH29" s="7">
        <v>8.5</v>
      </c>
      <c r="AI29" s="7">
        <v>8</v>
      </c>
      <c r="AJ29" s="7">
        <v>50.7</v>
      </c>
      <c r="AK29" s="7">
        <v>55.8</v>
      </c>
      <c r="AL29" s="7">
        <v>30.6</v>
      </c>
      <c r="AM29" s="7">
        <v>97.65</v>
      </c>
      <c r="AN29" s="7">
        <v>15.3</v>
      </c>
      <c r="AO29" s="7">
        <v>4116</v>
      </c>
    </row>
    <row r="30" spans="1:41">
      <c r="A30" s="6" t="s">
        <v>99</v>
      </c>
      <c r="B30" s="6" t="s">
        <v>50</v>
      </c>
      <c r="C30" s="41">
        <f t="shared" si="1"/>
        <v>0.61955104002196737</v>
      </c>
      <c r="D30" s="42">
        <f t="shared" si="0"/>
        <v>2.5432098765432101</v>
      </c>
      <c r="E30" s="31">
        <v>1444</v>
      </c>
      <c r="F30" s="24">
        <v>447</v>
      </c>
      <c r="G30" s="24">
        <v>992</v>
      </c>
      <c r="H30" s="8">
        <v>44.8</v>
      </c>
      <c r="I30" s="9">
        <v>522</v>
      </c>
      <c r="J30" s="8">
        <v>37.6</v>
      </c>
      <c r="K30" s="8">
        <v>360</v>
      </c>
      <c r="L30" s="25">
        <v>394</v>
      </c>
      <c r="M30" s="8">
        <v>92.1</v>
      </c>
      <c r="N30" s="9">
        <v>29</v>
      </c>
      <c r="O30" s="9">
        <v>244</v>
      </c>
      <c r="P30" s="9">
        <v>273</v>
      </c>
      <c r="Q30" s="24">
        <v>412</v>
      </c>
      <c r="R30" s="24">
        <v>162</v>
      </c>
      <c r="S30" s="9">
        <v>70</v>
      </c>
      <c r="T30" s="9">
        <v>12</v>
      </c>
      <c r="U30" s="9">
        <v>99</v>
      </c>
      <c r="V30" s="8">
        <v>2465</v>
      </c>
      <c r="W30" s="8">
        <v>14</v>
      </c>
      <c r="X30" s="8">
        <v>2</v>
      </c>
      <c r="Y30" s="7">
        <v>0.9</v>
      </c>
      <c r="Z30" s="7">
        <v>115.3</v>
      </c>
      <c r="AA30" s="7">
        <v>114.6</v>
      </c>
      <c r="AB30" s="7">
        <v>0.7</v>
      </c>
      <c r="AC30" s="7">
        <v>29.9</v>
      </c>
      <c r="AD30" s="7">
        <v>2.5299999999999998</v>
      </c>
      <c r="AE30" s="7">
        <v>23.8</v>
      </c>
      <c r="AF30" s="7">
        <v>1.4</v>
      </c>
      <c r="AG30" s="7">
        <v>10.8</v>
      </c>
      <c r="AH30" s="7">
        <v>6.3</v>
      </c>
      <c r="AI30" s="7">
        <v>9.4</v>
      </c>
      <c r="AJ30" s="7">
        <v>54.7</v>
      </c>
      <c r="AK30" s="7">
        <v>62.1</v>
      </c>
      <c r="AL30" s="7">
        <v>26.9</v>
      </c>
      <c r="AM30" s="7">
        <v>100.86</v>
      </c>
      <c r="AN30" s="7">
        <v>14.4</v>
      </c>
      <c r="AO30" s="7">
        <v>4407</v>
      </c>
    </row>
    <row r="31" spans="1:41">
      <c r="A31" s="6" t="s">
        <v>101</v>
      </c>
      <c r="B31" s="6" t="s">
        <v>64</v>
      </c>
      <c r="C31" s="41">
        <f t="shared" si="1"/>
        <v>0.58582331925949993</v>
      </c>
      <c r="D31" s="42">
        <f t="shared" si="0"/>
        <v>2.3129770992366412</v>
      </c>
      <c r="E31" s="31">
        <v>1443</v>
      </c>
      <c r="F31" s="24">
        <v>590</v>
      </c>
      <c r="G31" s="24">
        <v>1181</v>
      </c>
      <c r="H31" s="8">
        <v>50</v>
      </c>
      <c r="I31" s="9">
        <v>459</v>
      </c>
      <c r="J31" s="8">
        <v>35.4</v>
      </c>
      <c r="K31" s="8">
        <v>98</v>
      </c>
      <c r="L31" s="25">
        <v>115</v>
      </c>
      <c r="M31" s="8">
        <v>81.400000000000006</v>
      </c>
      <c r="N31" s="9">
        <v>74</v>
      </c>
      <c r="O31" s="9">
        <v>189</v>
      </c>
      <c r="P31" s="9">
        <v>262</v>
      </c>
      <c r="Q31" s="24">
        <v>303</v>
      </c>
      <c r="R31" s="24">
        <v>131</v>
      </c>
      <c r="S31" s="9">
        <v>74</v>
      </c>
      <c r="T31" s="9">
        <v>41</v>
      </c>
      <c r="U31" s="9">
        <v>123</v>
      </c>
      <c r="V31" s="8">
        <v>2435</v>
      </c>
      <c r="W31" s="8">
        <v>1</v>
      </c>
      <c r="X31" s="8">
        <v>0</v>
      </c>
      <c r="Y31" s="7">
        <v>4.0999999999999996</v>
      </c>
      <c r="Z31" s="7">
        <v>118.4</v>
      </c>
      <c r="AA31" s="7">
        <v>112.9</v>
      </c>
      <c r="AB31" s="7">
        <v>5.6</v>
      </c>
      <c r="AC31" s="7">
        <v>14.1</v>
      </c>
      <c r="AD31" s="7">
        <v>2.3199999999999998</v>
      </c>
      <c r="AE31" s="7">
        <v>18.3</v>
      </c>
      <c r="AF31" s="7">
        <v>2.4</v>
      </c>
      <c r="AG31" s="7">
        <v>6.3</v>
      </c>
      <c r="AH31" s="7">
        <v>4.3</v>
      </c>
      <c r="AI31" s="7">
        <v>7.9</v>
      </c>
      <c r="AJ31" s="7">
        <v>57</v>
      </c>
      <c r="AK31" s="7">
        <v>58.5</v>
      </c>
      <c r="AL31" s="7">
        <v>19.2</v>
      </c>
      <c r="AM31" s="7">
        <v>98.1</v>
      </c>
      <c r="AN31" s="7">
        <v>9</v>
      </c>
      <c r="AO31" s="7">
        <v>6200</v>
      </c>
    </row>
    <row r="32" spans="1:41">
      <c r="A32" s="6" t="s">
        <v>103</v>
      </c>
      <c r="B32" s="6" t="s">
        <v>48</v>
      </c>
      <c r="C32" s="41">
        <f t="shared" si="1"/>
        <v>0.58381917076507184</v>
      </c>
      <c r="D32" s="42">
        <f t="shared" si="0"/>
        <v>2.8510638297872339</v>
      </c>
      <c r="E32" s="31">
        <v>1434</v>
      </c>
      <c r="F32" s="24">
        <v>529</v>
      </c>
      <c r="G32" s="24">
        <v>1119</v>
      </c>
      <c r="H32" s="8">
        <v>47.4</v>
      </c>
      <c r="I32" s="9">
        <v>395</v>
      </c>
      <c r="J32" s="8">
        <v>39.299999999999997</v>
      </c>
      <c r="K32" s="8">
        <v>221</v>
      </c>
      <c r="L32" s="25">
        <v>248</v>
      </c>
      <c r="M32" s="8">
        <v>88.6</v>
      </c>
      <c r="N32" s="9">
        <v>47</v>
      </c>
      <c r="O32" s="9">
        <v>214</v>
      </c>
      <c r="P32" s="9">
        <v>261</v>
      </c>
      <c r="Q32" s="24">
        <v>402</v>
      </c>
      <c r="R32" s="24">
        <v>141</v>
      </c>
      <c r="S32" s="9">
        <v>94</v>
      </c>
      <c r="T32" s="9">
        <v>34</v>
      </c>
      <c r="U32" s="9">
        <v>127</v>
      </c>
      <c r="V32" s="8">
        <v>2586</v>
      </c>
      <c r="W32" s="8">
        <v>5</v>
      </c>
      <c r="X32" s="8">
        <v>0</v>
      </c>
      <c r="Y32" s="7">
        <v>4.9000000000000004</v>
      </c>
      <c r="Z32" s="7">
        <v>122</v>
      </c>
      <c r="AA32" s="7">
        <v>115.5</v>
      </c>
      <c r="AB32" s="7">
        <v>6.5</v>
      </c>
      <c r="AC32" s="7">
        <v>22.3</v>
      </c>
      <c r="AD32" s="7">
        <v>2.92</v>
      </c>
      <c r="AE32" s="7">
        <v>22.9</v>
      </c>
      <c r="AF32" s="7">
        <v>1.9</v>
      </c>
      <c r="AG32" s="7">
        <v>8.4</v>
      </c>
      <c r="AH32" s="7">
        <v>5.3</v>
      </c>
      <c r="AI32" s="7">
        <v>7.8</v>
      </c>
      <c r="AJ32" s="7">
        <v>54.3</v>
      </c>
      <c r="AK32" s="7">
        <v>58.4</v>
      </c>
      <c r="AL32" s="7">
        <v>23.5</v>
      </c>
      <c r="AM32" s="7">
        <v>100.72</v>
      </c>
      <c r="AN32" s="7">
        <v>11.1</v>
      </c>
      <c r="AO32" s="7">
        <v>5075</v>
      </c>
    </row>
    <row r="33" spans="1:41">
      <c r="A33" s="6" t="s">
        <v>105</v>
      </c>
      <c r="B33" s="6" t="s">
        <v>56</v>
      </c>
      <c r="C33" s="41">
        <f t="shared" si="1"/>
        <v>0.56062001715211385</v>
      </c>
      <c r="D33" s="42">
        <f t="shared" si="0"/>
        <v>2.0426829268292681</v>
      </c>
      <c r="E33" s="31">
        <v>1412</v>
      </c>
      <c r="F33" s="24">
        <v>538</v>
      </c>
      <c r="G33" s="24">
        <v>1115</v>
      </c>
      <c r="H33" s="8">
        <v>48.5</v>
      </c>
      <c r="I33" s="9">
        <v>218</v>
      </c>
      <c r="J33" s="8">
        <v>35.700000000000003</v>
      </c>
      <c r="K33" s="8">
        <v>250</v>
      </c>
      <c r="L33" s="25">
        <v>328</v>
      </c>
      <c r="M33" s="8">
        <v>76.5</v>
      </c>
      <c r="N33" s="9">
        <v>187</v>
      </c>
      <c r="O33" s="9">
        <v>562</v>
      </c>
      <c r="P33" s="9">
        <v>749</v>
      </c>
      <c r="Q33" s="24">
        <v>335</v>
      </c>
      <c r="R33" s="24">
        <v>164</v>
      </c>
      <c r="S33" s="9">
        <v>101</v>
      </c>
      <c r="T33" s="9">
        <v>55</v>
      </c>
      <c r="U33" s="9">
        <v>164</v>
      </c>
      <c r="V33" s="8">
        <v>3104</v>
      </c>
      <c r="W33" s="8">
        <v>38</v>
      </c>
      <c r="X33" s="8">
        <v>1</v>
      </c>
      <c r="Y33" s="7">
        <v>0.3</v>
      </c>
      <c r="Z33" s="7">
        <v>110.9</v>
      </c>
      <c r="AA33" s="7">
        <v>110.8</v>
      </c>
      <c r="AB33" s="7">
        <v>0.1</v>
      </c>
      <c r="AC33" s="7">
        <v>20.399999999999999</v>
      </c>
      <c r="AD33" s="7">
        <v>2.09</v>
      </c>
      <c r="AE33" s="7">
        <v>19.2</v>
      </c>
      <c r="AF33" s="7">
        <v>6.9</v>
      </c>
      <c r="AG33" s="7">
        <v>21.4</v>
      </c>
      <c r="AH33" s="7">
        <v>14.1</v>
      </c>
      <c r="AI33" s="7">
        <v>9.1999999999999993</v>
      </c>
      <c r="AJ33" s="7">
        <v>52.1</v>
      </c>
      <c r="AK33" s="7">
        <v>56.1</v>
      </c>
      <c r="AL33" s="7">
        <v>23.2</v>
      </c>
      <c r="AM33" s="7">
        <v>97.02</v>
      </c>
      <c r="AN33" s="7">
        <v>13.7</v>
      </c>
      <c r="AO33" s="7">
        <v>5414</v>
      </c>
    </row>
    <row r="34" spans="1:41">
      <c r="A34" s="6" t="s">
        <v>107</v>
      </c>
      <c r="B34" s="6" t="s">
        <v>74</v>
      </c>
      <c r="C34" s="41">
        <f t="shared" si="1"/>
        <v>0.5880880880880881</v>
      </c>
      <c r="D34" s="42">
        <f t="shared" si="0"/>
        <v>2.1388888888888888</v>
      </c>
      <c r="E34" s="31">
        <v>1410</v>
      </c>
      <c r="F34" s="24">
        <v>460</v>
      </c>
      <c r="G34" s="24">
        <v>1025</v>
      </c>
      <c r="H34" s="8">
        <v>45</v>
      </c>
      <c r="I34" s="9">
        <v>480</v>
      </c>
      <c r="J34" s="8">
        <v>36.799999999999997</v>
      </c>
      <c r="K34" s="8">
        <v>310</v>
      </c>
      <c r="L34" s="25">
        <v>395</v>
      </c>
      <c r="M34" s="8">
        <v>78.2</v>
      </c>
      <c r="N34" s="9">
        <v>40</v>
      </c>
      <c r="O34" s="9">
        <v>370</v>
      </c>
      <c r="P34" s="9">
        <v>410</v>
      </c>
      <c r="Q34" s="24">
        <v>385</v>
      </c>
      <c r="R34" s="24">
        <v>180</v>
      </c>
      <c r="S34" s="9">
        <v>90</v>
      </c>
      <c r="T34" s="9">
        <v>20</v>
      </c>
      <c r="U34" s="9">
        <v>125</v>
      </c>
      <c r="V34" s="8">
        <v>2625</v>
      </c>
      <c r="W34" s="8">
        <v>21</v>
      </c>
      <c r="X34" s="8">
        <v>5</v>
      </c>
      <c r="Y34" s="7">
        <v>6.9</v>
      </c>
      <c r="Z34" s="7">
        <v>119.6</v>
      </c>
      <c r="AA34" s="7">
        <v>110.5</v>
      </c>
      <c r="AB34" s="7">
        <v>9.1</v>
      </c>
      <c r="AC34" s="7">
        <v>34.200000000000003</v>
      </c>
      <c r="AD34" s="7">
        <v>2.14</v>
      </c>
      <c r="AE34" s="7">
        <v>21.8</v>
      </c>
      <c r="AF34" s="7">
        <v>2.2999999999999998</v>
      </c>
      <c r="AG34" s="7">
        <v>19.8</v>
      </c>
      <c r="AH34" s="7">
        <v>11.2</v>
      </c>
      <c r="AI34" s="7">
        <v>10.199999999999999</v>
      </c>
      <c r="AJ34" s="7">
        <v>53.6</v>
      </c>
      <c r="AK34" s="7">
        <v>58.7</v>
      </c>
      <c r="AL34" s="7">
        <v>32.799999999999997</v>
      </c>
      <c r="AM34" s="7">
        <v>100.22</v>
      </c>
      <c r="AN34" s="7">
        <v>17</v>
      </c>
      <c r="AO34" s="7">
        <v>3696</v>
      </c>
    </row>
    <row r="35" spans="1:41">
      <c r="A35" s="13" t="s">
        <v>109</v>
      </c>
      <c r="B35" s="6" t="s">
        <v>48</v>
      </c>
      <c r="C35" s="41">
        <f t="shared" si="1"/>
        <v>0.61885999010530779</v>
      </c>
      <c r="D35" s="42">
        <f t="shared" si="0"/>
        <v>1.5</v>
      </c>
      <c r="E35" s="31">
        <v>1401</v>
      </c>
      <c r="F35" s="24">
        <v>531</v>
      </c>
      <c r="G35" s="24">
        <v>1047</v>
      </c>
      <c r="H35" s="8">
        <v>50.4</v>
      </c>
      <c r="I35" s="9">
        <v>493</v>
      </c>
      <c r="J35" s="8">
        <v>39.5</v>
      </c>
      <c r="K35" s="8">
        <v>146</v>
      </c>
      <c r="L35" s="25">
        <v>193</v>
      </c>
      <c r="M35" s="8">
        <v>76.8</v>
      </c>
      <c r="N35" s="9">
        <v>139</v>
      </c>
      <c r="O35" s="9">
        <v>400</v>
      </c>
      <c r="P35" s="9">
        <v>539</v>
      </c>
      <c r="Q35" s="24">
        <v>162</v>
      </c>
      <c r="R35" s="24">
        <v>108</v>
      </c>
      <c r="S35" s="9">
        <v>46</v>
      </c>
      <c r="T35" s="9">
        <v>39</v>
      </c>
      <c r="U35" s="9">
        <v>154</v>
      </c>
      <c r="V35" s="8">
        <v>2456</v>
      </c>
      <c r="W35" s="8">
        <v>15</v>
      </c>
      <c r="X35" s="8">
        <v>0</v>
      </c>
      <c r="Y35" s="7">
        <v>3.4</v>
      </c>
      <c r="Z35" s="7">
        <v>119.8</v>
      </c>
      <c r="AA35" s="7">
        <v>115.4</v>
      </c>
      <c r="AB35" s="7">
        <v>4.4000000000000004</v>
      </c>
      <c r="AC35" s="7">
        <v>8.4</v>
      </c>
      <c r="AD35" s="7">
        <v>1.59</v>
      </c>
      <c r="AE35" s="7">
        <v>11.8</v>
      </c>
      <c r="AF35" s="7">
        <v>5.5</v>
      </c>
      <c r="AG35" s="7">
        <v>14.6</v>
      </c>
      <c r="AH35" s="7">
        <v>10.3</v>
      </c>
      <c r="AI35" s="7">
        <v>7.4</v>
      </c>
      <c r="AJ35" s="7">
        <v>59.6</v>
      </c>
      <c r="AK35" s="7">
        <v>61.7</v>
      </c>
      <c r="AL35" s="7">
        <v>19.7</v>
      </c>
      <c r="AM35" s="7">
        <v>101.52</v>
      </c>
      <c r="AN35" s="7">
        <v>10.1</v>
      </c>
      <c r="AO35" s="7">
        <v>5494</v>
      </c>
    </row>
    <row r="36" spans="1:41">
      <c r="A36" s="6" t="s">
        <v>111</v>
      </c>
      <c r="B36" s="6" t="s">
        <v>52</v>
      </c>
      <c r="C36" s="41">
        <f t="shared" si="1"/>
        <v>0.55682035279882824</v>
      </c>
      <c r="D36" s="42">
        <f t="shared" si="0"/>
        <v>1.7317073170731707</v>
      </c>
      <c r="E36" s="31">
        <v>1399</v>
      </c>
      <c r="F36" s="24">
        <v>517</v>
      </c>
      <c r="G36" s="24">
        <v>1115</v>
      </c>
      <c r="H36" s="8">
        <v>46.3</v>
      </c>
      <c r="I36" s="9">
        <v>359</v>
      </c>
      <c r="J36" s="8">
        <v>32.4</v>
      </c>
      <c r="K36" s="8">
        <v>246</v>
      </c>
      <c r="L36" s="25">
        <v>321</v>
      </c>
      <c r="M36" s="8">
        <v>76.400000000000006</v>
      </c>
      <c r="N36" s="9">
        <v>82</v>
      </c>
      <c r="O36" s="9">
        <v>284</v>
      </c>
      <c r="P36" s="9">
        <v>365</v>
      </c>
      <c r="Q36" s="24">
        <v>284</v>
      </c>
      <c r="R36" s="24">
        <v>164</v>
      </c>
      <c r="S36" s="9">
        <v>76</v>
      </c>
      <c r="T36" s="9">
        <v>19</v>
      </c>
      <c r="U36" s="9">
        <v>151</v>
      </c>
      <c r="V36" s="8">
        <v>2381</v>
      </c>
      <c r="W36" s="8">
        <v>5</v>
      </c>
      <c r="X36" s="8">
        <v>0</v>
      </c>
      <c r="Y36" s="7">
        <v>6.4</v>
      </c>
      <c r="Z36" s="7">
        <v>121.1</v>
      </c>
      <c r="AA36" s="7">
        <v>111.7</v>
      </c>
      <c r="AB36" s="7">
        <v>9.5</v>
      </c>
      <c r="AC36" s="7">
        <v>20.399999999999999</v>
      </c>
      <c r="AD36" s="7">
        <v>1.77</v>
      </c>
      <c r="AE36" s="7">
        <v>16.8</v>
      </c>
      <c r="AF36" s="7">
        <v>3.7</v>
      </c>
      <c r="AG36" s="7">
        <v>12.6</v>
      </c>
      <c r="AH36" s="7">
        <v>8.1999999999999993</v>
      </c>
      <c r="AI36" s="7">
        <v>9.5</v>
      </c>
      <c r="AJ36" s="7">
        <v>51.5</v>
      </c>
      <c r="AK36" s="7">
        <v>55.5</v>
      </c>
      <c r="AL36" s="7">
        <v>28.2</v>
      </c>
      <c r="AM36" s="7">
        <v>98.57</v>
      </c>
      <c r="AN36" s="7">
        <v>11.4</v>
      </c>
      <c r="AO36" s="7">
        <v>4424</v>
      </c>
    </row>
    <row r="37" spans="1:41">
      <c r="A37" s="6" t="s">
        <v>113</v>
      </c>
      <c r="B37" s="6" t="s">
        <v>114</v>
      </c>
      <c r="C37" s="41">
        <f t="shared" si="1"/>
        <v>0.59385863267670913</v>
      </c>
      <c r="D37" s="42">
        <f t="shared" si="0"/>
        <v>1.5</v>
      </c>
      <c r="E37" s="31">
        <v>1394</v>
      </c>
      <c r="F37" s="24">
        <v>456</v>
      </c>
      <c r="G37" s="24">
        <v>1054</v>
      </c>
      <c r="H37" s="8">
        <v>43.2</v>
      </c>
      <c r="I37" s="9">
        <v>619</v>
      </c>
      <c r="J37" s="8">
        <v>37.799999999999997</v>
      </c>
      <c r="K37" s="8">
        <v>245</v>
      </c>
      <c r="L37" s="25">
        <v>272</v>
      </c>
      <c r="M37" s="8">
        <v>88.3</v>
      </c>
      <c r="N37" s="9">
        <v>34</v>
      </c>
      <c r="O37" s="9">
        <v>170</v>
      </c>
      <c r="P37" s="9">
        <v>204</v>
      </c>
      <c r="Q37" s="24">
        <v>306</v>
      </c>
      <c r="R37" s="24">
        <v>204</v>
      </c>
      <c r="S37" s="9">
        <v>88</v>
      </c>
      <c r="T37" s="9">
        <v>27</v>
      </c>
      <c r="U37" s="9">
        <v>204</v>
      </c>
      <c r="V37" s="8">
        <v>2224</v>
      </c>
      <c r="W37" s="8">
        <v>1</v>
      </c>
      <c r="X37" s="8">
        <v>0</v>
      </c>
      <c r="Y37" s="7">
        <v>-8.1999999999999993</v>
      </c>
      <c r="Z37" s="7">
        <v>104.8</v>
      </c>
      <c r="AA37" s="7">
        <v>117.9</v>
      </c>
      <c r="AB37" s="7">
        <v>-13.1</v>
      </c>
      <c r="AC37" s="7">
        <v>25.4</v>
      </c>
      <c r="AD37" s="7">
        <v>1.49</v>
      </c>
      <c r="AE37" s="7">
        <v>18</v>
      </c>
      <c r="AF37" s="7">
        <v>1.4</v>
      </c>
      <c r="AG37" s="7">
        <v>8</v>
      </c>
      <c r="AH37" s="7">
        <v>4.5999999999999996</v>
      </c>
      <c r="AI37" s="7">
        <v>12.1</v>
      </c>
      <c r="AJ37" s="7">
        <v>54.4</v>
      </c>
      <c r="AK37" s="7">
        <v>59.1</v>
      </c>
      <c r="AL37" s="7">
        <v>28.1</v>
      </c>
      <c r="AM37" s="7">
        <v>103.95</v>
      </c>
      <c r="AN37" s="7">
        <v>10.7</v>
      </c>
      <c r="AO37" s="7">
        <v>4337</v>
      </c>
    </row>
    <row r="38" spans="1:41">
      <c r="A38" s="6" t="s">
        <v>115</v>
      </c>
      <c r="B38" s="6" t="s">
        <v>116</v>
      </c>
      <c r="C38" s="41">
        <f t="shared" si="1"/>
        <v>0.56063735615225729</v>
      </c>
      <c r="D38" s="42">
        <f t="shared" si="0"/>
        <v>2.536</v>
      </c>
      <c r="E38" s="31">
        <v>1368</v>
      </c>
      <c r="F38" s="24">
        <v>478</v>
      </c>
      <c r="G38" s="24">
        <v>1092</v>
      </c>
      <c r="H38" s="8">
        <v>43.7</v>
      </c>
      <c r="I38" s="9">
        <v>478</v>
      </c>
      <c r="J38" s="8">
        <v>33.700000000000003</v>
      </c>
      <c r="K38" s="8">
        <v>255</v>
      </c>
      <c r="L38" s="25">
        <v>291</v>
      </c>
      <c r="M38" s="8">
        <v>87.9</v>
      </c>
      <c r="N38" s="9">
        <v>16</v>
      </c>
      <c r="O38" s="9">
        <v>161</v>
      </c>
      <c r="P38" s="9">
        <v>172</v>
      </c>
      <c r="Q38" s="24">
        <v>317</v>
      </c>
      <c r="R38" s="24">
        <v>125</v>
      </c>
      <c r="S38" s="9">
        <v>94</v>
      </c>
      <c r="T38" s="9">
        <v>21</v>
      </c>
      <c r="U38" s="9">
        <v>114</v>
      </c>
      <c r="V38" s="8">
        <v>2267</v>
      </c>
      <c r="W38" s="8">
        <v>8</v>
      </c>
      <c r="X38" s="8">
        <v>1</v>
      </c>
      <c r="Y38" s="7">
        <v>-2.4</v>
      </c>
      <c r="Z38" s="7">
        <v>113.8</v>
      </c>
      <c r="AA38" s="7">
        <v>117.4</v>
      </c>
      <c r="AB38" s="7">
        <v>-3.5</v>
      </c>
      <c r="AC38" s="7">
        <v>27.6</v>
      </c>
      <c r="AD38" s="7">
        <v>2.56</v>
      </c>
      <c r="AE38" s="7">
        <v>19.2</v>
      </c>
      <c r="AF38" s="7">
        <v>0.7</v>
      </c>
      <c r="AG38" s="7">
        <v>8.6999999999999993</v>
      </c>
      <c r="AH38" s="7">
        <v>4.5</v>
      </c>
      <c r="AI38" s="7">
        <v>7.5</v>
      </c>
      <c r="AJ38" s="7">
        <v>51.1</v>
      </c>
      <c r="AK38" s="7">
        <v>56.2</v>
      </c>
      <c r="AL38" s="7">
        <v>29.3</v>
      </c>
      <c r="AM38" s="7">
        <v>98.34</v>
      </c>
      <c r="AN38" s="7">
        <v>12.7</v>
      </c>
      <c r="AO38" s="7">
        <v>4024</v>
      </c>
    </row>
    <row r="39" spans="1:41">
      <c r="A39" s="6" t="s">
        <v>117</v>
      </c>
      <c r="B39" s="6" t="s">
        <v>84</v>
      </c>
      <c r="C39" s="41">
        <f t="shared" si="1"/>
        <v>0.61539298143851517</v>
      </c>
      <c r="D39" s="42">
        <f t="shared" si="0"/>
        <v>5.7435897435897436</v>
      </c>
      <c r="E39" s="31">
        <v>1358</v>
      </c>
      <c r="F39" s="24">
        <v>475</v>
      </c>
      <c r="G39" s="24">
        <v>1007</v>
      </c>
      <c r="H39" s="8">
        <v>47.3</v>
      </c>
      <c r="I39" s="9">
        <v>562</v>
      </c>
      <c r="J39" s="8">
        <v>38.799999999999997</v>
      </c>
      <c r="K39" s="8">
        <v>190</v>
      </c>
      <c r="L39" s="25">
        <v>219</v>
      </c>
      <c r="M39" s="8">
        <v>85.1</v>
      </c>
      <c r="N39" s="9">
        <v>44</v>
      </c>
      <c r="O39" s="9">
        <v>219</v>
      </c>
      <c r="P39" s="9">
        <v>256</v>
      </c>
      <c r="Q39" s="24">
        <v>672</v>
      </c>
      <c r="R39" s="24">
        <v>117</v>
      </c>
      <c r="S39" s="9">
        <v>102</v>
      </c>
      <c r="T39" s="9">
        <v>51</v>
      </c>
      <c r="U39" s="9">
        <v>95</v>
      </c>
      <c r="V39" s="8">
        <v>3022</v>
      </c>
      <c r="W39" s="8">
        <v>31</v>
      </c>
      <c r="X39" s="8">
        <v>0</v>
      </c>
      <c r="Y39" s="7">
        <v>3</v>
      </c>
      <c r="Z39" s="7">
        <v>117.7</v>
      </c>
      <c r="AA39" s="7">
        <v>114.2</v>
      </c>
      <c r="AB39" s="7">
        <v>3.5</v>
      </c>
      <c r="AC39" s="7">
        <v>38.4</v>
      </c>
      <c r="AD39" s="7">
        <v>5.61</v>
      </c>
      <c r="AE39" s="7">
        <v>35.799999999999997</v>
      </c>
      <c r="AF39" s="7">
        <v>1.7</v>
      </c>
      <c r="AG39" s="7">
        <v>8.6999999999999993</v>
      </c>
      <c r="AH39" s="7">
        <v>5.2</v>
      </c>
      <c r="AI39" s="7">
        <v>6.4</v>
      </c>
      <c r="AJ39" s="7">
        <v>58.2</v>
      </c>
      <c r="AK39" s="7">
        <v>61.6</v>
      </c>
      <c r="AL39" s="7">
        <v>21</v>
      </c>
      <c r="AM39" s="7">
        <v>100.82</v>
      </c>
      <c r="AN39" s="7">
        <v>14.3</v>
      </c>
      <c r="AO39" s="7">
        <v>5165</v>
      </c>
    </row>
    <row r="40" spans="1:41">
      <c r="A40" s="6" t="s">
        <v>119</v>
      </c>
      <c r="B40" s="6" t="s">
        <v>88</v>
      </c>
      <c r="C40" s="41">
        <f t="shared" si="1"/>
        <v>0.61339944063056195</v>
      </c>
      <c r="D40" s="42">
        <f t="shared" si="0"/>
        <v>2.1880341880341883</v>
      </c>
      <c r="E40" s="31">
        <v>1351</v>
      </c>
      <c r="F40" s="24">
        <v>548</v>
      </c>
      <c r="G40" s="24">
        <v>1037</v>
      </c>
      <c r="H40" s="8">
        <v>53</v>
      </c>
      <c r="I40" s="9">
        <v>321</v>
      </c>
      <c r="J40" s="8">
        <v>40.200000000000003</v>
      </c>
      <c r="K40" s="8">
        <v>117</v>
      </c>
      <c r="L40" s="25">
        <v>146</v>
      </c>
      <c r="M40" s="8">
        <v>80.5</v>
      </c>
      <c r="N40" s="9">
        <v>175</v>
      </c>
      <c r="O40" s="9">
        <v>555</v>
      </c>
      <c r="P40" s="9">
        <v>737</v>
      </c>
      <c r="Q40" s="24">
        <v>256</v>
      </c>
      <c r="R40" s="24">
        <v>117</v>
      </c>
      <c r="S40" s="9">
        <v>58</v>
      </c>
      <c r="T40" s="9">
        <v>51</v>
      </c>
      <c r="U40" s="9">
        <v>161</v>
      </c>
      <c r="V40" s="8">
        <v>2832</v>
      </c>
      <c r="W40" s="8">
        <v>45</v>
      </c>
      <c r="X40" s="8">
        <v>1</v>
      </c>
      <c r="Y40" s="7">
        <v>-1.3</v>
      </c>
      <c r="Z40" s="7">
        <v>113.6</v>
      </c>
      <c r="AA40" s="7">
        <v>116</v>
      </c>
      <c r="AB40" s="7">
        <v>-2.4</v>
      </c>
      <c r="AC40" s="7">
        <v>16.5</v>
      </c>
      <c r="AD40" s="7">
        <v>2.15</v>
      </c>
      <c r="AE40" s="7">
        <v>17.3</v>
      </c>
      <c r="AF40" s="7">
        <v>7.6</v>
      </c>
      <c r="AG40" s="7">
        <v>22.8</v>
      </c>
      <c r="AH40" s="7">
        <v>15.4</v>
      </c>
      <c r="AI40" s="7">
        <v>8.1</v>
      </c>
      <c r="AJ40" s="7">
        <v>59.2</v>
      </c>
      <c r="AK40" s="7">
        <v>61.1</v>
      </c>
      <c r="AL40" s="7">
        <v>22.1</v>
      </c>
      <c r="AM40" s="7">
        <v>104.11</v>
      </c>
      <c r="AN40" s="7">
        <v>13.6</v>
      </c>
      <c r="AO40" s="7">
        <v>4950</v>
      </c>
    </row>
    <row r="41" spans="1:41">
      <c r="A41" s="6" t="s">
        <v>121</v>
      </c>
      <c r="B41" s="6" t="s">
        <v>122</v>
      </c>
      <c r="C41" s="41">
        <f t="shared" si="1"/>
        <v>0.55677359796907455</v>
      </c>
      <c r="D41" s="42">
        <f t="shared" si="0"/>
        <v>2.4</v>
      </c>
      <c r="E41" s="31">
        <v>1351</v>
      </c>
      <c r="F41" s="24">
        <v>476</v>
      </c>
      <c r="G41" s="24">
        <v>1127</v>
      </c>
      <c r="H41" s="8">
        <v>42.6</v>
      </c>
      <c r="I41" s="9">
        <v>595</v>
      </c>
      <c r="J41" s="8">
        <v>36.299999999999997</v>
      </c>
      <c r="K41" s="8">
        <v>175</v>
      </c>
      <c r="L41" s="25">
        <v>196</v>
      </c>
      <c r="M41" s="8">
        <v>90.2</v>
      </c>
      <c r="N41" s="9">
        <v>28</v>
      </c>
      <c r="O41" s="9">
        <v>161</v>
      </c>
      <c r="P41" s="9">
        <v>189</v>
      </c>
      <c r="Q41" s="24">
        <v>336</v>
      </c>
      <c r="R41" s="24">
        <v>140</v>
      </c>
      <c r="S41" s="9">
        <v>63</v>
      </c>
      <c r="T41" s="9">
        <v>7</v>
      </c>
      <c r="U41" s="9">
        <v>119</v>
      </c>
      <c r="V41" s="8">
        <v>2135</v>
      </c>
      <c r="W41" s="8">
        <v>2</v>
      </c>
      <c r="X41" s="8">
        <v>0</v>
      </c>
      <c r="Y41" s="7">
        <v>-3.1</v>
      </c>
      <c r="Z41" s="7">
        <v>108.8</v>
      </c>
      <c r="AA41" s="7">
        <v>113.4</v>
      </c>
      <c r="AB41" s="7">
        <v>-4.5999999999999996</v>
      </c>
      <c r="AC41" s="7">
        <v>24.1</v>
      </c>
      <c r="AD41" s="7">
        <v>2.36</v>
      </c>
      <c r="AE41" s="7">
        <v>20.100000000000001</v>
      </c>
      <c r="AF41" s="7">
        <v>1</v>
      </c>
      <c r="AG41" s="7">
        <v>6.9</v>
      </c>
      <c r="AH41" s="7">
        <v>3.9</v>
      </c>
      <c r="AI41" s="7">
        <v>8.5</v>
      </c>
      <c r="AJ41" s="7">
        <v>52.1</v>
      </c>
      <c r="AK41" s="7">
        <v>55.7</v>
      </c>
      <c r="AL41" s="7">
        <v>24.1</v>
      </c>
      <c r="AM41" s="7">
        <v>99.72</v>
      </c>
      <c r="AN41" s="7">
        <v>10.6</v>
      </c>
      <c r="AO41" s="7">
        <v>4760</v>
      </c>
    </row>
    <row r="42" spans="1:41">
      <c r="A42" s="6" t="s">
        <v>123</v>
      </c>
      <c r="B42" s="6" t="s">
        <v>62</v>
      </c>
      <c r="C42" s="41">
        <f t="shared" si="1"/>
        <v>0.6402439024390244</v>
      </c>
      <c r="D42" s="42">
        <f t="shared" si="0"/>
        <v>1.6875</v>
      </c>
      <c r="E42" s="31">
        <v>1344</v>
      </c>
      <c r="F42" s="24">
        <v>592</v>
      </c>
      <c r="G42" s="24">
        <v>944</v>
      </c>
      <c r="H42" s="8">
        <v>62.8</v>
      </c>
      <c r="I42" s="8">
        <v>0</v>
      </c>
      <c r="J42" s="8">
        <v>0</v>
      </c>
      <c r="K42" s="8">
        <v>160</v>
      </c>
      <c r="L42" s="25">
        <v>240</v>
      </c>
      <c r="M42" s="8">
        <v>66.099999999999994</v>
      </c>
      <c r="N42" s="9">
        <v>304</v>
      </c>
      <c r="O42" s="9">
        <v>712</v>
      </c>
      <c r="P42" s="9">
        <v>1008</v>
      </c>
      <c r="Q42" s="24">
        <v>216</v>
      </c>
      <c r="R42" s="24">
        <v>128</v>
      </c>
      <c r="S42" s="9">
        <v>56</v>
      </c>
      <c r="T42" s="9">
        <v>88</v>
      </c>
      <c r="U42" s="9">
        <v>168</v>
      </c>
      <c r="V42" s="8">
        <v>3184</v>
      </c>
      <c r="W42" s="8">
        <v>59</v>
      </c>
      <c r="X42" s="8">
        <v>1</v>
      </c>
      <c r="Y42" s="7">
        <v>6.4</v>
      </c>
      <c r="Z42" s="7">
        <v>116.5</v>
      </c>
      <c r="AA42" s="7">
        <v>107.1</v>
      </c>
      <c r="AB42" s="7">
        <v>9.4</v>
      </c>
      <c r="AC42" s="7">
        <v>12.1</v>
      </c>
      <c r="AD42" s="7">
        <v>1.69</v>
      </c>
      <c r="AE42" s="7">
        <v>15.5</v>
      </c>
      <c r="AF42" s="7">
        <v>12.2</v>
      </c>
      <c r="AG42" s="7">
        <v>27.1</v>
      </c>
      <c r="AH42" s="7">
        <v>19.899999999999999</v>
      </c>
      <c r="AI42" s="7">
        <v>9.1999999999999993</v>
      </c>
      <c r="AJ42" s="7">
        <v>62.8</v>
      </c>
      <c r="AK42" s="7">
        <v>64.099999999999994</v>
      </c>
      <c r="AL42" s="7">
        <v>19.2</v>
      </c>
      <c r="AM42" s="7">
        <v>98.55</v>
      </c>
      <c r="AN42" s="7">
        <v>15.7</v>
      </c>
      <c r="AO42" s="7">
        <v>5392</v>
      </c>
    </row>
    <row r="43" spans="1:41">
      <c r="A43" s="6" t="s">
        <v>125</v>
      </c>
      <c r="B43" s="6" t="s">
        <v>60</v>
      </c>
      <c r="C43" s="41">
        <f t="shared" si="1"/>
        <v>0.58890376686986856</v>
      </c>
      <c r="D43" s="42">
        <f t="shared" si="0"/>
        <v>1.6951219512195121</v>
      </c>
      <c r="E43" s="31">
        <v>1337</v>
      </c>
      <c r="F43" s="24">
        <v>459</v>
      </c>
      <c r="G43" s="24">
        <v>1074</v>
      </c>
      <c r="H43" s="8">
        <v>43</v>
      </c>
      <c r="I43" s="9">
        <v>763</v>
      </c>
      <c r="J43" s="8">
        <v>41.6</v>
      </c>
      <c r="K43" s="8">
        <v>98</v>
      </c>
      <c r="L43" s="25">
        <v>139</v>
      </c>
      <c r="M43" s="8">
        <v>67.900000000000006</v>
      </c>
      <c r="N43" s="9">
        <v>49</v>
      </c>
      <c r="O43" s="9">
        <v>164</v>
      </c>
      <c r="P43" s="9">
        <v>213</v>
      </c>
      <c r="Q43" s="24">
        <v>139</v>
      </c>
      <c r="R43" s="24">
        <v>82</v>
      </c>
      <c r="S43" s="9">
        <v>74</v>
      </c>
      <c r="T43" s="9">
        <v>8</v>
      </c>
      <c r="U43" s="9">
        <v>123</v>
      </c>
      <c r="V43" s="8">
        <v>1952</v>
      </c>
      <c r="W43" s="8">
        <v>1</v>
      </c>
      <c r="X43" s="8">
        <v>0</v>
      </c>
      <c r="Y43" s="7">
        <v>2.1</v>
      </c>
      <c r="Z43" s="7">
        <v>113.3</v>
      </c>
      <c r="AA43" s="7">
        <v>110.2</v>
      </c>
      <c r="AB43" s="7">
        <v>3.1</v>
      </c>
      <c r="AC43" s="7">
        <v>8.9</v>
      </c>
      <c r="AD43" s="7">
        <v>1.67</v>
      </c>
      <c r="AE43" s="7">
        <v>10.3</v>
      </c>
      <c r="AF43" s="7">
        <v>2</v>
      </c>
      <c r="AG43" s="7">
        <v>6.9</v>
      </c>
      <c r="AH43" s="7">
        <v>4.5</v>
      </c>
      <c r="AI43" s="7">
        <v>6.2</v>
      </c>
      <c r="AJ43" s="7">
        <v>57.9</v>
      </c>
      <c r="AK43" s="7">
        <v>59</v>
      </c>
      <c r="AL43" s="7">
        <v>21.5</v>
      </c>
      <c r="AM43" s="7">
        <v>102.76</v>
      </c>
      <c r="AN43" s="7">
        <v>9.1</v>
      </c>
      <c r="AO43" s="7">
        <v>4898</v>
      </c>
    </row>
    <row r="44" spans="1:41">
      <c r="A44" s="6" t="s">
        <v>127</v>
      </c>
      <c r="B44" s="6" t="s">
        <v>66</v>
      </c>
      <c r="C44" s="41">
        <f t="shared" si="1"/>
        <v>0.65393043001917284</v>
      </c>
      <c r="D44" s="42">
        <f t="shared" si="0"/>
        <v>2.0689655172413794</v>
      </c>
      <c r="E44" s="31">
        <v>1337</v>
      </c>
      <c r="F44" s="24">
        <v>525</v>
      </c>
      <c r="G44" s="24">
        <v>896</v>
      </c>
      <c r="H44" s="8">
        <v>59</v>
      </c>
      <c r="I44" s="9">
        <v>154</v>
      </c>
      <c r="J44" s="8">
        <v>41.7</v>
      </c>
      <c r="K44" s="8">
        <v>217</v>
      </c>
      <c r="L44" s="25">
        <v>287</v>
      </c>
      <c r="M44" s="8">
        <v>75.400000000000006</v>
      </c>
      <c r="N44" s="9">
        <v>266</v>
      </c>
      <c r="O44" s="9">
        <v>707</v>
      </c>
      <c r="P44" s="9">
        <v>973</v>
      </c>
      <c r="Q44" s="24">
        <v>420</v>
      </c>
      <c r="R44" s="24">
        <v>203</v>
      </c>
      <c r="S44" s="9">
        <v>49</v>
      </c>
      <c r="T44" s="9">
        <v>28</v>
      </c>
      <c r="U44" s="9">
        <v>231</v>
      </c>
      <c r="V44" s="8">
        <v>3157</v>
      </c>
      <c r="W44" s="8">
        <v>61</v>
      </c>
      <c r="X44" s="8">
        <v>10</v>
      </c>
      <c r="Y44" s="7">
        <v>2.1</v>
      </c>
      <c r="Z44" s="7">
        <v>116.5</v>
      </c>
      <c r="AA44" s="7">
        <v>113.9</v>
      </c>
      <c r="AB44" s="7">
        <v>2.6</v>
      </c>
      <c r="AC44" s="7">
        <v>25.1</v>
      </c>
      <c r="AD44" s="7">
        <v>2.09</v>
      </c>
      <c r="AE44" s="7">
        <v>25.7</v>
      </c>
      <c r="AF44" s="7">
        <v>11</v>
      </c>
      <c r="AG44" s="7">
        <v>28.6</v>
      </c>
      <c r="AH44" s="7">
        <v>19.899999999999999</v>
      </c>
      <c r="AI44" s="7">
        <v>12.3</v>
      </c>
      <c r="AJ44" s="7">
        <v>62.7</v>
      </c>
      <c r="AK44" s="7">
        <v>65.5</v>
      </c>
      <c r="AL44" s="7">
        <v>21.3</v>
      </c>
      <c r="AM44" s="7">
        <v>99.78</v>
      </c>
      <c r="AN44" s="7">
        <v>16.399999999999999</v>
      </c>
      <c r="AO44" s="7">
        <v>5054</v>
      </c>
    </row>
    <row r="45" spans="1:41">
      <c r="A45" s="6" t="s">
        <v>129</v>
      </c>
      <c r="B45" s="6" t="s">
        <v>64</v>
      </c>
      <c r="C45" s="41">
        <f t="shared" si="1"/>
        <v>0.58950573573148279</v>
      </c>
      <c r="D45" s="42">
        <f t="shared" si="0"/>
        <v>1.5673076923076923</v>
      </c>
      <c r="E45" s="31">
        <v>1332</v>
      </c>
      <c r="F45" s="24">
        <v>488</v>
      </c>
      <c r="G45" s="24">
        <v>1029</v>
      </c>
      <c r="H45" s="8">
        <v>47.6</v>
      </c>
      <c r="I45" s="9">
        <v>459</v>
      </c>
      <c r="J45" s="8">
        <v>37.200000000000003</v>
      </c>
      <c r="K45" s="8">
        <v>185</v>
      </c>
      <c r="L45" s="25">
        <v>229</v>
      </c>
      <c r="M45" s="8">
        <v>81</v>
      </c>
      <c r="N45" s="9">
        <v>96</v>
      </c>
      <c r="O45" s="9">
        <v>259</v>
      </c>
      <c r="P45" s="9">
        <v>355</v>
      </c>
      <c r="Q45" s="24">
        <v>163</v>
      </c>
      <c r="R45" s="24">
        <v>104</v>
      </c>
      <c r="S45" s="9">
        <v>111</v>
      </c>
      <c r="T45" s="9">
        <v>67</v>
      </c>
      <c r="U45" s="9">
        <v>170</v>
      </c>
      <c r="V45" s="8">
        <v>2427</v>
      </c>
      <c r="W45" s="8">
        <v>1</v>
      </c>
      <c r="X45" s="8">
        <v>0</v>
      </c>
      <c r="Y45" s="7">
        <v>4.0999999999999996</v>
      </c>
      <c r="Z45" s="7">
        <v>117.7</v>
      </c>
      <c r="AA45" s="7">
        <v>112.3</v>
      </c>
      <c r="AB45" s="7">
        <v>5.4</v>
      </c>
      <c r="AC45" s="7">
        <v>8.4</v>
      </c>
      <c r="AD45" s="7">
        <v>1.61</v>
      </c>
      <c r="AE45" s="7">
        <v>11.8</v>
      </c>
      <c r="AF45" s="7">
        <v>3.7</v>
      </c>
      <c r="AG45" s="7">
        <v>9.8000000000000007</v>
      </c>
      <c r="AH45" s="7">
        <v>6.7</v>
      </c>
      <c r="AI45" s="7">
        <v>7.3</v>
      </c>
      <c r="AJ45" s="7">
        <v>55.9</v>
      </c>
      <c r="AK45" s="7">
        <v>59.1</v>
      </c>
      <c r="AL45" s="7">
        <v>19.5</v>
      </c>
      <c r="AM45" s="7">
        <v>97.73</v>
      </c>
      <c r="AN45" s="7">
        <v>9.3000000000000007</v>
      </c>
      <c r="AO45" s="7">
        <v>5511</v>
      </c>
    </row>
    <row r="46" spans="1:41">
      <c r="A46" s="6" t="s">
        <v>131</v>
      </c>
      <c r="B46" s="6" t="s">
        <v>122</v>
      </c>
      <c r="C46" s="41">
        <f t="shared" si="1"/>
        <v>0.55050421557282192</v>
      </c>
      <c r="D46" s="42">
        <f t="shared" si="0"/>
        <v>1.3377483443708609</v>
      </c>
      <c r="E46" s="31">
        <v>1332</v>
      </c>
      <c r="F46" s="24">
        <v>497</v>
      </c>
      <c r="G46" s="24">
        <v>1102</v>
      </c>
      <c r="H46" s="8">
        <v>45.2</v>
      </c>
      <c r="I46" s="9">
        <v>475</v>
      </c>
      <c r="J46" s="8">
        <v>31.1</v>
      </c>
      <c r="K46" s="8">
        <v>187</v>
      </c>
      <c r="L46" s="25">
        <v>245</v>
      </c>
      <c r="M46" s="8">
        <v>78.5</v>
      </c>
      <c r="N46" s="9">
        <v>65</v>
      </c>
      <c r="O46" s="9">
        <v>259</v>
      </c>
      <c r="P46" s="9">
        <v>324</v>
      </c>
      <c r="Q46" s="24">
        <v>202</v>
      </c>
      <c r="R46" s="24">
        <v>151</v>
      </c>
      <c r="S46" s="9">
        <v>65</v>
      </c>
      <c r="T46" s="9">
        <v>14</v>
      </c>
      <c r="U46" s="9">
        <v>122</v>
      </c>
      <c r="V46" s="8">
        <v>2102</v>
      </c>
      <c r="W46" s="8">
        <v>3</v>
      </c>
      <c r="X46" s="8">
        <v>0</v>
      </c>
      <c r="Y46" s="7">
        <v>-1.9</v>
      </c>
      <c r="Z46" s="7">
        <v>111.4</v>
      </c>
      <c r="AA46" s="7">
        <v>114.4</v>
      </c>
      <c r="AB46" s="7">
        <v>-3</v>
      </c>
      <c r="AC46" s="7">
        <v>13.8</v>
      </c>
      <c r="AD46" s="7">
        <v>1.32</v>
      </c>
      <c r="AE46" s="7">
        <v>12.7</v>
      </c>
      <c r="AF46" s="7">
        <v>2.9</v>
      </c>
      <c r="AG46" s="7">
        <v>11.4</v>
      </c>
      <c r="AH46" s="7">
        <v>7</v>
      </c>
      <c r="AI46" s="7">
        <v>9.6999999999999993</v>
      </c>
      <c r="AJ46" s="7">
        <v>51.9</v>
      </c>
      <c r="AK46" s="7">
        <v>55.1</v>
      </c>
      <c r="AL46" s="7">
        <v>25</v>
      </c>
      <c r="AM46" s="7">
        <v>99.88</v>
      </c>
      <c r="AN46" s="7">
        <v>10.199999999999999</v>
      </c>
      <c r="AO46" s="7">
        <v>4688</v>
      </c>
    </row>
    <row r="47" spans="1:41">
      <c r="A47" s="6" t="s">
        <v>133</v>
      </c>
      <c r="B47" s="6" t="s">
        <v>82</v>
      </c>
      <c r="C47" s="41">
        <f t="shared" si="1"/>
        <v>0.59738503155996392</v>
      </c>
      <c r="D47" s="42">
        <f t="shared" si="0"/>
        <v>2.2048192771084336</v>
      </c>
      <c r="E47" s="31">
        <v>1325</v>
      </c>
      <c r="F47" s="24">
        <v>490</v>
      </c>
      <c r="G47" s="24">
        <v>1021</v>
      </c>
      <c r="H47" s="8">
        <v>48.4</v>
      </c>
      <c r="I47" s="9">
        <v>421</v>
      </c>
      <c r="J47" s="8">
        <v>39.200000000000003</v>
      </c>
      <c r="K47" s="8">
        <v>179</v>
      </c>
      <c r="L47" s="25">
        <v>200</v>
      </c>
      <c r="M47" s="8">
        <v>89.4</v>
      </c>
      <c r="N47" s="9">
        <v>62</v>
      </c>
      <c r="O47" s="9">
        <v>359</v>
      </c>
      <c r="P47" s="9">
        <v>421</v>
      </c>
      <c r="Q47" s="24">
        <v>366</v>
      </c>
      <c r="R47" s="24">
        <v>166</v>
      </c>
      <c r="S47" s="9">
        <v>83</v>
      </c>
      <c r="T47" s="9">
        <v>28</v>
      </c>
      <c r="U47" s="9">
        <v>166</v>
      </c>
      <c r="V47" s="8">
        <v>2539</v>
      </c>
      <c r="W47" s="8">
        <v>10</v>
      </c>
      <c r="X47" s="8">
        <v>1</v>
      </c>
      <c r="Y47" s="7">
        <v>2.1</v>
      </c>
      <c r="Z47" s="7">
        <v>116.1</v>
      </c>
      <c r="AA47" s="7">
        <v>113.3</v>
      </c>
      <c r="AB47" s="7">
        <v>2.8</v>
      </c>
      <c r="AC47" s="7">
        <v>23.5</v>
      </c>
      <c r="AD47" s="7">
        <v>2.1800000000000002</v>
      </c>
      <c r="AE47" s="7">
        <v>22.7</v>
      </c>
      <c r="AF47" s="7">
        <v>2.6</v>
      </c>
      <c r="AG47" s="7">
        <v>15</v>
      </c>
      <c r="AH47" s="7">
        <v>8.8000000000000007</v>
      </c>
      <c r="AI47" s="7">
        <v>10.4</v>
      </c>
      <c r="AJ47" s="7">
        <v>56.5</v>
      </c>
      <c r="AK47" s="7">
        <v>60</v>
      </c>
      <c r="AL47" s="7">
        <v>22.7</v>
      </c>
      <c r="AM47" s="7">
        <v>104.58</v>
      </c>
      <c r="AN47" s="7">
        <v>13.1</v>
      </c>
      <c r="AO47" s="7">
        <v>4809</v>
      </c>
    </row>
    <row r="48" spans="1:41">
      <c r="A48" s="6" t="s">
        <v>135</v>
      </c>
      <c r="B48" s="6" t="s">
        <v>76</v>
      </c>
      <c r="C48" s="41">
        <f t="shared" si="1"/>
        <v>0.62979294478527603</v>
      </c>
      <c r="D48" s="42">
        <f t="shared" si="0"/>
        <v>1.5985915492957747</v>
      </c>
      <c r="E48" s="31">
        <v>1314</v>
      </c>
      <c r="F48" s="24">
        <v>504</v>
      </c>
      <c r="G48" s="24">
        <v>909</v>
      </c>
      <c r="H48" s="8">
        <v>55.7</v>
      </c>
      <c r="I48" s="9">
        <v>227</v>
      </c>
      <c r="J48" s="8">
        <v>37</v>
      </c>
      <c r="K48" s="8">
        <v>220</v>
      </c>
      <c r="L48" s="25">
        <v>305</v>
      </c>
      <c r="M48" s="8">
        <v>72.5</v>
      </c>
      <c r="N48" s="9">
        <v>163</v>
      </c>
      <c r="O48" s="9">
        <v>497</v>
      </c>
      <c r="P48" s="9">
        <v>660</v>
      </c>
      <c r="Q48" s="24">
        <v>227</v>
      </c>
      <c r="R48" s="24">
        <v>142</v>
      </c>
      <c r="S48" s="9">
        <v>64</v>
      </c>
      <c r="T48" s="9">
        <v>114</v>
      </c>
      <c r="U48" s="9">
        <v>142</v>
      </c>
      <c r="V48" s="8">
        <v>2826</v>
      </c>
      <c r="W48" s="8">
        <v>37</v>
      </c>
      <c r="X48" s="8">
        <v>0</v>
      </c>
      <c r="Y48" s="7">
        <v>7.7</v>
      </c>
      <c r="Z48" s="7">
        <v>120.5</v>
      </c>
      <c r="AA48" s="7">
        <v>108.6</v>
      </c>
      <c r="AB48" s="7">
        <v>11.9</v>
      </c>
      <c r="AC48" s="7">
        <v>14.9</v>
      </c>
      <c r="AD48" s="7">
        <v>1.56</v>
      </c>
      <c r="AE48" s="7">
        <v>16.100000000000001</v>
      </c>
      <c r="AF48" s="7">
        <v>7.6</v>
      </c>
      <c r="AG48" s="7">
        <v>21.3</v>
      </c>
      <c r="AH48" s="7">
        <v>14.7</v>
      </c>
      <c r="AI48" s="7">
        <v>10.3</v>
      </c>
      <c r="AJ48" s="7">
        <v>60.4</v>
      </c>
      <c r="AK48" s="7">
        <v>63.3</v>
      </c>
      <c r="AL48" s="7">
        <v>22.6</v>
      </c>
      <c r="AM48" s="7">
        <v>102.16</v>
      </c>
      <c r="AN48" s="7">
        <v>15.1</v>
      </c>
      <c r="AO48" s="7">
        <v>4609</v>
      </c>
    </row>
    <row r="49" spans="1:41">
      <c r="A49" s="6" t="s">
        <v>137</v>
      </c>
      <c r="B49" s="6" t="s">
        <v>62</v>
      </c>
      <c r="C49" s="41">
        <f t="shared" si="1"/>
        <v>0.61456923770861516</v>
      </c>
      <c r="D49" s="42">
        <f t="shared" si="0"/>
        <v>1.1666666666666667</v>
      </c>
      <c r="E49" s="31">
        <v>1308</v>
      </c>
      <c r="F49" s="24">
        <v>456</v>
      </c>
      <c r="G49" s="24">
        <v>948</v>
      </c>
      <c r="H49" s="8">
        <v>48.4</v>
      </c>
      <c r="I49" s="9">
        <v>426</v>
      </c>
      <c r="J49" s="8">
        <v>41.8</v>
      </c>
      <c r="K49" s="8">
        <v>216</v>
      </c>
      <c r="L49" s="25">
        <v>264</v>
      </c>
      <c r="M49" s="8">
        <v>80.400000000000006</v>
      </c>
      <c r="N49" s="9">
        <v>24</v>
      </c>
      <c r="O49" s="9">
        <v>168</v>
      </c>
      <c r="P49" s="9">
        <v>192</v>
      </c>
      <c r="Q49" s="24">
        <v>126</v>
      </c>
      <c r="R49" s="24">
        <v>108</v>
      </c>
      <c r="S49" s="9">
        <v>72</v>
      </c>
      <c r="T49" s="9">
        <v>12</v>
      </c>
      <c r="U49" s="9">
        <v>114</v>
      </c>
      <c r="V49" s="8">
        <v>1860</v>
      </c>
      <c r="W49" s="8">
        <v>1</v>
      </c>
      <c r="X49" s="8">
        <v>0</v>
      </c>
      <c r="Y49" s="7">
        <v>5.9</v>
      </c>
      <c r="Z49" s="7">
        <v>116.2</v>
      </c>
      <c r="AA49" s="7">
        <v>107.4</v>
      </c>
      <c r="AB49" s="7">
        <v>8.8000000000000007</v>
      </c>
      <c r="AC49" s="7">
        <v>9.6</v>
      </c>
      <c r="AD49" s="7">
        <v>1.1599999999999999</v>
      </c>
      <c r="AE49" s="7">
        <v>9.6999999999999993</v>
      </c>
      <c r="AF49" s="7">
        <v>1.1000000000000001</v>
      </c>
      <c r="AG49" s="7">
        <v>8.5</v>
      </c>
      <c r="AH49" s="7">
        <v>4.9000000000000004</v>
      </c>
      <c r="AI49" s="7">
        <v>8.4</v>
      </c>
      <c r="AJ49" s="7">
        <v>57.8</v>
      </c>
      <c r="AK49" s="7">
        <v>61.5</v>
      </c>
      <c r="AL49" s="7">
        <v>25.5</v>
      </c>
      <c r="AM49" s="7">
        <v>99.69</v>
      </c>
      <c r="AN49" s="7">
        <v>11</v>
      </c>
      <c r="AO49" s="7">
        <v>4063</v>
      </c>
    </row>
    <row r="50" spans="1:41">
      <c r="A50" s="6" t="s">
        <v>139</v>
      </c>
      <c r="B50" s="6" t="s">
        <v>140</v>
      </c>
      <c r="C50" s="41">
        <f t="shared" si="1"/>
        <v>0.54096148720682302</v>
      </c>
      <c r="D50" s="42">
        <f t="shared" si="0"/>
        <v>1.8656716417910448</v>
      </c>
      <c r="E50" s="31">
        <v>1299</v>
      </c>
      <c r="F50" s="24">
        <v>467</v>
      </c>
      <c r="G50" s="24">
        <v>1088</v>
      </c>
      <c r="H50" s="8">
        <v>43.1</v>
      </c>
      <c r="I50" s="9">
        <v>448</v>
      </c>
      <c r="J50" s="8">
        <v>31.3</v>
      </c>
      <c r="K50" s="8">
        <v>224</v>
      </c>
      <c r="L50" s="25">
        <v>256</v>
      </c>
      <c r="M50" s="8">
        <v>87</v>
      </c>
      <c r="N50" s="9">
        <v>70</v>
      </c>
      <c r="O50" s="9">
        <v>410</v>
      </c>
      <c r="P50" s="9">
        <v>480</v>
      </c>
      <c r="Q50" s="24">
        <v>250</v>
      </c>
      <c r="R50" s="24">
        <v>134</v>
      </c>
      <c r="S50" s="9">
        <v>45</v>
      </c>
      <c r="T50" s="9">
        <v>45</v>
      </c>
      <c r="U50" s="9">
        <v>96</v>
      </c>
      <c r="V50" s="8">
        <v>2381</v>
      </c>
      <c r="W50" s="8">
        <v>14</v>
      </c>
      <c r="X50" s="8">
        <v>1</v>
      </c>
      <c r="Y50" s="7">
        <v>-4</v>
      </c>
      <c r="Z50" s="7">
        <v>108.2</v>
      </c>
      <c r="AA50" s="7">
        <v>113.6</v>
      </c>
      <c r="AB50" s="7">
        <v>-5.5</v>
      </c>
      <c r="AC50" s="7">
        <v>20.3</v>
      </c>
      <c r="AD50" s="7">
        <v>1.82</v>
      </c>
      <c r="AE50" s="7">
        <v>15.7</v>
      </c>
      <c r="AF50" s="7">
        <v>3.3</v>
      </c>
      <c r="AG50" s="7">
        <v>18.899999999999999</v>
      </c>
      <c r="AH50" s="7">
        <v>11</v>
      </c>
      <c r="AI50" s="7">
        <v>8.6</v>
      </c>
      <c r="AJ50" s="7">
        <v>49.5</v>
      </c>
      <c r="AK50" s="7">
        <v>54.1</v>
      </c>
      <c r="AL50" s="7">
        <v>27.3</v>
      </c>
      <c r="AM50" s="7">
        <v>100.58</v>
      </c>
      <c r="AN50" s="7">
        <v>13.5</v>
      </c>
      <c r="AO50" s="7">
        <v>4239</v>
      </c>
    </row>
    <row r="51" spans="1:41">
      <c r="A51" s="6" t="s">
        <v>141</v>
      </c>
      <c r="B51" s="6" t="s">
        <v>46</v>
      </c>
      <c r="C51" s="41">
        <f t="shared" si="1"/>
        <v>0.5935291519434629</v>
      </c>
      <c r="D51" s="42">
        <f t="shared" si="0"/>
        <v>1.6787564766839378</v>
      </c>
      <c r="E51" s="31">
        <v>1290</v>
      </c>
      <c r="F51" s="24">
        <v>455</v>
      </c>
      <c r="G51" s="24">
        <v>938</v>
      </c>
      <c r="H51" s="8">
        <v>48.5</v>
      </c>
      <c r="I51" s="9">
        <v>317</v>
      </c>
      <c r="J51" s="8">
        <v>34.4</v>
      </c>
      <c r="K51" s="8">
        <v>269</v>
      </c>
      <c r="L51" s="25">
        <v>338</v>
      </c>
      <c r="M51" s="8">
        <v>80.599999999999994</v>
      </c>
      <c r="N51" s="9">
        <v>145</v>
      </c>
      <c r="O51" s="9">
        <v>345</v>
      </c>
      <c r="P51" s="9">
        <v>490</v>
      </c>
      <c r="Q51" s="24">
        <v>324</v>
      </c>
      <c r="R51" s="24">
        <v>193</v>
      </c>
      <c r="S51" s="9">
        <v>48</v>
      </c>
      <c r="T51" s="9">
        <v>14</v>
      </c>
      <c r="U51" s="9">
        <v>173</v>
      </c>
      <c r="V51" s="8">
        <v>2353</v>
      </c>
      <c r="W51" s="8">
        <v>14</v>
      </c>
      <c r="X51" s="8">
        <v>0</v>
      </c>
      <c r="Y51" s="7">
        <v>2.4</v>
      </c>
      <c r="Z51" s="7">
        <v>115</v>
      </c>
      <c r="AA51" s="7">
        <v>111.6</v>
      </c>
      <c r="AB51" s="7">
        <v>3.4</v>
      </c>
      <c r="AC51" s="7">
        <v>22.8</v>
      </c>
      <c r="AD51" s="7">
        <v>1.65</v>
      </c>
      <c r="AE51" s="7">
        <v>20.100000000000001</v>
      </c>
      <c r="AF51" s="7">
        <v>6.5</v>
      </c>
      <c r="AG51" s="7">
        <v>14.9</v>
      </c>
      <c r="AH51" s="7">
        <v>10.8</v>
      </c>
      <c r="AI51" s="7">
        <v>12.2</v>
      </c>
      <c r="AJ51" s="7">
        <v>54.2</v>
      </c>
      <c r="AK51" s="7">
        <v>59.3</v>
      </c>
      <c r="AL51" s="7">
        <v>24.6</v>
      </c>
      <c r="AM51" s="7">
        <v>98.45</v>
      </c>
      <c r="AN51" s="7">
        <v>12.4</v>
      </c>
      <c r="AO51" s="7">
        <v>4569</v>
      </c>
    </row>
    <row r="52" spans="1:41">
      <c r="A52" s="6" t="s">
        <v>143</v>
      </c>
      <c r="B52" s="6" t="s">
        <v>144</v>
      </c>
      <c r="C52" s="41">
        <f t="shared" si="1"/>
        <v>0.58907132438194265</v>
      </c>
      <c r="D52" s="42">
        <f t="shared" si="0"/>
        <v>1.5982142857142858</v>
      </c>
      <c r="E52" s="31">
        <v>1260</v>
      </c>
      <c r="F52" s="24">
        <v>469</v>
      </c>
      <c r="G52" s="24">
        <v>908</v>
      </c>
      <c r="H52" s="8">
        <v>51.6</v>
      </c>
      <c r="I52" s="9">
        <v>122</v>
      </c>
      <c r="J52" s="8">
        <v>28.2</v>
      </c>
      <c r="K52" s="8">
        <v>286</v>
      </c>
      <c r="L52" s="25">
        <v>367</v>
      </c>
      <c r="M52" s="8">
        <v>77.5</v>
      </c>
      <c r="N52" s="9">
        <v>133</v>
      </c>
      <c r="O52" s="9">
        <v>454</v>
      </c>
      <c r="P52" s="9">
        <v>592</v>
      </c>
      <c r="Q52" s="24">
        <v>179</v>
      </c>
      <c r="R52" s="24">
        <v>112</v>
      </c>
      <c r="S52" s="9">
        <v>61</v>
      </c>
      <c r="T52" s="9">
        <v>112</v>
      </c>
      <c r="U52" s="9">
        <v>97</v>
      </c>
      <c r="V52" s="8">
        <v>2637</v>
      </c>
      <c r="W52" s="8">
        <v>36</v>
      </c>
      <c r="X52" s="8">
        <v>1</v>
      </c>
      <c r="Y52" s="7">
        <v>0.5</v>
      </c>
      <c r="Z52" s="7">
        <v>113.3</v>
      </c>
      <c r="AA52" s="7">
        <v>112.9</v>
      </c>
      <c r="AB52" s="7">
        <v>0.5</v>
      </c>
      <c r="AC52" s="7">
        <v>18.2</v>
      </c>
      <c r="AD52" s="7">
        <v>1.6</v>
      </c>
      <c r="AE52" s="7">
        <v>13.3</v>
      </c>
      <c r="AF52" s="7">
        <v>8.3000000000000007</v>
      </c>
      <c r="AG52" s="7">
        <v>25.4</v>
      </c>
      <c r="AH52" s="7">
        <v>17.3</v>
      </c>
      <c r="AI52" s="7">
        <v>8.3000000000000007</v>
      </c>
      <c r="AJ52" s="7">
        <v>53.6</v>
      </c>
      <c r="AK52" s="7">
        <v>58.8</v>
      </c>
      <c r="AL52" s="7">
        <v>30.1</v>
      </c>
      <c r="AM52" s="7">
        <v>98.83</v>
      </c>
      <c r="AN52" s="7">
        <v>17.899999999999999</v>
      </c>
      <c r="AO52" s="7">
        <v>3515</v>
      </c>
    </row>
    <row r="53" spans="1:41">
      <c r="A53" s="6" t="s">
        <v>145</v>
      </c>
      <c r="B53" s="6" t="s">
        <v>146</v>
      </c>
      <c r="C53" s="41">
        <f t="shared" si="1"/>
        <v>0.52398209693042519</v>
      </c>
      <c r="D53" s="42">
        <f t="shared" si="0"/>
        <v>2.0714285714285716</v>
      </c>
      <c r="E53" s="31">
        <v>1255</v>
      </c>
      <c r="F53" s="24">
        <v>475</v>
      </c>
      <c r="G53" s="24">
        <v>1066</v>
      </c>
      <c r="H53" s="8">
        <v>44.6</v>
      </c>
      <c r="I53" s="9">
        <v>280</v>
      </c>
      <c r="J53" s="8">
        <v>27.1</v>
      </c>
      <c r="K53" s="8">
        <v>228</v>
      </c>
      <c r="L53" s="25">
        <v>299</v>
      </c>
      <c r="M53" s="8">
        <v>75.5</v>
      </c>
      <c r="N53" s="9">
        <v>111</v>
      </c>
      <c r="O53" s="9">
        <v>390</v>
      </c>
      <c r="P53" s="9">
        <v>501</v>
      </c>
      <c r="Q53" s="24">
        <v>377</v>
      </c>
      <c r="R53" s="24">
        <v>182</v>
      </c>
      <c r="S53" s="9">
        <v>91</v>
      </c>
      <c r="T53" s="9">
        <v>65</v>
      </c>
      <c r="U53" s="9">
        <v>111</v>
      </c>
      <c r="V53" s="8">
        <v>2704</v>
      </c>
      <c r="W53" s="8">
        <v>26</v>
      </c>
      <c r="X53" s="8">
        <v>1</v>
      </c>
      <c r="Y53" s="7">
        <v>-2</v>
      </c>
      <c r="Z53" s="7">
        <v>107.4</v>
      </c>
      <c r="AA53" s="7">
        <v>110.1</v>
      </c>
      <c r="AB53" s="7">
        <v>-2.7</v>
      </c>
      <c r="AC53" s="7">
        <v>27.9</v>
      </c>
      <c r="AD53" s="7">
        <v>2.04</v>
      </c>
      <c r="AE53" s="7">
        <v>21.5</v>
      </c>
      <c r="AF53" s="7">
        <v>4.7</v>
      </c>
      <c r="AG53" s="7">
        <v>17.600000000000001</v>
      </c>
      <c r="AH53" s="7">
        <v>11.1</v>
      </c>
      <c r="AI53" s="7">
        <v>10.5</v>
      </c>
      <c r="AJ53" s="7">
        <v>48.2</v>
      </c>
      <c r="AK53" s="7">
        <v>52.3</v>
      </c>
      <c r="AL53" s="7">
        <v>26.2</v>
      </c>
      <c r="AM53" s="7">
        <v>102.48</v>
      </c>
      <c r="AN53" s="7">
        <v>13.9</v>
      </c>
      <c r="AO53" s="7">
        <v>4554</v>
      </c>
    </row>
    <row r="54" spans="1:41">
      <c r="A54" s="6" t="s">
        <v>147</v>
      </c>
      <c r="B54" s="6" t="s">
        <v>52</v>
      </c>
      <c r="C54" s="41">
        <f t="shared" si="1"/>
        <v>0.60579541034616879</v>
      </c>
      <c r="D54" s="42">
        <f t="shared" si="0"/>
        <v>2.8294573643410854</v>
      </c>
      <c r="E54" s="31">
        <v>1246</v>
      </c>
      <c r="F54" s="24">
        <v>426</v>
      </c>
      <c r="G54" s="24">
        <v>958</v>
      </c>
      <c r="H54" s="8">
        <v>44.2</v>
      </c>
      <c r="I54" s="9">
        <v>692</v>
      </c>
      <c r="J54" s="8">
        <v>38.4</v>
      </c>
      <c r="K54" s="8">
        <v>137</v>
      </c>
      <c r="L54" s="25">
        <v>160</v>
      </c>
      <c r="M54" s="8">
        <v>83.9</v>
      </c>
      <c r="N54" s="9">
        <v>68</v>
      </c>
      <c r="O54" s="9">
        <v>274</v>
      </c>
      <c r="P54" s="9">
        <v>342</v>
      </c>
      <c r="Q54" s="24">
        <v>365</v>
      </c>
      <c r="R54" s="24">
        <v>129</v>
      </c>
      <c r="S54" s="9">
        <v>68</v>
      </c>
      <c r="T54" s="9">
        <v>84</v>
      </c>
      <c r="U54" s="9">
        <v>137</v>
      </c>
      <c r="V54" s="8">
        <v>2523</v>
      </c>
      <c r="W54" s="8">
        <v>4</v>
      </c>
      <c r="X54" s="8">
        <v>0</v>
      </c>
      <c r="Y54" s="7">
        <v>7.1</v>
      </c>
      <c r="Z54" s="7">
        <v>119.7</v>
      </c>
      <c r="AA54" s="7">
        <v>109.5</v>
      </c>
      <c r="AB54" s="7">
        <v>10.199999999999999</v>
      </c>
      <c r="AC54" s="7">
        <v>19.899999999999999</v>
      </c>
      <c r="AD54" s="7">
        <v>2.76</v>
      </c>
      <c r="AE54" s="7">
        <v>23.7</v>
      </c>
      <c r="AF54" s="7">
        <v>2.5</v>
      </c>
      <c r="AG54" s="7">
        <v>10.1</v>
      </c>
      <c r="AH54" s="7">
        <v>6.4</v>
      </c>
      <c r="AI54" s="7">
        <v>8.6</v>
      </c>
      <c r="AJ54" s="7">
        <v>58</v>
      </c>
      <c r="AK54" s="7">
        <v>60.6</v>
      </c>
      <c r="AL54" s="7">
        <v>19.5</v>
      </c>
      <c r="AM54" s="7">
        <v>97.89</v>
      </c>
      <c r="AN54" s="7">
        <v>10.6</v>
      </c>
      <c r="AO54" s="7">
        <v>5251</v>
      </c>
    </row>
    <row r="55" spans="1:41">
      <c r="A55" s="6" t="s">
        <v>149</v>
      </c>
      <c r="B55" s="6" t="s">
        <v>144</v>
      </c>
      <c r="C55" s="41">
        <f t="shared" si="1"/>
        <v>0.59397845325125054</v>
      </c>
      <c r="D55" s="42">
        <f t="shared" si="0"/>
        <v>2.0909090909090908</v>
      </c>
      <c r="E55" s="31">
        <v>1235</v>
      </c>
      <c r="F55" s="24">
        <v>445</v>
      </c>
      <c r="G55" s="24">
        <v>945</v>
      </c>
      <c r="H55" s="8">
        <v>47.3</v>
      </c>
      <c r="I55" s="9">
        <v>360</v>
      </c>
      <c r="J55" s="8">
        <v>40.1</v>
      </c>
      <c r="K55" s="8">
        <v>195</v>
      </c>
      <c r="L55" s="25">
        <v>215</v>
      </c>
      <c r="M55" s="8">
        <v>91.6</v>
      </c>
      <c r="N55" s="9">
        <v>60</v>
      </c>
      <c r="O55" s="9">
        <v>180</v>
      </c>
      <c r="P55" s="9">
        <v>240</v>
      </c>
      <c r="Q55" s="24">
        <v>230</v>
      </c>
      <c r="R55" s="24">
        <v>110</v>
      </c>
      <c r="S55" s="9">
        <v>65</v>
      </c>
      <c r="T55" s="9">
        <v>25</v>
      </c>
      <c r="U55" s="9">
        <v>100</v>
      </c>
      <c r="V55" s="8">
        <v>2025</v>
      </c>
      <c r="W55" s="8">
        <v>0</v>
      </c>
      <c r="X55" s="8">
        <v>0</v>
      </c>
      <c r="Y55" s="7">
        <v>2.5</v>
      </c>
      <c r="Z55" s="7">
        <v>116.5</v>
      </c>
      <c r="AA55" s="7">
        <v>113.9</v>
      </c>
      <c r="AB55" s="7">
        <v>2.6</v>
      </c>
      <c r="AC55" s="7">
        <v>19.8</v>
      </c>
      <c r="AD55" s="7">
        <v>2.08</v>
      </c>
      <c r="AE55" s="7">
        <v>16.899999999999999</v>
      </c>
      <c r="AF55" s="7">
        <v>3.3</v>
      </c>
      <c r="AG55" s="7">
        <v>9.3000000000000007</v>
      </c>
      <c r="AH55" s="7">
        <v>6.4</v>
      </c>
      <c r="AI55" s="7">
        <v>8.1</v>
      </c>
      <c r="AJ55" s="7">
        <v>54.9</v>
      </c>
      <c r="AK55" s="7">
        <v>59.4</v>
      </c>
      <c r="AL55" s="7">
        <v>26.4</v>
      </c>
      <c r="AM55" s="7">
        <v>99.98</v>
      </c>
      <c r="AN55" s="7">
        <v>12.9</v>
      </c>
      <c r="AO55" s="7">
        <v>3768</v>
      </c>
    </row>
    <row r="56" spans="1:41">
      <c r="A56" s="6" t="s">
        <v>151</v>
      </c>
      <c r="B56" s="6" t="s">
        <v>146</v>
      </c>
      <c r="C56" s="41">
        <f t="shared" si="1"/>
        <v>0.54754321296925879</v>
      </c>
      <c r="D56" s="42">
        <f t="shared" si="0"/>
        <v>1.9320987654320987</v>
      </c>
      <c r="E56" s="31">
        <v>1224</v>
      </c>
      <c r="F56" s="24">
        <v>458</v>
      </c>
      <c r="G56" s="24">
        <v>980</v>
      </c>
      <c r="H56" s="8">
        <v>46.8</v>
      </c>
      <c r="I56" s="9">
        <v>307</v>
      </c>
      <c r="J56" s="8">
        <v>35</v>
      </c>
      <c r="K56" s="8">
        <v>197</v>
      </c>
      <c r="L56" s="25">
        <v>313</v>
      </c>
      <c r="M56" s="8">
        <v>63</v>
      </c>
      <c r="N56" s="9">
        <v>64</v>
      </c>
      <c r="O56" s="9">
        <v>307</v>
      </c>
      <c r="P56" s="9">
        <v>365</v>
      </c>
      <c r="Q56" s="24">
        <v>313</v>
      </c>
      <c r="R56" s="24">
        <v>162</v>
      </c>
      <c r="S56" s="9">
        <v>46</v>
      </c>
      <c r="T56" s="9">
        <v>17</v>
      </c>
      <c r="U56" s="9">
        <v>139</v>
      </c>
      <c r="V56" s="8">
        <v>2158</v>
      </c>
      <c r="W56" s="8">
        <v>10</v>
      </c>
      <c r="X56" s="8">
        <v>2</v>
      </c>
      <c r="Y56" s="7">
        <v>-2.4</v>
      </c>
      <c r="Z56" s="7">
        <v>110.1</v>
      </c>
      <c r="AA56" s="7">
        <v>113.4</v>
      </c>
      <c r="AB56" s="7">
        <v>-3.4</v>
      </c>
      <c r="AC56" s="7">
        <v>25.7</v>
      </c>
      <c r="AD56" s="7">
        <v>1.9</v>
      </c>
      <c r="AE56" s="7">
        <v>19.600000000000001</v>
      </c>
      <c r="AF56" s="7">
        <v>3.1</v>
      </c>
      <c r="AG56" s="7">
        <v>15.9</v>
      </c>
      <c r="AH56" s="7">
        <v>9.4</v>
      </c>
      <c r="AI56" s="7">
        <v>10.3</v>
      </c>
      <c r="AJ56" s="7">
        <v>52.3</v>
      </c>
      <c r="AK56" s="7">
        <v>54.7</v>
      </c>
      <c r="AL56" s="7">
        <v>28</v>
      </c>
      <c r="AM56" s="7">
        <v>102.74</v>
      </c>
      <c r="AN56" s="7">
        <v>12.1</v>
      </c>
      <c r="AO56" s="7">
        <v>3998</v>
      </c>
    </row>
    <row r="57" spans="1:41">
      <c r="A57" s="6" t="s">
        <v>153</v>
      </c>
      <c r="B57" s="6" t="s">
        <v>48</v>
      </c>
      <c r="C57" s="41">
        <f t="shared" si="1"/>
        <v>0.66450443366968071</v>
      </c>
      <c r="D57" s="42">
        <f t="shared" si="0"/>
        <v>2.5949367088607596</v>
      </c>
      <c r="E57" s="31">
        <v>1217</v>
      </c>
      <c r="F57" s="24">
        <v>474</v>
      </c>
      <c r="G57" s="24">
        <v>822</v>
      </c>
      <c r="H57" s="8">
        <v>58</v>
      </c>
      <c r="I57" s="9">
        <v>221</v>
      </c>
      <c r="J57" s="8">
        <v>39.700000000000003</v>
      </c>
      <c r="K57" s="8">
        <v>174</v>
      </c>
      <c r="L57" s="25">
        <v>213</v>
      </c>
      <c r="M57" s="8">
        <v>82.7</v>
      </c>
      <c r="N57" s="9">
        <v>95</v>
      </c>
      <c r="O57" s="9">
        <v>308</v>
      </c>
      <c r="P57" s="9">
        <v>411</v>
      </c>
      <c r="Q57" s="24">
        <v>205</v>
      </c>
      <c r="R57" s="24">
        <v>79</v>
      </c>
      <c r="S57" s="9">
        <v>87</v>
      </c>
      <c r="T57" s="9">
        <v>40</v>
      </c>
      <c r="U57" s="9">
        <v>174</v>
      </c>
      <c r="V57" s="8">
        <v>2299</v>
      </c>
      <c r="W57" s="8">
        <v>6</v>
      </c>
      <c r="X57" s="8">
        <v>0</v>
      </c>
      <c r="Y57" s="7">
        <v>6.1</v>
      </c>
      <c r="Z57" s="7">
        <v>122.7</v>
      </c>
      <c r="AA57" s="7">
        <v>114.5</v>
      </c>
      <c r="AB57" s="7">
        <v>8.1999999999999993</v>
      </c>
      <c r="AC57" s="7">
        <v>9.6</v>
      </c>
      <c r="AD57" s="7">
        <v>2.5299999999999998</v>
      </c>
      <c r="AE57" s="7">
        <v>17.100000000000001</v>
      </c>
      <c r="AF57" s="7">
        <v>3.9</v>
      </c>
      <c r="AG57" s="7">
        <v>10.9</v>
      </c>
      <c r="AH57" s="7">
        <v>7.7</v>
      </c>
      <c r="AI57" s="7">
        <v>6.8</v>
      </c>
      <c r="AJ57" s="7">
        <v>63.4</v>
      </c>
      <c r="AK57" s="7">
        <v>66.5</v>
      </c>
      <c r="AL57" s="7">
        <v>15.5</v>
      </c>
      <c r="AM57" s="7">
        <v>101.04</v>
      </c>
      <c r="AN57" s="7">
        <v>9.6</v>
      </c>
      <c r="AO57" s="7">
        <v>5639</v>
      </c>
    </row>
    <row r="58" spans="1:41">
      <c r="A58" s="6" t="s">
        <v>155</v>
      </c>
      <c r="B58" s="6" t="s">
        <v>122</v>
      </c>
      <c r="C58" s="41">
        <f t="shared" si="1"/>
        <v>0.60453425528532823</v>
      </c>
      <c r="D58" s="42">
        <f t="shared" si="0"/>
        <v>1.4484536082474226</v>
      </c>
      <c r="E58" s="31">
        <v>1217</v>
      </c>
      <c r="F58" s="24">
        <v>403</v>
      </c>
      <c r="G58" s="24">
        <v>842</v>
      </c>
      <c r="H58" s="8">
        <v>47.6</v>
      </c>
      <c r="I58" s="9">
        <v>346</v>
      </c>
      <c r="J58" s="8">
        <v>36.5</v>
      </c>
      <c r="K58" s="8">
        <v>288</v>
      </c>
      <c r="L58" s="25">
        <v>374</v>
      </c>
      <c r="M58" s="8">
        <v>78</v>
      </c>
      <c r="N58" s="9">
        <v>108</v>
      </c>
      <c r="O58" s="9">
        <v>410</v>
      </c>
      <c r="P58" s="9">
        <v>526</v>
      </c>
      <c r="Q58" s="24">
        <v>281</v>
      </c>
      <c r="R58" s="24">
        <v>194</v>
      </c>
      <c r="S58" s="9">
        <v>72</v>
      </c>
      <c r="T58" s="9">
        <v>36</v>
      </c>
      <c r="U58" s="9">
        <v>173</v>
      </c>
      <c r="V58" s="8">
        <v>2390</v>
      </c>
      <c r="W58" s="8">
        <v>17</v>
      </c>
      <c r="X58" s="8">
        <v>2</v>
      </c>
      <c r="Y58" s="7">
        <v>-1.1000000000000001</v>
      </c>
      <c r="Z58" s="7">
        <v>113.6</v>
      </c>
      <c r="AA58" s="7">
        <v>114.5</v>
      </c>
      <c r="AB58" s="7">
        <v>-0.9</v>
      </c>
      <c r="AC58" s="7">
        <v>19.3</v>
      </c>
      <c r="AD58" s="7">
        <v>1.43</v>
      </c>
      <c r="AE58" s="7">
        <v>19</v>
      </c>
      <c r="AF58" s="7">
        <v>4.8</v>
      </c>
      <c r="AG58" s="7">
        <v>19</v>
      </c>
      <c r="AH58" s="7">
        <v>11.7</v>
      </c>
      <c r="AI58" s="7">
        <v>13.3</v>
      </c>
      <c r="AJ58" s="7">
        <v>55</v>
      </c>
      <c r="AK58" s="7">
        <v>60.5</v>
      </c>
      <c r="AL58" s="7">
        <v>22.8</v>
      </c>
      <c r="AM58" s="7">
        <v>99.86</v>
      </c>
      <c r="AN58" s="7">
        <v>12.6</v>
      </c>
      <c r="AO58" s="7">
        <v>4479</v>
      </c>
    </row>
    <row r="59" spans="1:41">
      <c r="A59" s="6" t="s">
        <v>157</v>
      </c>
      <c r="B59" s="6" t="s">
        <v>98</v>
      </c>
      <c r="C59" s="41">
        <f t="shared" si="1"/>
        <v>0.55096036416120797</v>
      </c>
      <c r="D59" s="42">
        <f t="shared" si="0"/>
        <v>1.6014492753623188</v>
      </c>
      <c r="E59" s="31">
        <v>1191</v>
      </c>
      <c r="F59" s="24">
        <v>414</v>
      </c>
      <c r="G59" s="24">
        <v>911</v>
      </c>
      <c r="H59" s="8">
        <v>45.2</v>
      </c>
      <c r="I59" s="9">
        <v>271</v>
      </c>
      <c r="J59" s="8">
        <v>32</v>
      </c>
      <c r="K59" s="8">
        <v>281</v>
      </c>
      <c r="L59" s="25">
        <v>386</v>
      </c>
      <c r="M59" s="8">
        <v>72.7</v>
      </c>
      <c r="N59" s="9">
        <v>51</v>
      </c>
      <c r="O59" s="9">
        <v>294</v>
      </c>
      <c r="P59" s="9">
        <v>345</v>
      </c>
      <c r="Q59" s="24">
        <v>221</v>
      </c>
      <c r="R59" s="24">
        <v>138</v>
      </c>
      <c r="S59" s="9">
        <v>37</v>
      </c>
      <c r="T59" s="9">
        <v>28</v>
      </c>
      <c r="U59" s="9">
        <v>97</v>
      </c>
      <c r="V59" s="8">
        <v>1992</v>
      </c>
      <c r="W59" s="8">
        <v>11</v>
      </c>
      <c r="X59" s="8">
        <v>0</v>
      </c>
      <c r="Y59" s="7">
        <v>-0.5</v>
      </c>
      <c r="Z59" s="7">
        <v>109.1</v>
      </c>
      <c r="AA59" s="7">
        <v>109.6</v>
      </c>
      <c r="AB59" s="7">
        <v>-0.6</v>
      </c>
      <c r="AC59" s="7">
        <v>26.2</v>
      </c>
      <c r="AD59" s="7">
        <v>1.61</v>
      </c>
      <c r="AE59" s="7">
        <v>15.3</v>
      </c>
      <c r="AF59" s="7">
        <v>3.1</v>
      </c>
      <c r="AG59" s="7">
        <v>19.2</v>
      </c>
      <c r="AH59" s="7">
        <v>10.8</v>
      </c>
      <c r="AI59" s="7">
        <v>9.5</v>
      </c>
      <c r="AJ59" s="7">
        <v>50</v>
      </c>
      <c r="AK59" s="7">
        <v>55.1</v>
      </c>
      <c r="AL59" s="7">
        <v>33</v>
      </c>
      <c r="AM59" s="7">
        <v>97.29</v>
      </c>
      <c r="AN59" s="7">
        <v>15.7</v>
      </c>
      <c r="AO59" s="7">
        <v>3204</v>
      </c>
    </row>
    <row r="60" spans="1:41">
      <c r="A60" s="6" t="s">
        <v>159</v>
      </c>
      <c r="B60" s="6" t="s">
        <v>94</v>
      </c>
      <c r="C60" s="41">
        <f t="shared" si="1"/>
        <v>0.52347046413502119</v>
      </c>
      <c r="D60" s="42">
        <f t="shared" si="0"/>
        <v>1.8651685393258426</v>
      </c>
      <c r="E60" s="31">
        <v>1191</v>
      </c>
      <c r="F60" s="24">
        <v>421</v>
      </c>
      <c r="G60" s="24">
        <v>988</v>
      </c>
      <c r="H60" s="8">
        <v>42.8</v>
      </c>
      <c r="I60" s="9">
        <v>332</v>
      </c>
      <c r="J60" s="8">
        <v>28.5</v>
      </c>
      <c r="K60" s="8">
        <v>251</v>
      </c>
      <c r="L60" s="25">
        <v>340</v>
      </c>
      <c r="M60" s="8">
        <v>72.400000000000006</v>
      </c>
      <c r="N60" s="9">
        <v>89</v>
      </c>
      <c r="O60" s="9">
        <v>211</v>
      </c>
      <c r="P60" s="9">
        <v>300</v>
      </c>
      <c r="Q60" s="24">
        <v>332</v>
      </c>
      <c r="R60" s="24">
        <v>178</v>
      </c>
      <c r="S60" s="9">
        <v>73</v>
      </c>
      <c r="T60" s="9">
        <v>24</v>
      </c>
      <c r="U60" s="9">
        <v>162</v>
      </c>
      <c r="V60" s="8">
        <v>2155</v>
      </c>
      <c r="W60" s="8">
        <v>6</v>
      </c>
      <c r="X60" s="8">
        <v>0</v>
      </c>
      <c r="Y60" s="7">
        <v>-3</v>
      </c>
      <c r="Z60" s="7">
        <v>111.8</v>
      </c>
      <c r="AA60" s="7">
        <v>116.6</v>
      </c>
      <c r="AB60" s="7">
        <v>-4.7</v>
      </c>
      <c r="AC60" s="7">
        <v>23.1</v>
      </c>
      <c r="AD60" s="7">
        <v>1.88</v>
      </c>
      <c r="AE60" s="7">
        <v>20.100000000000001</v>
      </c>
      <c r="AF60" s="7">
        <v>3.9</v>
      </c>
      <c r="AG60" s="7">
        <v>9.1999999999999993</v>
      </c>
      <c r="AH60" s="7">
        <v>6.6</v>
      </c>
      <c r="AI60" s="7">
        <v>10.7</v>
      </c>
      <c r="AJ60" s="7">
        <v>47.6</v>
      </c>
      <c r="AK60" s="7">
        <v>52.2</v>
      </c>
      <c r="AL60" s="7">
        <v>25.3</v>
      </c>
      <c r="AM60" s="7">
        <v>101.89</v>
      </c>
      <c r="AN60" s="7">
        <v>8.6999999999999993</v>
      </c>
      <c r="AO60" s="7">
        <v>4580</v>
      </c>
    </row>
    <row r="61" spans="1:41">
      <c r="A61" s="6" t="s">
        <v>161</v>
      </c>
      <c r="B61" s="6" t="s">
        <v>140</v>
      </c>
      <c r="C61" s="41">
        <f t="shared" si="1"/>
        <v>0.53710760297586646</v>
      </c>
      <c r="D61" s="42">
        <f t="shared" si="0"/>
        <v>2.059171597633136</v>
      </c>
      <c r="E61" s="31">
        <v>1184</v>
      </c>
      <c r="F61" s="24">
        <v>404</v>
      </c>
      <c r="G61" s="24">
        <v>1001</v>
      </c>
      <c r="H61" s="8">
        <v>40.5</v>
      </c>
      <c r="I61" s="9">
        <v>526</v>
      </c>
      <c r="J61" s="8">
        <v>33.9</v>
      </c>
      <c r="K61" s="8">
        <v>193</v>
      </c>
      <c r="L61" s="25">
        <v>230</v>
      </c>
      <c r="M61" s="8">
        <v>84.3</v>
      </c>
      <c r="N61" s="9">
        <v>47</v>
      </c>
      <c r="O61" s="9">
        <v>183</v>
      </c>
      <c r="P61" s="9">
        <v>230</v>
      </c>
      <c r="Q61" s="24">
        <v>348</v>
      </c>
      <c r="R61" s="24">
        <v>169</v>
      </c>
      <c r="S61" s="9">
        <v>52</v>
      </c>
      <c r="T61" s="9">
        <v>14</v>
      </c>
      <c r="U61" s="9">
        <v>155</v>
      </c>
      <c r="V61" s="8">
        <v>2016</v>
      </c>
      <c r="W61" s="8">
        <v>13</v>
      </c>
      <c r="X61" s="8">
        <v>0</v>
      </c>
      <c r="Y61" s="7">
        <v>-2.8</v>
      </c>
      <c r="Z61" s="7">
        <v>112.7</v>
      </c>
      <c r="AA61" s="7">
        <v>116.5</v>
      </c>
      <c r="AB61" s="7">
        <v>-3.9</v>
      </c>
      <c r="AC61" s="7">
        <v>39</v>
      </c>
      <c r="AD61" s="7">
        <v>2.0699999999999998</v>
      </c>
      <c r="AE61" s="7">
        <v>21.5</v>
      </c>
      <c r="AF61" s="7">
        <v>2.8</v>
      </c>
      <c r="AG61" s="7">
        <v>12.1</v>
      </c>
      <c r="AH61" s="7">
        <v>7.2</v>
      </c>
      <c r="AI61" s="7">
        <v>10.4</v>
      </c>
      <c r="AJ61" s="7">
        <v>49.4</v>
      </c>
      <c r="AK61" s="7">
        <v>53.6</v>
      </c>
      <c r="AL61" s="7">
        <v>34.200000000000003</v>
      </c>
      <c r="AM61" s="7">
        <v>101.33</v>
      </c>
      <c r="AN61" s="7">
        <v>12.7</v>
      </c>
      <c r="AO61" s="7">
        <v>3173</v>
      </c>
    </row>
    <row r="62" spans="1:41">
      <c r="A62" s="6" t="s">
        <v>163</v>
      </c>
      <c r="B62" s="6" t="s">
        <v>164</v>
      </c>
      <c r="C62" s="41">
        <f t="shared" si="1"/>
        <v>0.54795282599020922</v>
      </c>
      <c r="D62" s="42">
        <f t="shared" si="0"/>
        <v>2.1698113207547172</v>
      </c>
      <c r="E62" s="31">
        <v>1182</v>
      </c>
      <c r="F62" s="24">
        <v>442</v>
      </c>
      <c r="G62" s="24">
        <v>1002</v>
      </c>
      <c r="H62" s="8">
        <v>44.4</v>
      </c>
      <c r="I62" s="9">
        <v>459</v>
      </c>
      <c r="J62" s="8">
        <v>37.299999999999997</v>
      </c>
      <c r="K62" s="8">
        <v>123</v>
      </c>
      <c r="L62" s="25">
        <v>174</v>
      </c>
      <c r="M62" s="8">
        <v>71.7</v>
      </c>
      <c r="N62" s="9">
        <v>45</v>
      </c>
      <c r="O62" s="9">
        <v>168</v>
      </c>
      <c r="P62" s="9">
        <v>213</v>
      </c>
      <c r="Q62" s="24">
        <v>230</v>
      </c>
      <c r="R62" s="24">
        <v>106</v>
      </c>
      <c r="S62" s="9">
        <v>45</v>
      </c>
      <c r="T62" s="9">
        <v>22</v>
      </c>
      <c r="U62" s="9">
        <v>123</v>
      </c>
      <c r="V62" s="8">
        <v>1882</v>
      </c>
      <c r="W62" s="8">
        <v>0</v>
      </c>
      <c r="X62" s="8">
        <v>0</v>
      </c>
      <c r="Y62" s="7">
        <v>-5</v>
      </c>
      <c r="Z62" s="7">
        <v>112.3</v>
      </c>
      <c r="AA62" s="7">
        <v>119.4</v>
      </c>
      <c r="AB62" s="7">
        <v>-7.1</v>
      </c>
      <c r="AC62" s="7">
        <v>19.2</v>
      </c>
      <c r="AD62" s="7">
        <v>2.14</v>
      </c>
      <c r="AE62" s="7">
        <v>16.100000000000001</v>
      </c>
      <c r="AF62" s="7">
        <v>2.2000000000000002</v>
      </c>
      <c r="AG62" s="7">
        <v>9.1</v>
      </c>
      <c r="AH62" s="7">
        <v>5.6</v>
      </c>
      <c r="AI62" s="7">
        <v>7.5</v>
      </c>
      <c r="AJ62" s="7">
        <v>53</v>
      </c>
      <c r="AK62" s="7">
        <v>55</v>
      </c>
      <c r="AL62" s="7">
        <v>26.6</v>
      </c>
      <c r="AM62" s="7">
        <v>101.56</v>
      </c>
      <c r="AN62" s="7">
        <v>9.6999999999999993</v>
      </c>
      <c r="AO62" s="7">
        <v>3874</v>
      </c>
    </row>
    <row r="63" spans="1:41">
      <c r="A63" s="6" t="s">
        <v>165</v>
      </c>
      <c r="B63" s="6" t="s">
        <v>82</v>
      </c>
      <c r="C63" s="41">
        <f t="shared" si="1"/>
        <v>0.56266977105161042</v>
      </c>
      <c r="D63" s="42">
        <f t="shared" si="0"/>
        <v>1.972972972972973</v>
      </c>
      <c r="E63" s="31">
        <v>1160</v>
      </c>
      <c r="F63" s="24">
        <v>405</v>
      </c>
      <c r="G63" s="24">
        <v>890</v>
      </c>
      <c r="H63" s="8">
        <v>45.4</v>
      </c>
      <c r="I63" s="9">
        <v>285</v>
      </c>
      <c r="J63" s="8">
        <v>30.9</v>
      </c>
      <c r="K63" s="8">
        <v>265</v>
      </c>
      <c r="L63" s="25">
        <v>320</v>
      </c>
      <c r="M63" s="8">
        <v>82.4</v>
      </c>
      <c r="N63" s="9">
        <v>35</v>
      </c>
      <c r="O63" s="9">
        <v>170</v>
      </c>
      <c r="P63" s="9">
        <v>205</v>
      </c>
      <c r="Q63" s="24">
        <v>365</v>
      </c>
      <c r="R63" s="24">
        <v>185</v>
      </c>
      <c r="S63" s="9">
        <v>60</v>
      </c>
      <c r="T63" s="9">
        <v>10</v>
      </c>
      <c r="U63" s="9">
        <v>115</v>
      </c>
      <c r="V63" s="8">
        <v>1985</v>
      </c>
      <c r="W63" s="8">
        <v>13</v>
      </c>
      <c r="X63" s="8">
        <v>1</v>
      </c>
      <c r="Y63" s="7">
        <v>4.5</v>
      </c>
      <c r="Z63" s="7">
        <v>116.4</v>
      </c>
      <c r="AA63" s="7">
        <v>109.6</v>
      </c>
      <c r="AB63" s="7">
        <v>6.8</v>
      </c>
      <c r="AC63" s="7">
        <v>35.5</v>
      </c>
      <c r="AD63" s="7">
        <v>1.97</v>
      </c>
      <c r="AE63" s="7">
        <v>23.1</v>
      </c>
      <c r="AF63" s="7">
        <v>2.1</v>
      </c>
      <c r="AG63" s="7">
        <v>10.1</v>
      </c>
      <c r="AH63" s="7">
        <v>6.2</v>
      </c>
      <c r="AI63" s="7">
        <v>11.8</v>
      </c>
      <c r="AJ63" s="7">
        <v>50.4</v>
      </c>
      <c r="AK63" s="7">
        <v>56.3</v>
      </c>
      <c r="AL63" s="7">
        <v>31.2</v>
      </c>
      <c r="AM63" s="7">
        <v>105.74</v>
      </c>
      <c r="AN63" s="7">
        <v>14.1</v>
      </c>
      <c r="AO63" s="7">
        <v>3346</v>
      </c>
    </row>
    <row r="64" spans="1:41">
      <c r="A64" s="6" t="s">
        <v>167</v>
      </c>
      <c r="B64" s="6" t="s">
        <v>84</v>
      </c>
      <c r="C64" s="41">
        <f t="shared" si="1"/>
        <v>0.58203768430356351</v>
      </c>
      <c r="D64" s="42">
        <f t="shared" si="0"/>
        <v>1</v>
      </c>
      <c r="E64" s="31">
        <v>1159</v>
      </c>
      <c r="F64" s="24">
        <v>389</v>
      </c>
      <c r="G64" s="24">
        <v>850</v>
      </c>
      <c r="H64" s="8">
        <v>45.8</v>
      </c>
      <c r="I64" s="9">
        <v>288</v>
      </c>
      <c r="J64" s="8">
        <v>34</v>
      </c>
      <c r="K64" s="8">
        <v>274</v>
      </c>
      <c r="L64" s="25">
        <v>331</v>
      </c>
      <c r="M64" s="8">
        <v>83.1</v>
      </c>
      <c r="N64" s="9">
        <v>86</v>
      </c>
      <c r="O64" s="9">
        <v>295</v>
      </c>
      <c r="P64" s="9">
        <v>382</v>
      </c>
      <c r="Q64" s="24">
        <v>137</v>
      </c>
      <c r="R64" s="24">
        <v>137</v>
      </c>
      <c r="S64" s="9">
        <v>50</v>
      </c>
      <c r="T64" s="9">
        <v>22</v>
      </c>
      <c r="U64" s="9">
        <v>166</v>
      </c>
      <c r="V64" s="8">
        <v>1901</v>
      </c>
      <c r="W64" s="8">
        <v>8</v>
      </c>
      <c r="X64" s="8">
        <v>0</v>
      </c>
      <c r="Y64" s="7">
        <v>1.3</v>
      </c>
      <c r="Z64" s="7">
        <v>113.8</v>
      </c>
      <c r="AA64" s="7">
        <v>112.2</v>
      </c>
      <c r="AB64" s="7">
        <v>1.6</v>
      </c>
      <c r="AC64" s="7">
        <v>9</v>
      </c>
      <c r="AD64" s="7">
        <v>1.01</v>
      </c>
      <c r="AE64" s="7">
        <v>10.7</v>
      </c>
      <c r="AF64" s="7">
        <v>4.0999999999999996</v>
      </c>
      <c r="AG64" s="7">
        <v>13.3</v>
      </c>
      <c r="AH64" s="7">
        <v>8.8000000000000007</v>
      </c>
      <c r="AI64" s="7">
        <v>10.6</v>
      </c>
      <c r="AJ64" s="7">
        <v>51.6</v>
      </c>
      <c r="AK64" s="7">
        <v>57.9</v>
      </c>
      <c r="AL64" s="7">
        <v>22.2</v>
      </c>
      <c r="AM64" s="7">
        <v>101.52</v>
      </c>
      <c r="AN64" s="7">
        <v>9.1999999999999993</v>
      </c>
      <c r="AO64" s="7">
        <v>4556</v>
      </c>
    </row>
    <row r="65" spans="1:41">
      <c r="A65" s="6" t="s">
        <v>169</v>
      </c>
      <c r="B65" s="6" t="s">
        <v>170</v>
      </c>
      <c r="C65" s="41">
        <f t="shared" si="1"/>
        <v>0.59139894680981342</v>
      </c>
      <c r="D65" s="42">
        <f t="shared" si="0"/>
        <v>1.6772151898734178</v>
      </c>
      <c r="E65" s="31">
        <v>1159</v>
      </c>
      <c r="F65" s="24">
        <v>416</v>
      </c>
      <c r="G65" s="24">
        <v>869</v>
      </c>
      <c r="H65" s="8">
        <v>48</v>
      </c>
      <c r="I65" s="9">
        <v>271</v>
      </c>
      <c r="J65" s="8">
        <v>40.6</v>
      </c>
      <c r="K65" s="8">
        <v>214</v>
      </c>
      <c r="L65" s="25">
        <v>252</v>
      </c>
      <c r="M65" s="8">
        <v>86.5</v>
      </c>
      <c r="N65" s="9">
        <v>63</v>
      </c>
      <c r="O65" s="9">
        <v>113</v>
      </c>
      <c r="P65" s="9">
        <v>170</v>
      </c>
      <c r="Q65" s="24">
        <v>265</v>
      </c>
      <c r="R65" s="24">
        <v>158</v>
      </c>
      <c r="S65" s="9">
        <v>44</v>
      </c>
      <c r="T65" s="9">
        <v>6</v>
      </c>
      <c r="U65" s="9">
        <v>145</v>
      </c>
      <c r="V65" s="8">
        <v>1758</v>
      </c>
      <c r="W65" s="8">
        <v>2</v>
      </c>
      <c r="X65" s="8">
        <v>0</v>
      </c>
      <c r="Y65" s="7">
        <v>-4.5</v>
      </c>
      <c r="Z65" s="7">
        <v>110.4</v>
      </c>
      <c r="AA65" s="7">
        <v>117.9</v>
      </c>
      <c r="AB65" s="7">
        <v>-7.5</v>
      </c>
      <c r="AC65" s="7">
        <v>24.6</v>
      </c>
      <c r="AD65" s="7">
        <v>1.65</v>
      </c>
      <c r="AE65" s="7">
        <v>18.899999999999999</v>
      </c>
      <c r="AF65" s="7">
        <v>3.3</v>
      </c>
      <c r="AG65" s="7">
        <v>6</v>
      </c>
      <c r="AH65" s="7">
        <v>4.7</v>
      </c>
      <c r="AI65" s="7">
        <v>11.5</v>
      </c>
      <c r="AJ65" s="7">
        <v>54.3</v>
      </c>
      <c r="AK65" s="7">
        <v>59.3</v>
      </c>
      <c r="AL65" s="7">
        <v>26.4</v>
      </c>
      <c r="AM65" s="7">
        <v>101.38</v>
      </c>
      <c r="AN65" s="7">
        <v>10.6</v>
      </c>
      <c r="AO65" s="7">
        <v>3709</v>
      </c>
    </row>
    <row r="66" spans="1:41">
      <c r="A66" s="6" t="s">
        <v>171</v>
      </c>
      <c r="B66" s="6" t="s">
        <v>52</v>
      </c>
      <c r="C66" s="41">
        <f t="shared" si="1"/>
        <v>0.63364055299539168</v>
      </c>
      <c r="D66" s="42">
        <f t="shared" ref="D66:D129" si="2">IFERROR(Q66/R66,"NA")</f>
        <v>3.5</v>
      </c>
      <c r="E66" s="31">
        <v>1144</v>
      </c>
      <c r="F66" s="24">
        <v>408</v>
      </c>
      <c r="G66" s="24">
        <v>864</v>
      </c>
      <c r="H66" s="8">
        <v>47.2</v>
      </c>
      <c r="I66" s="9">
        <v>624</v>
      </c>
      <c r="J66" s="8">
        <v>40.700000000000003</v>
      </c>
      <c r="K66" s="8">
        <v>72</v>
      </c>
      <c r="L66" s="25">
        <v>88</v>
      </c>
      <c r="M66" s="8">
        <v>84.5</v>
      </c>
      <c r="N66" s="9">
        <v>104</v>
      </c>
      <c r="O66" s="9">
        <v>208</v>
      </c>
      <c r="P66" s="9">
        <v>304</v>
      </c>
      <c r="Q66" s="24">
        <v>280</v>
      </c>
      <c r="R66" s="24">
        <v>80</v>
      </c>
      <c r="S66" s="9">
        <v>72</v>
      </c>
      <c r="T66" s="9">
        <v>16</v>
      </c>
      <c r="U66" s="9">
        <v>120</v>
      </c>
      <c r="V66" s="8">
        <v>2096</v>
      </c>
      <c r="W66" s="8">
        <v>5</v>
      </c>
      <c r="X66" s="8">
        <v>0</v>
      </c>
      <c r="Y66" s="7">
        <v>5.4</v>
      </c>
      <c r="Z66" s="7">
        <v>118.4</v>
      </c>
      <c r="AA66" s="7">
        <v>108.9</v>
      </c>
      <c r="AB66" s="7">
        <v>9.5</v>
      </c>
      <c r="AC66" s="7">
        <v>18.399999999999999</v>
      </c>
      <c r="AD66" s="7">
        <v>3.36</v>
      </c>
      <c r="AE66" s="7">
        <v>22.1</v>
      </c>
      <c r="AF66" s="7">
        <v>4.2</v>
      </c>
      <c r="AG66" s="7">
        <v>8.6999999999999993</v>
      </c>
      <c r="AH66" s="7">
        <v>6.5</v>
      </c>
      <c r="AI66" s="7">
        <v>6.6</v>
      </c>
      <c r="AJ66" s="7">
        <v>62</v>
      </c>
      <c r="AK66" s="7">
        <v>63.3</v>
      </c>
      <c r="AL66" s="7">
        <v>18.600000000000001</v>
      </c>
      <c r="AM66" s="7">
        <v>96.45</v>
      </c>
      <c r="AN66" s="7">
        <v>11.6</v>
      </c>
      <c r="AO66" s="7">
        <v>4561</v>
      </c>
    </row>
    <row r="67" spans="1:41">
      <c r="A67" s="6" t="s">
        <v>173</v>
      </c>
      <c r="B67" s="6" t="s">
        <v>46</v>
      </c>
      <c r="C67" s="41">
        <f t="shared" ref="C67:C130" si="3">IFERROR((E67/(2*(G67+0.44*L67))),"NA")</f>
        <v>0.57761145460462093</v>
      </c>
      <c r="D67" s="42">
        <f t="shared" si="2"/>
        <v>1.6428571428571428</v>
      </c>
      <c r="E67" s="31">
        <v>1136</v>
      </c>
      <c r="F67" s="24">
        <v>424</v>
      </c>
      <c r="G67" s="24">
        <v>920</v>
      </c>
      <c r="H67" s="8">
        <v>46.2</v>
      </c>
      <c r="I67" s="9">
        <v>464</v>
      </c>
      <c r="J67" s="8">
        <v>37.9</v>
      </c>
      <c r="K67" s="8">
        <v>112</v>
      </c>
      <c r="L67" s="25">
        <v>144</v>
      </c>
      <c r="M67" s="8">
        <v>77.599999999999994</v>
      </c>
      <c r="N67" s="9">
        <v>96</v>
      </c>
      <c r="O67" s="9">
        <v>392</v>
      </c>
      <c r="P67" s="9">
        <v>480</v>
      </c>
      <c r="Q67" s="24">
        <v>184</v>
      </c>
      <c r="R67" s="24">
        <v>112</v>
      </c>
      <c r="S67" s="9">
        <v>56</v>
      </c>
      <c r="T67" s="9">
        <v>72</v>
      </c>
      <c r="U67" s="9">
        <v>192</v>
      </c>
      <c r="V67" s="8">
        <v>2264</v>
      </c>
      <c r="W67" s="8">
        <v>10</v>
      </c>
      <c r="X67" s="8">
        <v>0</v>
      </c>
      <c r="Y67" s="7">
        <v>4.3</v>
      </c>
      <c r="Z67" s="7">
        <v>116.2</v>
      </c>
      <c r="AA67" s="7">
        <v>108.8</v>
      </c>
      <c r="AB67" s="7">
        <v>7.4</v>
      </c>
      <c r="AC67" s="7">
        <v>12.3</v>
      </c>
      <c r="AD67" s="7">
        <v>1.68</v>
      </c>
      <c r="AE67" s="7">
        <v>14.2</v>
      </c>
      <c r="AF67" s="7">
        <v>4.0999999999999996</v>
      </c>
      <c r="AG67" s="7">
        <v>17.100000000000001</v>
      </c>
      <c r="AH67" s="7">
        <v>10.6</v>
      </c>
      <c r="AI67" s="7">
        <v>8.5</v>
      </c>
      <c r="AJ67" s="7">
        <v>55.6</v>
      </c>
      <c r="AK67" s="7">
        <v>57.7</v>
      </c>
      <c r="AL67" s="7">
        <v>21</v>
      </c>
      <c r="AM67" s="7">
        <v>99.34</v>
      </c>
      <c r="AN67" s="7">
        <v>11</v>
      </c>
      <c r="AO67" s="7">
        <v>4554</v>
      </c>
    </row>
    <row r="68" spans="1:41">
      <c r="A68" s="6" t="s">
        <v>175</v>
      </c>
      <c r="B68" s="6" t="s">
        <v>170</v>
      </c>
      <c r="C68" s="41">
        <f t="shared" si="3"/>
        <v>0.53890037522015466</v>
      </c>
      <c r="D68" s="42">
        <f t="shared" si="2"/>
        <v>2.0718232044198897</v>
      </c>
      <c r="E68" s="31">
        <v>1126</v>
      </c>
      <c r="F68" s="24">
        <v>362</v>
      </c>
      <c r="G68" s="24">
        <v>918</v>
      </c>
      <c r="H68" s="8">
        <v>39.1</v>
      </c>
      <c r="I68" s="9">
        <v>509</v>
      </c>
      <c r="J68" s="8">
        <v>34.299999999999997</v>
      </c>
      <c r="K68" s="8">
        <v>235</v>
      </c>
      <c r="L68" s="25">
        <v>288</v>
      </c>
      <c r="M68" s="8">
        <v>81.8</v>
      </c>
      <c r="N68" s="9">
        <v>27</v>
      </c>
      <c r="O68" s="9">
        <v>228</v>
      </c>
      <c r="P68" s="9">
        <v>255</v>
      </c>
      <c r="Q68" s="24">
        <v>375</v>
      </c>
      <c r="R68" s="24">
        <v>181</v>
      </c>
      <c r="S68" s="9">
        <v>47</v>
      </c>
      <c r="T68" s="9">
        <v>7</v>
      </c>
      <c r="U68" s="9">
        <v>114</v>
      </c>
      <c r="V68" s="8">
        <v>1977</v>
      </c>
      <c r="W68" s="8">
        <v>4</v>
      </c>
      <c r="X68" s="8">
        <v>0</v>
      </c>
      <c r="Y68" s="7">
        <v>-7.6</v>
      </c>
      <c r="Z68" s="7">
        <v>110.1</v>
      </c>
      <c r="AA68" s="7">
        <v>122</v>
      </c>
      <c r="AB68" s="7">
        <v>-11.9</v>
      </c>
      <c r="AC68" s="7">
        <v>27.2</v>
      </c>
      <c r="AD68" s="7">
        <v>2.06</v>
      </c>
      <c r="AE68" s="7">
        <v>23.6</v>
      </c>
      <c r="AF68" s="7">
        <v>1.2</v>
      </c>
      <c r="AG68" s="7">
        <v>10.4</v>
      </c>
      <c r="AH68" s="7">
        <v>5.8</v>
      </c>
      <c r="AI68" s="7">
        <v>11.5</v>
      </c>
      <c r="AJ68" s="7">
        <v>48.5</v>
      </c>
      <c r="AK68" s="7">
        <v>53.9</v>
      </c>
      <c r="AL68" s="7">
        <v>23.7</v>
      </c>
      <c r="AM68" s="7">
        <v>101.25</v>
      </c>
      <c r="AN68" s="7">
        <v>9.3000000000000007</v>
      </c>
      <c r="AO68" s="7">
        <v>4454</v>
      </c>
    </row>
    <row r="69" spans="1:41">
      <c r="A69" s="6" t="s">
        <v>177</v>
      </c>
      <c r="B69" s="6" t="s">
        <v>164</v>
      </c>
      <c r="C69" s="41">
        <f t="shared" si="3"/>
        <v>0.59958178636964965</v>
      </c>
      <c r="D69" s="42">
        <f t="shared" si="2"/>
        <v>1.8415841584158417</v>
      </c>
      <c r="E69" s="31">
        <v>1124</v>
      </c>
      <c r="F69" s="24">
        <v>382</v>
      </c>
      <c r="G69" s="24">
        <v>837</v>
      </c>
      <c r="H69" s="8">
        <v>45.4</v>
      </c>
      <c r="I69" s="9">
        <v>440</v>
      </c>
      <c r="J69" s="8">
        <v>36.1</v>
      </c>
      <c r="K69" s="8">
        <v>201</v>
      </c>
      <c r="L69" s="25">
        <v>228</v>
      </c>
      <c r="M69" s="8">
        <v>88.7</v>
      </c>
      <c r="N69" s="9">
        <v>48</v>
      </c>
      <c r="O69" s="9">
        <v>223</v>
      </c>
      <c r="P69" s="9">
        <v>270</v>
      </c>
      <c r="Q69" s="24">
        <v>186</v>
      </c>
      <c r="R69" s="24">
        <v>101</v>
      </c>
      <c r="S69" s="9">
        <v>58</v>
      </c>
      <c r="T69" s="9">
        <v>37</v>
      </c>
      <c r="U69" s="9">
        <v>111</v>
      </c>
      <c r="V69" s="8">
        <v>1908</v>
      </c>
      <c r="W69" s="8">
        <v>2</v>
      </c>
      <c r="X69" s="8">
        <v>0</v>
      </c>
      <c r="Y69" s="7">
        <v>-7.2</v>
      </c>
      <c r="Z69" s="7">
        <v>109</v>
      </c>
      <c r="AA69" s="7">
        <v>118.7</v>
      </c>
      <c r="AB69" s="7">
        <v>-9.6999999999999993</v>
      </c>
      <c r="AC69" s="7">
        <v>15.7</v>
      </c>
      <c r="AD69" s="7">
        <v>1.83</v>
      </c>
      <c r="AE69" s="7">
        <v>15.4</v>
      </c>
      <c r="AF69" s="7">
        <v>2.4</v>
      </c>
      <c r="AG69" s="7">
        <v>11.7</v>
      </c>
      <c r="AH69" s="7">
        <v>6.9</v>
      </c>
      <c r="AI69" s="7">
        <v>8.4</v>
      </c>
      <c r="AJ69" s="7">
        <v>54.8</v>
      </c>
      <c r="AK69" s="7">
        <v>59.8</v>
      </c>
      <c r="AL69" s="7">
        <v>22.9</v>
      </c>
      <c r="AM69" s="7">
        <v>102.03</v>
      </c>
      <c r="AN69" s="7">
        <v>11</v>
      </c>
      <c r="AO69" s="7">
        <v>3941</v>
      </c>
    </row>
    <row r="70" spans="1:41">
      <c r="A70" s="6" t="s">
        <v>179</v>
      </c>
      <c r="B70" s="6" t="s">
        <v>84</v>
      </c>
      <c r="C70" s="41">
        <f t="shared" si="3"/>
        <v>0.61117641936607447</v>
      </c>
      <c r="D70" s="42">
        <f t="shared" si="2"/>
        <v>0.88524590163934425</v>
      </c>
      <c r="E70" s="31">
        <v>1123</v>
      </c>
      <c r="F70" s="24">
        <v>389</v>
      </c>
      <c r="G70" s="24">
        <v>814</v>
      </c>
      <c r="H70" s="8">
        <v>48.1</v>
      </c>
      <c r="I70" s="9">
        <v>396</v>
      </c>
      <c r="J70" s="8">
        <v>39.6</v>
      </c>
      <c r="K70" s="8">
        <v>187</v>
      </c>
      <c r="L70" s="25">
        <v>238</v>
      </c>
      <c r="M70" s="8">
        <v>77.3</v>
      </c>
      <c r="N70" s="9">
        <v>94</v>
      </c>
      <c r="O70" s="9">
        <v>382</v>
      </c>
      <c r="P70" s="9">
        <v>468</v>
      </c>
      <c r="Q70" s="24">
        <v>108</v>
      </c>
      <c r="R70" s="24">
        <v>122</v>
      </c>
      <c r="S70" s="9">
        <v>58</v>
      </c>
      <c r="T70" s="9">
        <v>144</v>
      </c>
      <c r="U70" s="9">
        <v>180</v>
      </c>
      <c r="V70" s="8">
        <v>2326</v>
      </c>
      <c r="W70" s="8">
        <v>13</v>
      </c>
      <c r="X70" s="8">
        <v>0</v>
      </c>
      <c r="Y70" s="7">
        <v>2.8</v>
      </c>
      <c r="Z70" s="7">
        <v>116.1</v>
      </c>
      <c r="AA70" s="7">
        <v>111.5</v>
      </c>
      <c r="AB70" s="7">
        <v>4.7</v>
      </c>
      <c r="AC70" s="7">
        <v>7.2</v>
      </c>
      <c r="AD70" s="7">
        <v>0.9</v>
      </c>
      <c r="AE70" s="7">
        <v>9.6999999999999993</v>
      </c>
      <c r="AF70" s="7">
        <v>4.3</v>
      </c>
      <c r="AG70" s="7">
        <v>16.899999999999999</v>
      </c>
      <c r="AH70" s="7">
        <v>10.9</v>
      </c>
      <c r="AI70" s="7">
        <v>10.7</v>
      </c>
      <c r="AJ70" s="7">
        <v>57.7</v>
      </c>
      <c r="AK70" s="7">
        <v>61.2</v>
      </c>
      <c r="AL70" s="7">
        <v>20.7</v>
      </c>
      <c r="AM70" s="7">
        <v>100.19</v>
      </c>
      <c r="AN70" s="7">
        <v>10.3</v>
      </c>
      <c r="AO70" s="7">
        <v>4533</v>
      </c>
    </row>
    <row r="71" spans="1:41">
      <c r="A71" s="6" t="s">
        <v>181</v>
      </c>
      <c r="B71" s="6" t="s">
        <v>66</v>
      </c>
      <c r="C71" s="41">
        <f t="shared" si="3"/>
        <v>0.5515866750868329</v>
      </c>
      <c r="D71" s="42">
        <f t="shared" si="2"/>
        <v>2.3333333333333335</v>
      </c>
      <c r="E71" s="31">
        <v>1118</v>
      </c>
      <c r="F71" s="24">
        <v>410</v>
      </c>
      <c r="G71" s="24">
        <v>936</v>
      </c>
      <c r="H71" s="8">
        <v>43.9</v>
      </c>
      <c r="I71" s="9">
        <v>429</v>
      </c>
      <c r="J71" s="8">
        <v>32.5</v>
      </c>
      <c r="K71" s="8">
        <v>156</v>
      </c>
      <c r="L71" s="25">
        <v>176</v>
      </c>
      <c r="M71" s="8">
        <v>86.5</v>
      </c>
      <c r="N71" s="9">
        <v>33</v>
      </c>
      <c r="O71" s="9">
        <v>215</v>
      </c>
      <c r="P71" s="9">
        <v>247</v>
      </c>
      <c r="Q71" s="24">
        <v>364</v>
      </c>
      <c r="R71" s="24">
        <v>156</v>
      </c>
      <c r="S71" s="9">
        <v>59</v>
      </c>
      <c r="T71" s="9">
        <v>39</v>
      </c>
      <c r="U71" s="9">
        <v>156</v>
      </c>
      <c r="V71" s="8">
        <v>2093</v>
      </c>
      <c r="W71" s="8">
        <v>4</v>
      </c>
      <c r="X71" s="8">
        <v>0</v>
      </c>
      <c r="Y71" s="7">
        <v>1.8</v>
      </c>
      <c r="Z71" s="7">
        <v>117</v>
      </c>
      <c r="AA71" s="7">
        <v>114.5</v>
      </c>
      <c r="AB71" s="7">
        <v>2.5</v>
      </c>
      <c r="AC71" s="7">
        <v>24.6</v>
      </c>
      <c r="AD71" s="7">
        <v>2.2799999999999998</v>
      </c>
      <c r="AE71" s="7">
        <v>23.6</v>
      </c>
      <c r="AF71" s="7">
        <v>1.4</v>
      </c>
      <c r="AG71" s="7">
        <v>10.4</v>
      </c>
      <c r="AH71" s="7">
        <v>5.9</v>
      </c>
      <c r="AI71" s="7">
        <v>10.4</v>
      </c>
      <c r="AJ71" s="7">
        <v>51.3</v>
      </c>
      <c r="AK71" s="7">
        <v>54.9</v>
      </c>
      <c r="AL71" s="7">
        <v>23.6</v>
      </c>
      <c r="AM71" s="7">
        <v>101.33</v>
      </c>
      <c r="AN71" s="7">
        <v>9.9</v>
      </c>
      <c r="AO71" s="7">
        <v>4339</v>
      </c>
    </row>
    <row r="72" spans="1:41">
      <c r="A72" s="6" t="s">
        <v>183</v>
      </c>
      <c r="B72" s="6" t="s">
        <v>94</v>
      </c>
      <c r="C72" s="41">
        <f t="shared" si="3"/>
        <v>0.59521274330252572</v>
      </c>
      <c r="D72" s="42">
        <f t="shared" si="2"/>
        <v>1.1564625850340136</v>
      </c>
      <c r="E72" s="31">
        <v>1118</v>
      </c>
      <c r="F72" s="24">
        <v>409</v>
      </c>
      <c r="G72" s="24">
        <v>856</v>
      </c>
      <c r="H72" s="8">
        <v>47.6</v>
      </c>
      <c r="I72" s="9">
        <v>405</v>
      </c>
      <c r="J72" s="8">
        <v>35.200000000000003</v>
      </c>
      <c r="K72" s="8">
        <v>156</v>
      </c>
      <c r="L72" s="25">
        <v>189</v>
      </c>
      <c r="M72" s="8">
        <v>83.6</v>
      </c>
      <c r="N72" s="9">
        <v>83</v>
      </c>
      <c r="O72" s="9">
        <v>423</v>
      </c>
      <c r="P72" s="9">
        <v>506</v>
      </c>
      <c r="Q72" s="24">
        <v>170</v>
      </c>
      <c r="R72" s="24">
        <v>147</v>
      </c>
      <c r="S72" s="9">
        <v>51</v>
      </c>
      <c r="T72" s="9">
        <v>175</v>
      </c>
      <c r="U72" s="9">
        <v>106</v>
      </c>
      <c r="V72" s="8">
        <v>2512</v>
      </c>
      <c r="W72" s="8">
        <v>28</v>
      </c>
      <c r="X72" s="8">
        <v>1</v>
      </c>
      <c r="Y72" s="7">
        <v>2.2000000000000002</v>
      </c>
      <c r="Z72" s="7">
        <v>112.5</v>
      </c>
      <c r="AA72" s="7">
        <v>110</v>
      </c>
      <c r="AB72" s="7">
        <v>2.5</v>
      </c>
      <c r="AC72" s="7">
        <v>18.399999999999999</v>
      </c>
      <c r="AD72" s="7">
        <v>1.1299999999999999</v>
      </c>
      <c r="AE72" s="7">
        <v>13.4</v>
      </c>
      <c r="AF72" s="7">
        <v>5.4</v>
      </c>
      <c r="AG72" s="7">
        <v>25.5</v>
      </c>
      <c r="AH72" s="7">
        <v>15.9</v>
      </c>
      <c r="AI72" s="7">
        <v>11.9</v>
      </c>
      <c r="AJ72" s="7">
        <v>55.9</v>
      </c>
      <c r="AK72" s="7">
        <v>59.4</v>
      </c>
      <c r="AL72" s="7">
        <v>30</v>
      </c>
      <c r="AM72" s="7">
        <v>101</v>
      </c>
      <c r="AN72" s="7">
        <v>16.8</v>
      </c>
      <c r="AO72" s="7">
        <v>3223</v>
      </c>
    </row>
    <row r="73" spans="1:41">
      <c r="A73" s="6" t="s">
        <v>185</v>
      </c>
      <c r="B73" s="6" t="s">
        <v>76</v>
      </c>
      <c r="C73" s="41">
        <f t="shared" si="3"/>
        <v>0.72565420315695628</v>
      </c>
      <c r="D73" s="42">
        <f t="shared" si="2"/>
        <v>1.5918367346938775</v>
      </c>
      <c r="E73" s="31">
        <v>1107</v>
      </c>
      <c r="F73" s="24">
        <v>451</v>
      </c>
      <c r="G73" s="24">
        <v>640</v>
      </c>
      <c r="H73" s="8">
        <v>70.599999999999994</v>
      </c>
      <c r="I73" s="9">
        <v>8</v>
      </c>
      <c r="J73" s="8">
        <v>0</v>
      </c>
      <c r="K73" s="8">
        <v>197</v>
      </c>
      <c r="L73" s="25">
        <v>279</v>
      </c>
      <c r="M73" s="8">
        <v>71.8</v>
      </c>
      <c r="N73" s="9">
        <v>213</v>
      </c>
      <c r="O73" s="9">
        <v>582</v>
      </c>
      <c r="P73" s="9">
        <v>795</v>
      </c>
      <c r="Q73" s="24">
        <v>156</v>
      </c>
      <c r="R73" s="24">
        <v>98</v>
      </c>
      <c r="S73" s="9">
        <v>74</v>
      </c>
      <c r="T73" s="9">
        <v>74</v>
      </c>
      <c r="U73" s="9">
        <v>123</v>
      </c>
      <c r="V73" s="8">
        <v>2649</v>
      </c>
      <c r="W73" s="8">
        <v>40</v>
      </c>
      <c r="X73" s="8">
        <v>0</v>
      </c>
      <c r="Y73" s="7">
        <v>6.3</v>
      </c>
      <c r="Z73" s="7">
        <v>121.9</v>
      </c>
      <c r="AA73" s="7">
        <v>111.3</v>
      </c>
      <c r="AB73" s="7">
        <v>10.5</v>
      </c>
      <c r="AC73" s="7">
        <v>9.1</v>
      </c>
      <c r="AD73" s="7">
        <v>1.63</v>
      </c>
      <c r="AE73" s="7">
        <v>15.5</v>
      </c>
      <c r="AF73" s="7">
        <v>9.5</v>
      </c>
      <c r="AG73" s="7">
        <v>23.8</v>
      </c>
      <c r="AH73" s="7">
        <v>16.899999999999999</v>
      </c>
      <c r="AI73" s="7">
        <v>9.5</v>
      </c>
      <c r="AJ73" s="7">
        <v>70.599999999999994</v>
      </c>
      <c r="AK73" s="7">
        <v>72.400000000000006</v>
      </c>
      <c r="AL73" s="7">
        <v>15.6</v>
      </c>
      <c r="AM73" s="7">
        <v>101.43</v>
      </c>
      <c r="AN73" s="7">
        <v>14.8</v>
      </c>
      <c r="AO73" s="7">
        <v>4853</v>
      </c>
    </row>
    <row r="74" spans="1:41">
      <c r="A74" s="6" t="s">
        <v>187</v>
      </c>
      <c r="B74" s="6" t="s">
        <v>116</v>
      </c>
      <c r="C74" s="41">
        <f t="shared" si="3"/>
        <v>0.59451418147070323</v>
      </c>
      <c r="D74" s="42">
        <f t="shared" si="2"/>
        <v>1.5734265734265733</v>
      </c>
      <c r="E74" s="31">
        <v>1095</v>
      </c>
      <c r="F74" s="24">
        <v>383</v>
      </c>
      <c r="G74" s="24">
        <v>825</v>
      </c>
      <c r="H74" s="8">
        <v>46.7</v>
      </c>
      <c r="I74" s="9">
        <v>420</v>
      </c>
      <c r="J74" s="8">
        <v>38.5</v>
      </c>
      <c r="K74" s="8">
        <v>165</v>
      </c>
      <c r="L74" s="25">
        <v>218</v>
      </c>
      <c r="M74" s="8">
        <v>75.7</v>
      </c>
      <c r="N74" s="9">
        <v>60</v>
      </c>
      <c r="O74" s="9">
        <v>263</v>
      </c>
      <c r="P74" s="9">
        <v>323</v>
      </c>
      <c r="Q74" s="24">
        <v>225</v>
      </c>
      <c r="R74" s="24">
        <v>143</v>
      </c>
      <c r="S74" s="9">
        <v>75</v>
      </c>
      <c r="T74" s="9">
        <v>23</v>
      </c>
      <c r="U74" s="9">
        <v>135</v>
      </c>
      <c r="V74" s="8">
        <v>1973</v>
      </c>
      <c r="W74" s="8">
        <v>4</v>
      </c>
      <c r="X74" s="8">
        <v>0</v>
      </c>
      <c r="Y74" s="7">
        <v>-3.5</v>
      </c>
      <c r="Z74" s="7">
        <v>111.9</v>
      </c>
      <c r="AA74" s="7">
        <v>118.1</v>
      </c>
      <c r="AB74" s="7">
        <v>-6.2</v>
      </c>
      <c r="AC74" s="7">
        <v>17.2</v>
      </c>
      <c r="AD74" s="7">
        <v>1.62</v>
      </c>
      <c r="AE74" s="7">
        <v>17.899999999999999</v>
      </c>
      <c r="AF74" s="7">
        <v>2.8</v>
      </c>
      <c r="AG74" s="7">
        <v>12.6</v>
      </c>
      <c r="AH74" s="7">
        <v>7.7</v>
      </c>
      <c r="AI74" s="7">
        <v>11</v>
      </c>
      <c r="AJ74" s="7">
        <v>56.5</v>
      </c>
      <c r="AK74" s="7">
        <v>59.5</v>
      </c>
      <c r="AL74" s="7">
        <v>21.8</v>
      </c>
      <c r="AM74" s="7">
        <v>100.7</v>
      </c>
      <c r="AN74" s="7">
        <v>10.5</v>
      </c>
      <c r="AO74" s="7">
        <v>4223</v>
      </c>
    </row>
    <row r="75" spans="1:41">
      <c r="A75" s="6" t="s">
        <v>189</v>
      </c>
      <c r="B75" s="6" t="s">
        <v>76</v>
      </c>
      <c r="C75" s="41">
        <f t="shared" si="3"/>
        <v>0.62197018201774446</v>
      </c>
      <c r="D75" s="42">
        <f t="shared" si="2"/>
        <v>1.0843373493975903</v>
      </c>
      <c r="E75" s="31">
        <v>1088</v>
      </c>
      <c r="F75" s="24">
        <v>358</v>
      </c>
      <c r="G75" s="24">
        <v>762</v>
      </c>
      <c r="H75" s="8">
        <v>47</v>
      </c>
      <c r="I75" s="9">
        <v>390</v>
      </c>
      <c r="J75" s="8">
        <v>40.5</v>
      </c>
      <c r="K75" s="8">
        <v>218</v>
      </c>
      <c r="L75" s="25">
        <v>256</v>
      </c>
      <c r="M75" s="8">
        <v>84.6</v>
      </c>
      <c r="N75" s="9">
        <v>45</v>
      </c>
      <c r="O75" s="9">
        <v>211</v>
      </c>
      <c r="P75" s="9">
        <v>256</v>
      </c>
      <c r="Q75" s="24">
        <v>90</v>
      </c>
      <c r="R75" s="24">
        <v>83</v>
      </c>
      <c r="S75" s="9">
        <v>51</v>
      </c>
      <c r="T75" s="9">
        <v>13</v>
      </c>
      <c r="U75" s="9">
        <v>154</v>
      </c>
      <c r="V75" s="8">
        <v>1645</v>
      </c>
      <c r="W75" s="8">
        <v>2</v>
      </c>
      <c r="X75" s="8">
        <v>0</v>
      </c>
      <c r="Y75" s="7">
        <v>1.4</v>
      </c>
      <c r="Z75" s="7">
        <v>115.9</v>
      </c>
      <c r="AA75" s="7">
        <v>113.9</v>
      </c>
      <c r="AB75" s="7">
        <v>2</v>
      </c>
      <c r="AC75" s="7">
        <v>7.7</v>
      </c>
      <c r="AD75" s="7">
        <v>1.1200000000000001</v>
      </c>
      <c r="AE75" s="7">
        <v>8.6999999999999993</v>
      </c>
      <c r="AF75" s="7">
        <v>2.4</v>
      </c>
      <c r="AG75" s="7">
        <v>11.7</v>
      </c>
      <c r="AH75" s="7">
        <v>7.1</v>
      </c>
      <c r="AI75" s="7">
        <v>7.8</v>
      </c>
      <c r="AJ75" s="7">
        <v>57.3</v>
      </c>
      <c r="AK75" s="7">
        <v>62.3</v>
      </c>
      <c r="AL75" s="7">
        <v>22.1</v>
      </c>
      <c r="AM75" s="7">
        <v>104.77</v>
      </c>
      <c r="AN75" s="7">
        <v>10.1</v>
      </c>
      <c r="AO75" s="7">
        <v>3803</v>
      </c>
    </row>
    <row r="76" spans="1:41">
      <c r="A76" s="6" t="s">
        <v>191</v>
      </c>
      <c r="B76" s="6" t="s">
        <v>56</v>
      </c>
      <c r="C76" s="41">
        <f t="shared" si="3"/>
        <v>0.56632267807701986</v>
      </c>
      <c r="D76" s="42">
        <f t="shared" si="2"/>
        <v>1.5294117647058822</v>
      </c>
      <c r="E76" s="31">
        <v>1080</v>
      </c>
      <c r="F76" s="24">
        <v>378</v>
      </c>
      <c r="G76" s="24">
        <v>840</v>
      </c>
      <c r="H76" s="8">
        <v>44.8</v>
      </c>
      <c r="I76" s="9">
        <v>348</v>
      </c>
      <c r="J76" s="8">
        <v>37.4</v>
      </c>
      <c r="K76" s="8">
        <v>198</v>
      </c>
      <c r="L76" s="25">
        <v>258</v>
      </c>
      <c r="M76" s="8">
        <v>76.3</v>
      </c>
      <c r="N76" s="9">
        <v>90</v>
      </c>
      <c r="O76" s="9">
        <v>180</v>
      </c>
      <c r="P76" s="9">
        <v>270</v>
      </c>
      <c r="Q76" s="24">
        <v>156</v>
      </c>
      <c r="R76" s="24">
        <v>102</v>
      </c>
      <c r="S76" s="9">
        <v>60</v>
      </c>
      <c r="T76" s="9">
        <v>48</v>
      </c>
      <c r="U76" s="9">
        <v>102</v>
      </c>
      <c r="V76" s="8">
        <v>1866</v>
      </c>
      <c r="W76" s="8">
        <v>3</v>
      </c>
      <c r="X76" s="8">
        <v>0</v>
      </c>
      <c r="Y76" s="7">
        <v>-1.7</v>
      </c>
      <c r="Z76" s="7">
        <v>109.4</v>
      </c>
      <c r="AA76" s="7">
        <v>111.7</v>
      </c>
      <c r="AB76" s="7">
        <v>-2.2999999999999998</v>
      </c>
      <c r="AC76" s="7">
        <v>13.7</v>
      </c>
      <c r="AD76" s="7">
        <v>1.6</v>
      </c>
      <c r="AE76" s="7">
        <v>13.1</v>
      </c>
      <c r="AF76" s="7">
        <v>4.5</v>
      </c>
      <c r="AG76" s="7">
        <v>9.5</v>
      </c>
      <c r="AH76" s="7">
        <v>6.9</v>
      </c>
      <c r="AI76" s="7">
        <v>8.1999999999999993</v>
      </c>
      <c r="AJ76" s="7">
        <v>52.6</v>
      </c>
      <c r="AK76" s="7">
        <v>56.6</v>
      </c>
      <c r="AL76" s="7">
        <v>23.8</v>
      </c>
      <c r="AM76" s="7">
        <v>99.96</v>
      </c>
      <c r="AN76" s="7">
        <v>10.5</v>
      </c>
      <c r="AO76" s="7">
        <v>3831</v>
      </c>
    </row>
    <row r="77" spans="1:41">
      <c r="A77" s="6" t="s">
        <v>193</v>
      </c>
      <c r="B77" s="6" t="s">
        <v>58</v>
      </c>
      <c r="C77" s="41">
        <f t="shared" si="3"/>
        <v>0.5467825519239401</v>
      </c>
      <c r="D77" s="42">
        <f t="shared" si="2"/>
        <v>2.1973684210526314</v>
      </c>
      <c r="E77" s="31">
        <v>1072</v>
      </c>
      <c r="F77" s="24">
        <v>456</v>
      </c>
      <c r="G77" s="24">
        <v>920</v>
      </c>
      <c r="H77" s="8">
        <v>49.3</v>
      </c>
      <c r="I77" s="9">
        <v>236</v>
      </c>
      <c r="J77" s="8">
        <v>34</v>
      </c>
      <c r="K77" s="8">
        <v>84</v>
      </c>
      <c r="L77" s="25">
        <v>137</v>
      </c>
      <c r="M77" s="8">
        <v>59.3</v>
      </c>
      <c r="N77" s="9">
        <v>122</v>
      </c>
      <c r="O77" s="9">
        <v>327</v>
      </c>
      <c r="P77" s="9">
        <v>448</v>
      </c>
      <c r="Q77" s="24">
        <v>334</v>
      </c>
      <c r="R77" s="24">
        <v>152</v>
      </c>
      <c r="S77" s="9">
        <v>228</v>
      </c>
      <c r="T77" s="9">
        <v>53</v>
      </c>
      <c r="U77" s="9">
        <v>175</v>
      </c>
      <c r="V77" s="8">
        <v>2812</v>
      </c>
      <c r="W77" s="8">
        <v>9</v>
      </c>
      <c r="X77" s="8">
        <v>0</v>
      </c>
      <c r="Y77" s="7">
        <v>-0.9</v>
      </c>
      <c r="Z77" s="7">
        <v>113.3</v>
      </c>
      <c r="AA77" s="7">
        <v>114.2</v>
      </c>
      <c r="AB77" s="7">
        <v>-0.9</v>
      </c>
      <c r="AC77" s="7">
        <v>17.399999999999999</v>
      </c>
      <c r="AD77" s="7">
        <v>2.15</v>
      </c>
      <c r="AE77" s="7">
        <v>22.6</v>
      </c>
      <c r="AF77" s="7">
        <v>4.5999999999999996</v>
      </c>
      <c r="AG77" s="7">
        <v>12.7</v>
      </c>
      <c r="AH77" s="7">
        <v>8.5</v>
      </c>
      <c r="AI77" s="7">
        <v>10.5</v>
      </c>
      <c r="AJ77" s="7">
        <v>53.6</v>
      </c>
      <c r="AK77" s="7">
        <v>54.5</v>
      </c>
      <c r="AL77" s="7">
        <v>17.8</v>
      </c>
      <c r="AM77" s="7">
        <v>104.17</v>
      </c>
      <c r="AN77" s="7">
        <v>9.9</v>
      </c>
      <c r="AO77" s="7">
        <v>5574</v>
      </c>
    </row>
    <row r="78" spans="1:41">
      <c r="A78" s="6" t="s">
        <v>195</v>
      </c>
      <c r="B78" s="6" t="s">
        <v>196</v>
      </c>
      <c r="C78" s="41">
        <f t="shared" si="3"/>
        <v>0.63455983330965571</v>
      </c>
      <c r="D78" s="42">
        <f t="shared" si="2"/>
        <v>2</v>
      </c>
      <c r="E78" s="31">
        <v>1072</v>
      </c>
      <c r="F78" s="24">
        <v>353</v>
      </c>
      <c r="G78" s="24">
        <v>747</v>
      </c>
      <c r="H78" s="8">
        <v>47.5</v>
      </c>
      <c r="I78" s="9">
        <v>410</v>
      </c>
      <c r="J78" s="8">
        <v>39</v>
      </c>
      <c r="K78" s="8">
        <v>200</v>
      </c>
      <c r="L78" s="25">
        <v>222</v>
      </c>
      <c r="M78" s="8">
        <v>89.3</v>
      </c>
      <c r="N78" s="9">
        <v>51</v>
      </c>
      <c r="O78" s="9">
        <v>194</v>
      </c>
      <c r="P78" s="9">
        <v>245</v>
      </c>
      <c r="Q78" s="24">
        <v>194</v>
      </c>
      <c r="R78" s="24">
        <v>97</v>
      </c>
      <c r="S78" s="9">
        <v>51</v>
      </c>
      <c r="T78" s="9">
        <v>23</v>
      </c>
      <c r="U78" s="9">
        <v>103</v>
      </c>
      <c r="V78" s="8">
        <v>1790</v>
      </c>
      <c r="W78" s="8">
        <v>2</v>
      </c>
      <c r="X78" s="8">
        <v>0</v>
      </c>
      <c r="Y78" s="7">
        <v>-3.5</v>
      </c>
      <c r="Z78" s="7">
        <v>110.9</v>
      </c>
      <c r="AA78" s="7">
        <v>116.7</v>
      </c>
      <c r="AB78" s="7">
        <v>-5.8</v>
      </c>
      <c r="AC78" s="7">
        <v>17.899999999999999</v>
      </c>
      <c r="AD78" s="7">
        <v>1.96</v>
      </c>
      <c r="AE78" s="7">
        <v>17.2</v>
      </c>
      <c r="AF78" s="7">
        <v>3</v>
      </c>
      <c r="AG78" s="7">
        <v>11.3</v>
      </c>
      <c r="AH78" s="7">
        <v>7</v>
      </c>
      <c r="AI78" s="7">
        <v>8.8000000000000007</v>
      </c>
      <c r="AJ78" s="7">
        <v>58.2</v>
      </c>
      <c r="AK78" s="7">
        <v>63.2</v>
      </c>
      <c r="AL78" s="7">
        <v>22.4</v>
      </c>
      <c r="AM78" s="7">
        <v>97.41</v>
      </c>
      <c r="AN78" s="7">
        <v>12.4</v>
      </c>
      <c r="AO78" s="7">
        <v>3657</v>
      </c>
    </row>
    <row r="79" spans="1:41">
      <c r="A79" s="6" t="s">
        <v>197</v>
      </c>
      <c r="B79" s="6" t="s">
        <v>68</v>
      </c>
      <c r="C79" s="41">
        <f t="shared" si="3"/>
        <v>0.55508564178473252</v>
      </c>
      <c r="D79" s="42">
        <f t="shared" si="2"/>
        <v>1.7066666666666668</v>
      </c>
      <c r="E79" s="31">
        <v>1050</v>
      </c>
      <c r="F79" s="24">
        <v>383</v>
      </c>
      <c r="G79" s="24">
        <v>893</v>
      </c>
      <c r="H79" s="8">
        <v>42.9</v>
      </c>
      <c r="I79" s="9">
        <v>473</v>
      </c>
      <c r="J79" s="8">
        <v>39.700000000000003</v>
      </c>
      <c r="K79" s="8">
        <v>98</v>
      </c>
      <c r="L79" s="25">
        <v>120</v>
      </c>
      <c r="M79" s="8">
        <v>81.8</v>
      </c>
      <c r="N79" s="9">
        <v>75</v>
      </c>
      <c r="O79" s="9">
        <v>203</v>
      </c>
      <c r="P79" s="9">
        <v>278</v>
      </c>
      <c r="Q79" s="24">
        <v>128</v>
      </c>
      <c r="R79" s="24">
        <v>75</v>
      </c>
      <c r="S79" s="9">
        <v>60</v>
      </c>
      <c r="T79" s="9">
        <v>15</v>
      </c>
      <c r="U79" s="9">
        <v>240</v>
      </c>
      <c r="V79" s="8">
        <v>1725</v>
      </c>
      <c r="W79" s="8">
        <v>0</v>
      </c>
      <c r="X79" s="8">
        <v>0</v>
      </c>
      <c r="Y79" s="7">
        <v>2.8</v>
      </c>
      <c r="Z79" s="7">
        <v>113.5</v>
      </c>
      <c r="AA79" s="7">
        <v>108.8</v>
      </c>
      <c r="AB79" s="7">
        <v>4.7</v>
      </c>
      <c r="AC79" s="7">
        <v>7.6</v>
      </c>
      <c r="AD79" s="7">
        <v>1.68</v>
      </c>
      <c r="AE79" s="7">
        <v>11.1</v>
      </c>
      <c r="AF79" s="7">
        <v>2.8</v>
      </c>
      <c r="AG79" s="7">
        <v>8.1</v>
      </c>
      <c r="AH79" s="7">
        <v>5.4</v>
      </c>
      <c r="AI79" s="7">
        <v>6.6</v>
      </c>
      <c r="AJ79" s="7">
        <v>53.3</v>
      </c>
      <c r="AK79" s="7">
        <v>55.5</v>
      </c>
      <c r="AL79" s="7">
        <v>17.600000000000001</v>
      </c>
      <c r="AM79" s="7">
        <v>98.94</v>
      </c>
      <c r="AN79" s="7">
        <v>6.7</v>
      </c>
      <c r="AO79" s="7">
        <v>4913</v>
      </c>
    </row>
    <row r="80" spans="1:41">
      <c r="A80" s="6" t="s">
        <v>199</v>
      </c>
      <c r="B80" s="6" t="s">
        <v>64</v>
      </c>
      <c r="C80" s="41">
        <f t="shared" si="3"/>
        <v>0.60764694957749099</v>
      </c>
      <c r="D80" s="42">
        <f t="shared" si="2"/>
        <v>2.8024691358024691</v>
      </c>
      <c r="E80" s="31">
        <v>1047</v>
      </c>
      <c r="F80" s="24">
        <v>400</v>
      </c>
      <c r="G80" s="24">
        <v>770</v>
      </c>
      <c r="H80" s="8">
        <v>52.5</v>
      </c>
      <c r="I80" s="9">
        <v>254</v>
      </c>
      <c r="J80" s="8">
        <v>33.299999999999997</v>
      </c>
      <c r="K80" s="8">
        <v>162</v>
      </c>
      <c r="L80" s="25">
        <v>208</v>
      </c>
      <c r="M80" s="8">
        <v>77.599999999999994</v>
      </c>
      <c r="N80" s="9">
        <v>162</v>
      </c>
      <c r="O80" s="9">
        <v>578</v>
      </c>
      <c r="P80" s="9">
        <v>739</v>
      </c>
      <c r="Q80" s="24">
        <v>454</v>
      </c>
      <c r="R80" s="24">
        <v>162</v>
      </c>
      <c r="S80" s="9">
        <v>116</v>
      </c>
      <c r="T80" s="9">
        <v>31</v>
      </c>
      <c r="U80" s="9">
        <v>200</v>
      </c>
      <c r="V80" s="8">
        <v>2895</v>
      </c>
      <c r="W80" s="8">
        <v>34</v>
      </c>
      <c r="X80" s="8">
        <v>9</v>
      </c>
      <c r="Y80" s="7">
        <v>2.6</v>
      </c>
      <c r="Z80" s="7">
        <v>117.9</v>
      </c>
      <c r="AA80" s="7">
        <v>114.3</v>
      </c>
      <c r="AB80" s="7">
        <v>3.6</v>
      </c>
      <c r="AC80" s="7">
        <v>20.6</v>
      </c>
      <c r="AD80" s="7">
        <v>2.87</v>
      </c>
      <c r="AE80" s="7">
        <v>30.8</v>
      </c>
      <c r="AF80" s="7">
        <v>5.7</v>
      </c>
      <c r="AG80" s="7">
        <v>20.3</v>
      </c>
      <c r="AH80" s="7">
        <v>13</v>
      </c>
      <c r="AI80" s="7">
        <v>10.8</v>
      </c>
      <c r="AJ80" s="7">
        <v>57.9</v>
      </c>
      <c r="AK80" s="7">
        <v>61.1</v>
      </c>
      <c r="AL80" s="7">
        <v>15.1</v>
      </c>
      <c r="AM80" s="7">
        <v>97.79</v>
      </c>
      <c r="AN80" s="7">
        <v>11.9</v>
      </c>
      <c r="AO80" s="7">
        <v>5898</v>
      </c>
    </row>
    <row r="81" spans="1:41">
      <c r="A81" s="6" t="s">
        <v>201</v>
      </c>
      <c r="B81" s="6" t="s">
        <v>94</v>
      </c>
      <c r="C81" s="41">
        <f t="shared" si="3"/>
        <v>0.55262377076975244</v>
      </c>
      <c r="D81" s="42">
        <f t="shared" si="2"/>
        <v>2.0666666666666669</v>
      </c>
      <c r="E81" s="31">
        <v>1043</v>
      </c>
      <c r="F81" s="24">
        <v>397</v>
      </c>
      <c r="G81" s="24">
        <v>890</v>
      </c>
      <c r="H81" s="8">
        <v>44.3</v>
      </c>
      <c r="I81" s="9">
        <v>429</v>
      </c>
      <c r="J81" s="8">
        <v>36.799999999999997</v>
      </c>
      <c r="K81" s="8">
        <v>96</v>
      </c>
      <c r="L81" s="25">
        <v>122</v>
      </c>
      <c r="M81" s="8">
        <v>79.2</v>
      </c>
      <c r="N81" s="9">
        <v>32</v>
      </c>
      <c r="O81" s="9">
        <v>224</v>
      </c>
      <c r="P81" s="9">
        <v>256</v>
      </c>
      <c r="Q81" s="24">
        <v>186</v>
      </c>
      <c r="R81" s="24">
        <v>90</v>
      </c>
      <c r="S81" s="9">
        <v>83</v>
      </c>
      <c r="T81" s="9">
        <v>32</v>
      </c>
      <c r="U81" s="9">
        <v>109</v>
      </c>
      <c r="V81" s="8">
        <v>1882</v>
      </c>
      <c r="W81" s="8">
        <v>2</v>
      </c>
      <c r="X81" s="8">
        <v>0</v>
      </c>
      <c r="Y81" s="7">
        <v>-4.0999999999999996</v>
      </c>
      <c r="Z81" s="7">
        <v>111.9</v>
      </c>
      <c r="AA81" s="7">
        <v>118.1</v>
      </c>
      <c r="AB81" s="7">
        <v>-6.2</v>
      </c>
      <c r="AC81" s="7">
        <v>13.9</v>
      </c>
      <c r="AD81" s="7">
        <v>2.08</v>
      </c>
      <c r="AE81" s="7">
        <v>15.2</v>
      </c>
      <c r="AF81" s="7">
        <v>1.6</v>
      </c>
      <c r="AG81" s="7">
        <v>10.7</v>
      </c>
      <c r="AH81" s="7">
        <v>6.2</v>
      </c>
      <c r="AI81" s="7">
        <v>7.3</v>
      </c>
      <c r="AJ81" s="7">
        <v>53.2</v>
      </c>
      <c r="AK81" s="7">
        <v>55.3</v>
      </c>
      <c r="AL81" s="7">
        <v>21.7</v>
      </c>
      <c r="AM81" s="7">
        <v>100.8</v>
      </c>
      <c r="AN81" s="7">
        <v>9.1999999999999993</v>
      </c>
      <c r="AO81" s="7">
        <v>4163</v>
      </c>
    </row>
    <row r="82" spans="1:41">
      <c r="A82" s="6" t="s">
        <v>203</v>
      </c>
      <c r="B82" s="6" t="s">
        <v>50</v>
      </c>
      <c r="C82" s="41">
        <f t="shared" si="3"/>
        <v>0.62212863705972432</v>
      </c>
      <c r="D82" s="42">
        <f t="shared" si="2"/>
        <v>1.6363636363636365</v>
      </c>
      <c r="E82" s="31">
        <v>1040</v>
      </c>
      <c r="F82" s="24">
        <v>392</v>
      </c>
      <c r="G82" s="24">
        <v>776</v>
      </c>
      <c r="H82" s="8">
        <v>50.9</v>
      </c>
      <c r="I82" s="9">
        <v>376</v>
      </c>
      <c r="J82" s="8">
        <v>37.299999999999997</v>
      </c>
      <c r="K82" s="8">
        <v>112</v>
      </c>
      <c r="L82" s="25">
        <v>136</v>
      </c>
      <c r="M82" s="8">
        <v>82.6</v>
      </c>
      <c r="N82" s="9">
        <v>112</v>
      </c>
      <c r="O82" s="9">
        <v>288</v>
      </c>
      <c r="P82" s="9">
        <v>400</v>
      </c>
      <c r="Q82" s="24">
        <v>144</v>
      </c>
      <c r="R82" s="24">
        <v>88</v>
      </c>
      <c r="S82" s="9">
        <v>48</v>
      </c>
      <c r="T82" s="9">
        <v>152</v>
      </c>
      <c r="U82" s="9">
        <v>168</v>
      </c>
      <c r="V82" s="8">
        <v>2248</v>
      </c>
      <c r="W82" s="8">
        <v>4</v>
      </c>
      <c r="X82" s="8">
        <v>0</v>
      </c>
      <c r="Y82" s="7">
        <v>1.7</v>
      </c>
      <c r="Z82" s="7">
        <v>114.8</v>
      </c>
      <c r="AA82" s="7">
        <v>112.7</v>
      </c>
      <c r="AB82" s="7">
        <v>2.2000000000000002</v>
      </c>
      <c r="AC82" s="7">
        <v>7.8</v>
      </c>
      <c r="AD82" s="7">
        <v>1.7</v>
      </c>
      <c r="AE82" s="7">
        <v>13.5</v>
      </c>
      <c r="AF82" s="7">
        <v>4.5999999999999996</v>
      </c>
      <c r="AG82" s="7">
        <v>10.7</v>
      </c>
      <c r="AH82" s="7">
        <v>7.8</v>
      </c>
      <c r="AI82" s="7">
        <v>7.9</v>
      </c>
      <c r="AJ82" s="7">
        <v>59.9</v>
      </c>
      <c r="AK82" s="7">
        <v>62.4</v>
      </c>
      <c r="AL82" s="7">
        <v>15.7</v>
      </c>
      <c r="AM82" s="7">
        <v>100.24</v>
      </c>
      <c r="AN82" s="7">
        <v>8.6999999999999993</v>
      </c>
      <c r="AO82" s="7">
        <v>5325</v>
      </c>
    </row>
    <row r="83" spans="1:41">
      <c r="A83" s="6" t="s">
        <v>205</v>
      </c>
      <c r="B83" s="6" t="s">
        <v>88</v>
      </c>
      <c r="C83" s="41">
        <f t="shared" si="3"/>
        <v>0.56995627732667087</v>
      </c>
      <c r="D83" s="42">
        <f t="shared" si="2"/>
        <v>2.4827586206896552</v>
      </c>
      <c r="E83" s="31">
        <v>1022</v>
      </c>
      <c r="F83" s="24">
        <v>371</v>
      </c>
      <c r="G83" s="24">
        <v>798</v>
      </c>
      <c r="H83" s="8">
        <v>46.5</v>
      </c>
      <c r="I83" s="9">
        <v>280</v>
      </c>
      <c r="J83" s="8">
        <v>37.799999999999997</v>
      </c>
      <c r="K83" s="8">
        <v>175</v>
      </c>
      <c r="L83" s="25">
        <v>224</v>
      </c>
      <c r="M83" s="8">
        <v>78.099999999999994</v>
      </c>
      <c r="N83" s="9">
        <v>126</v>
      </c>
      <c r="O83" s="9">
        <v>441</v>
      </c>
      <c r="P83" s="9">
        <v>567</v>
      </c>
      <c r="Q83" s="24">
        <v>504</v>
      </c>
      <c r="R83" s="24">
        <v>203</v>
      </c>
      <c r="S83" s="9">
        <v>84</v>
      </c>
      <c r="T83" s="9">
        <v>42</v>
      </c>
      <c r="U83" s="9">
        <v>119</v>
      </c>
      <c r="V83" s="8">
        <v>2639</v>
      </c>
      <c r="W83" s="8">
        <v>30</v>
      </c>
      <c r="X83" s="8">
        <v>7</v>
      </c>
      <c r="Y83" s="7">
        <v>-1</v>
      </c>
      <c r="Z83" s="7">
        <v>113.1</v>
      </c>
      <c r="AA83" s="7">
        <v>114.4</v>
      </c>
      <c r="AB83" s="7">
        <v>-1.4</v>
      </c>
      <c r="AC83" s="7">
        <v>32.200000000000003</v>
      </c>
      <c r="AD83" s="7">
        <v>2.4900000000000002</v>
      </c>
      <c r="AE83" s="7">
        <v>31.4</v>
      </c>
      <c r="AF83" s="7">
        <v>5.9</v>
      </c>
      <c r="AG83" s="7">
        <v>19.2</v>
      </c>
      <c r="AH83" s="7">
        <v>12.7</v>
      </c>
      <c r="AI83" s="7">
        <v>12.6</v>
      </c>
      <c r="AJ83" s="7">
        <v>53.1</v>
      </c>
      <c r="AK83" s="7">
        <v>57</v>
      </c>
      <c r="AL83" s="7">
        <v>21.4</v>
      </c>
      <c r="AM83" s="7">
        <v>104.47</v>
      </c>
      <c r="AN83" s="7">
        <v>13</v>
      </c>
      <c r="AO83" s="7">
        <v>4605</v>
      </c>
    </row>
    <row r="84" spans="1:41">
      <c r="A84" s="6" t="s">
        <v>207</v>
      </c>
      <c r="B84" s="6" t="s">
        <v>94</v>
      </c>
      <c r="C84" s="41">
        <f t="shared" si="3"/>
        <v>0.65717486452688612</v>
      </c>
      <c r="D84" s="42">
        <f t="shared" si="2"/>
        <v>2.8367346938775508</v>
      </c>
      <c r="E84" s="31">
        <v>1009</v>
      </c>
      <c r="F84" s="24">
        <v>344</v>
      </c>
      <c r="G84" s="24">
        <v>681</v>
      </c>
      <c r="H84" s="8">
        <v>50.8</v>
      </c>
      <c r="I84" s="9">
        <v>361</v>
      </c>
      <c r="J84" s="8">
        <v>43.3</v>
      </c>
      <c r="K84" s="8">
        <v>164</v>
      </c>
      <c r="L84" s="25">
        <v>197</v>
      </c>
      <c r="M84" s="8">
        <v>80.900000000000006</v>
      </c>
      <c r="N84" s="9">
        <v>98</v>
      </c>
      <c r="O84" s="9">
        <v>213</v>
      </c>
      <c r="P84" s="9">
        <v>312</v>
      </c>
      <c r="Q84" s="24">
        <v>139</v>
      </c>
      <c r="R84" s="24">
        <v>49</v>
      </c>
      <c r="S84" s="9">
        <v>41</v>
      </c>
      <c r="T84" s="9">
        <v>16</v>
      </c>
      <c r="U84" s="9">
        <v>74</v>
      </c>
      <c r="V84" s="8">
        <v>1697</v>
      </c>
      <c r="W84" s="8">
        <v>1</v>
      </c>
      <c r="X84" s="8">
        <v>0</v>
      </c>
      <c r="Y84" s="7">
        <v>-0.3</v>
      </c>
      <c r="Z84" s="7">
        <v>114.5</v>
      </c>
      <c r="AA84" s="7">
        <v>115.6</v>
      </c>
      <c r="AB84" s="7">
        <v>-1.2</v>
      </c>
      <c r="AC84" s="7">
        <v>8.5</v>
      </c>
      <c r="AD84" s="7">
        <v>2.72</v>
      </c>
      <c r="AE84" s="7">
        <v>14.2</v>
      </c>
      <c r="AF84" s="7">
        <v>4.2</v>
      </c>
      <c r="AG84" s="7">
        <v>9.1</v>
      </c>
      <c r="AH84" s="7">
        <v>6.7</v>
      </c>
      <c r="AI84" s="7">
        <v>5.2</v>
      </c>
      <c r="AJ84" s="7">
        <v>62.2</v>
      </c>
      <c r="AK84" s="7">
        <v>65.599999999999994</v>
      </c>
      <c r="AL84" s="7">
        <v>15.7</v>
      </c>
      <c r="AM84" s="7">
        <v>100.08</v>
      </c>
      <c r="AN84" s="7">
        <v>9.1999999999999993</v>
      </c>
      <c r="AO84" s="7">
        <v>4662</v>
      </c>
    </row>
    <row r="85" spans="1:41">
      <c r="A85" s="6" t="s">
        <v>209</v>
      </c>
      <c r="B85" s="6" t="s">
        <v>144</v>
      </c>
      <c r="C85" s="41">
        <f t="shared" si="3"/>
        <v>0.55404098144402425</v>
      </c>
      <c r="D85" s="42">
        <f t="shared" si="2"/>
        <v>1.6744186046511629</v>
      </c>
      <c r="E85" s="31">
        <v>1008</v>
      </c>
      <c r="F85" s="24">
        <v>360</v>
      </c>
      <c r="G85" s="24">
        <v>878</v>
      </c>
      <c r="H85" s="8">
        <v>41.2</v>
      </c>
      <c r="I85" s="9">
        <v>554</v>
      </c>
      <c r="J85" s="8">
        <v>39.1</v>
      </c>
      <c r="K85" s="8">
        <v>65</v>
      </c>
      <c r="L85" s="25">
        <v>72</v>
      </c>
      <c r="M85" s="8">
        <v>90.5</v>
      </c>
      <c r="N85" s="9">
        <v>43</v>
      </c>
      <c r="O85" s="9">
        <v>202</v>
      </c>
      <c r="P85" s="9">
        <v>245</v>
      </c>
      <c r="Q85" s="24">
        <v>144</v>
      </c>
      <c r="R85" s="24">
        <v>86</v>
      </c>
      <c r="S85" s="9">
        <v>50</v>
      </c>
      <c r="T85" s="9">
        <v>29</v>
      </c>
      <c r="U85" s="9">
        <v>79</v>
      </c>
      <c r="V85" s="8">
        <v>1670</v>
      </c>
      <c r="W85" s="8">
        <v>0</v>
      </c>
      <c r="X85" s="8">
        <v>0</v>
      </c>
      <c r="Y85" s="7">
        <v>-1.1000000000000001</v>
      </c>
      <c r="Z85" s="7">
        <v>112.8</v>
      </c>
      <c r="AA85" s="7">
        <v>115.2</v>
      </c>
      <c r="AB85" s="7">
        <v>-2.4</v>
      </c>
      <c r="AC85" s="7">
        <v>10.4</v>
      </c>
      <c r="AD85" s="7">
        <v>1.65</v>
      </c>
      <c r="AE85" s="7">
        <v>12.7</v>
      </c>
      <c r="AF85" s="7">
        <v>2.2000000000000002</v>
      </c>
      <c r="AG85" s="7">
        <v>9.6999999999999993</v>
      </c>
      <c r="AH85" s="7">
        <v>6</v>
      </c>
      <c r="AI85" s="7">
        <v>7.7</v>
      </c>
      <c r="AJ85" s="7">
        <v>53.5</v>
      </c>
      <c r="AK85" s="7">
        <v>55.2</v>
      </c>
      <c r="AL85" s="7">
        <v>21.4</v>
      </c>
      <c r="AM85" s="7">
        <v>100.53</v>
      </c>
      <c r="AN85" s="7">
        <v>8.3000000000000007</v>
      </c>
      <c r="AO85" s="7">
        <v>4123</v>
      </c>
    </row>
    <row r="86" spans="1:41">
      <c r="A86" s="6" t="s">
        <v>211</v>
      </c>
      <c r="B86" s="6" t="s">
        <v>60</v>
      </c>
      <c r="C86" s="41">
        <f t="shared" si="3"/>
        <v>0.57017743921908504</v>
      </c>
      <c r="D86" s="42">
        <f t="shared" si="2"/>
        <v>1.8295454545454546</v>
      </c>
      <c r="E86" s="31">
        <v>1000</v>
      </c>
      <c r="F86" s="24">
        <v>387</v>
      </c>
      <c r="G86" s="24">
        <v>803</v>
      </c>
      <c r="H86" s="8">
        <v>47.7</v>
      </c>
      <c r="I86" s="9">
        <v>263</v>
      </c>
      <c r="J86" s="8">
        <v>34.5</v>
      </c>
      <c r="K86" s="8">
        <v>146</v>
      </c>
      <c r="L86" s="25">
        <v>168</v>
      </c>
      <c r="M86" s="8">
        <v>86.1</v>
      </c>
      <c r="N86" s="9">
        <v>66</v>
      </c>
      <c r="O86" s="9">
        <v>365</v>
      </c>
      <c r="P86" s="9">
        <v>431</v>
      </c>
      <c r="Q86" s="24">
        <v>161</v>
      </c>
      <c r="R86" s="24">
        <v>88</v>
      </c>
      <c r="S86" s="9">
        <v>73</v>
      </c>
      <c r="T86" s="9">
        <v>58</v>
      </c>
      <c r="U86" s="9">
        <v>139</v>
      </c>
      <c r="V86" s="8">
        <v>2073</v>
      </c>
      <c r="W86" s="8">
        <v>5</v>
      </c>
      <c r="X86" s="8">
        <v>0</v>
      </c>
      <c r="Y86" s="7">
        <v>2.6</v>
      </c>
      <c r="Z86" s="7">
        <v>114.7</v>
      </c>
      <c r="AA86" s="7">
        <v>110.8</v>
      </c>
      <c r="AB86" s="7">
        <v>3.9</v>
      </c>
      <c r="AC86" s="7">
        <v>9.5</v>
      </c>
      <c r="AD86" s="7">
        <v>1.91</v>
      </c>
      <c r="AE86" s="7">
        <v>14.4</v>
      </c>
      <c r="AF86" s="7">
        <v>2.8</v>
      </c>
      <c r="AG86" s="7">
        <v>15.5</v>
      </c>
      <c r="AH86" s="7">
        <v>9.1999999999999993</v>
      </c>
      <c r="AI86" s="7">
        <v>7.6</v>
      </c>
      <c r="AJ86" s="7">
        <v>53.4</v>
      </c>
      <c r="AK86" s="7">
        <v>57.1</v>
      </c>
      <c r="AL86" s="7">
        <v>17.3</v>
      </c>
      <c r="AM86" s="7">
        <v>100.89</v>
      </c>
      <c r="AN86" s="7">
        <v>10</v>
      </c>
      <c r="AO86" s="7">
        <v>4845</v>
      </c>
    </row>
    <row r="87" spans="1:41">
      <c r="A87" s="6" t="s">
        <v>213</v>
      </c>
      <c r="B87" s="6" t="s">
        <v>46</v>
      </c>
      <c r="C87" s="41">
        <f t="shared" si="3"/>
        <v>0.55950942213866883</v>
      </c>
      <c r="D87" s="42">
        <f t="shared" si="2"/>
        <v>1.6734693877551021</v>
      </c>
      <c r="E87" s="31">
        <v>1000</v>
      </c>
      <c r="F87" s="24">
        <v>402</v>
      </c>
      <c r="G87" s="24">
        <v>836</v>
      </c>
      <c r="H87" s="8">
        <v>47.7</v>
      </c>
      <c r="I87" s="9">
        <v>303</v>
      </c>
      <c r="J87" s="8">
        <v>33</v>
      </c>
      <c r="K87" s="8">
        <v>107</v>
      </c>
      <c r="L87" s="25">
        <v>131</v>
      </c>
      <c r="M87" s="8">
        <v>81.3</v>
      </c>
      <c r="N87" s="9">
        <v>131</v>
      </c>
      <c r="O87" s="9">
        <v>344</v>
      </c>
      <c r="P87" s="9">
        <v>467</v>
      </c>
      <c r="Q87" s="24">
        <v>164</v>
      </c>
      <c r="R87" s="24">
        <v>98</v>
      </c>
      <c r="S87" s="9">
        <v>107</v>
      </c>
      <c r="T87" s="9">
        <v>74</v>
      </c>
      <c r="U87" s="9">
        <v>221</v>
      </c>
      <c r="V87" s="8">
        <v>2263</v>
      </c>
      <c r="W87" s="8">
        <v>10</v>
      </c>
      <c r="X87" s="8">
        <v>0</v>
      </c>
      <c r="Y87" s="7">
        <v>2.1</v>
      </c>
      <c r="Z87" s="7">
        <v>113.9</v>
      </c>
      <c r="AA87" s="7">
        <v>109.9</v>
      </c>
      <c r="AB87" s="7">
        <v>4</v>
      </c>
      <c r="AC87" s="7">
        <v>9.1</v>
      </c>
      <c r="AD87" s="7">
        <v>1.72</v>
      </c>
      <c r="AE87" s="7">
        <v>14.2</v>
      </c>
      <c r="AF87" s="7">
        <v>4.8</v>
      </c>
      <c r="AG87" s="7">
        <v>12.6</v>
      </c>
      <c r="AH87" s="7">
        <v>8.6999999999999993</v>
      </c>
      <c r="AI87" s="7">
        <v>8.3000000000000007</v>
      </c>
      <c r="AJ87" s="7">
        <v>53.7</v>
      </c>
      <c r="AK87" s="7">
        <v>56.2</v>
      </c>
      <c r="AL87" s="7">
        <v>16</v>
      </c>
      <c r="AM87" s="7">
        <v>98.07</v>
      </c>
      <c r="AN87" s="7">
        <v>8.6</v>
      </c>
      <c r="AO87" s="7">
        <v>5323</v>
      </c>
    </row>
    <row r="88" spans="1:41">
      <c r="A88" s="6" t="s">
        <v>215</v>
      </c>
      <c r="B88" s="6" t="s">
        <v>48</v>
      </c>
      <c r="C88" s="41">
        <f t="shared" si="3"/>
        <v>0.53339319309047373</v>
      </c>
      <c r="D88" s="42">
        <f t="shared" si="2"/>
        <v>1.9083333333333334</v>
      </c>
      <c r="E88" s="31">
        <v>998</v>
      </c>
      <c r="F88" s="24">
        <v>375</v>
      </c>
      <c r="G88" s="24">
        <v>833</v>
      </c>
      <c r="H88" s="8">
        <v>44.9</v>
      </c>
      <c r="I88" s="9">
        <v>293</v>
      </c>
      <c r="J88" s="8">
        <v>32.299999999999997</v>
      </c>
      <c r="K88" s="8">
        <v>158</v>
      </c>
      <c r="L88" s="25">
        <v>233</v>
      </c>
      <c r="M88" s="8">
        <v>66.099999999999994</v>
      </c>
      <c r="N88" s="9">
        <v>105</v>
      </c>
      <c r="O88" s="9">
        <v>270</v>
      </c>
      <c r="P88" s="9">
        <v>368</v>
      </c>
      <c r="Q88" s="24">
        <v>458</v>
      </c>
      <c r="R88" s="24">
        <v>240</v>
      </c>
      <c r="S88" s="9">
        <v>105</v>
      </c>
      <c r="T88" s="9">
        <v>38</v>
      </c>
      <c r="U88" s="9">
        <v>188</v>
      </c>
      <c r="V88" s="8">
        <v>2310</v>
      </c>
      <c r="W88" s="8">
        <v>13</v>
      </c>
      <c r="X88" s="8">
        <v>4</v>
      </c>
      <c r="Y88" s="7">
        <v>-0.3</v>
      </c>
      <c r="Z88" s="7">
        <v>115.7</v>
      </c>
      <c r="AA88" s="7">
        <v>116.2</v>
      </c>
      <c r="AB88" s="7">
        <v>-0.6</v>
      </c>
      <c r="AC88" s="7">
        <v>28.9</v>
      </c>
      <c r="AD88" s="7">
        <v>1.89</v>
      </c>
      <c r="AE88" s="7">
        <v>27.9</v>
      </c>
      <c r="AF88" s="7">
        <v>5</v>
      </c>
      <c r="AG88" s="7">
        <v>11.9</v>
      </c>
      <c r="AH88" s="7">
        <v>8.6</v>
      </c>
      <c r="AI88" s="7">
        <v>14.8</v>
      </c>
      <c r="AJ88" s="7">
        <v>50.5</v>
      </c>
      <c r="AK88" s="7">
        <v>53.2</v>
      </c>
      <c r="AL88" s="7">
        <v>23</v>
      </c>
      <c r="AM88" s="7">
        <v>103.3</v>
      </c>
      <c r="AN88" s="7">
        <v>9.3000000000000007</v>
      </c>
      <c r="AO88" s="7">
        <v>4504</v>
      </c>
    </row>
    <row r="89" spans="1:41">
      <c r="A89" s="6" t="s">
        <v>217</v>
      </c>
      <c r="B89" s="6" t="s">
        <v>58</v>
      </c>
      <c r="C89" s="41">
        <f t="shared" si="3"/>
        <v>0.63950489943269728</v>
      </c>
      <c r="D89" s="42">
        <f t="shared" si="2"/>
        <v>1.9101123595505618</v>
      </c>
      <c r="E89" s="31">
        <v>992</v>
      </c>
      <c r="F89" s="24">
        <v>385</v>
      </c>
      <c r="G89" s="24">
        <v>681</v>
      </c>
      <c r="H89" s="8">
        <v>56.7</v>
      </c>
      <c r="I89" s="9">
        <v>148</v>
      </c>
      <c r="J89" s="8">
        <v>32.4</v>
      </c>
      <c r="K89" s="8">
        <v>163</v>
      </c>
      <c r="L89" s="25">
        <v>215</v>
      </c>
      <c r="M89" s="8">
        <v>75.900000000000006</v>
      </c>
      <c r="N89" s="9">
        <v>222</v>
      </c>
      <c r="O89" s="9">
        <v>437</v>
      </c>
      <c r="P89" s="9">
        <v>659</v>
      </c>
      <c r="Q89" s="24">
        <v>170</v>
      </c>
      <c r="R89" s="24">
        <v>89</v>
      </c>
      <c r="S89" s="9">
        <v>67</v>
      </c>
      <c r="T89" s="9">
        <v>67</v>
      </c>
      <c r="U89" s="9">
        <v>192</v>
      </c>
      <c r="V89" s="8">
        <v>2353</v>
      </c>
      <c r="W89" s="8">
        <v>28</v>
      </c>
      <c r="X89" s="8">
        <v>0</v>
      </c>
      <c r="Y89" s="7">
        <v>0.5</v>
      </c>
      <c r="Z89" s="7">
        <v>114.9</v>
      </c>
      <c r="AA89" s="7">
        <v>113.7</v>
      </c>
      <c r="AB89" s="7">
        <v>1.1000000000000001</v>
      </c>
      <c r="AC89" s="7">
        <v>11.3</v>
      </c>
      <c r="AD89" s="7">
        <v>1.87</v>
      </c>
      <c r="AE89" s="7">
        <v>16.2</v>
      </c>
      <c r="AF89" s="7">
        <v>10.3</v>
      </c>
      <c r="AG89" s="7">
        <v>21.3</v>
      </c>
      <c r="AH89" s="7">
        <v>15.7</v>
      </c>
      <c r="AI89" s="7">
        <v>8.6999999999999993</v>
      </c>
      <c r="AJ89" s="7">
        <v>60.2</v>
      </c>
      <c r="AK89" s="7">
        <v>63.4</v>
      </c>
      <c r="AL89" s="7">
        <v>16.899999999999999</v>
      </c>
      <c r="AM89" s="7">
        <v>104.52</v>
      </c>
      <c r="AN89" s="7">
        <v>12.2</v>
      </c>
      <c r="AO89" s="7">
        <v>4489</v>
      </c>
    </row>
    <row r="90" spans="1:41">
      <c r="A90" s="6" t="s">
        <v>219</v>
      </c>
      <c r="B90" s="6" t="s">
        <v>60</v>
      </c>
      <c r="C90" s="41">
        <f t="shared" si="3"/>
        <v>0.5337054250097728</v>
      </c>
      <c r="D90" s="42">
        <f t="shared" si="2"/>
        <v>2.8321678321678321</v>
      </c>
      <c r="E90" s="31">
        <v>983</v>
      </c>
      <c r="F90" s="24">
        <v>338</v>
      </c>
      <c r="G90" s="24">
        <v>825</v>
      </c>
      <c r="H90" s="8">
        <v>40.6</v>
      </c>
      <c r="I90" s="9">
        <v>368</v>
      </c>
      <c r="J90" s="8">
        <v>34.200000000000003</v>
      </c>
      <c r="K90" s="8">
        <v>180</v>
      </c>
      <c r="L90" s="25">
        <v>218</v>
      </c>
      <c r="M90" s="8">
        <v>83.8</v>
      </c>
      <c r="N90" s="9">
        <v>30</v>
      </c>
      <c r="O90" s="9">
        <v>173</v>
      </c>
      <c r="P90" s="9">
        <v>195</v>
      </c>
      <c r="Q90" s="24">
        <v>405</v>
      </c>
      <c r="R90" s="24">
        <v>143</v>
      </c>
      <c r="S90" s="9">
        <v>68</v>
      </c>
      <c r="T90" s="9">
        <v>15</v>
      </c>
      <c r="U90" s="9">
        <v>180</v>
      </c>
      <c r="V90" s="8">
        <v>1913</v>
      </c>
      <c r="W90" s="8">
        <v>7</v>
      </c>
      <c r="X90" s="8">
        <v>0</v>
      </c>
      <c r="Y90" s="7">
        <v>-1</v>
      </c>
      <c r="Z90" s="7">
        <v>111.8</v>
      </c>
      <c r="AA90" s="7">
        <v>112.8</v>
      </c>
      <c r="AB90" s="7">
        <v>-0.9</v>
      </c>
      <c r="AC90" s="7">
        <v>28.7</v>
      </c>
      <c r="AD90" s="7">
        <v>2.85</v>
      </c>
      <c r="AE90" s="7">
        <v>27.6</v>
      </c>
      <c r="AF90" s="7">
        <v>1.2</v>
      </c>
      <c r="AG90" s="7">
        <v>8</v>
      </c>
      <c r="AH90" s="7">
        <v>4.5999999999999996</v>
      </c>
      <c r="AI90" s="7">
        <v>9.6999999999999993</v>
      </c>
      <c r="AJ90" s="7">
        <v>48.3</v>
      </c>
      <c r="AK90" s="7">
        <v>53.1</v>
      </c>
      <c r="AL90" s="7">
        <v>21.1</v>
      </c>
      <c r="AM90" s="7">
        <v>100.49</v>
      </c>
      <c r="AN90" s="7">
        <v>9.1</v>
      </c>
      <c r="AO90" s="7">
        <v>4393</v>
      </c>
    </row>
    <row r="91" spans="1:41">
      <c r="A91" s="6" t="s">
        <v>221</v>
      </c>
      <c r="B91" s="6" t="s">
        <v>94</v>
      </c>
      <c r="C91" s="41">
        <f t="shared" si="3"/>
        <v>0.5719833434707341</v>
      </c>
      <c r="D91" s="42">
        <f t="shared" si="2"/>
        <v>1.5974025974025974</v>
      </c>
      <c r="E91" s="31">
        <v>978</v>
      </c>
      <c r="F91" s="24">
        <v>370</v>
      </c>
      <c r="G91" s="24">
        <v>770</v>
      </c>
      <c r="H91" s="8">
        <v>48.2</v>
      </c>
      <c r="I91" s="9">
        <v>277</v>
      </c>
      <c r="J91" s="8">
        <v>31.8</v>
      </c>
      <c r="K91" s="8">
        <v>146</v>
      </c>
      <c r="L91" s="25">
        <v>193</v>
      </c>
      <c r="M91" s="8">
        <v>77.3</v>
      </c>
      <c r="N91" s="9">
        <v>116</v>
      </c>
      <c r="O91" s="9">
        <v>262</v>
      </c>
      <c r="P91" s="9">
        <v>370</v>
      </c>
      <c r="Q91" s="24">
        <v>123</v>
      </c>
      <c r="R91" s="24">
        <v>77</v>
      </c>
      <c r="S91" s="9">
        <v>46</v>
      </c>
      <c r="T91" s="9">
        <v>23</v>
      </c>
      <c r="U91" s="9">
        <v>116</v>
      </c>
      <c r="V91" s="8">
        <v>1748</v>
      </c>
      <c r="W91" s="8">
        <v>3</v>
      </c>
      <c r="X91" s="8">
        <v>0</v>
      </c>
      <c r="Y91" s="7">
        <v>-2.8</v>
      </c>
      <c r="Z91" s="7">
        <v>110.1</v>
      </c>
      <c r="AA91" s="7">
        <v>115.9</v>
      </c>
      <c r="AB91" s="7">
        <v>-5.8</v>
      </c>
      <c r="AC91" s="7">
        <v>10.5</v>
      </c>
      <c r="AD91" s="7">
        <v>1.62</v>
      </c>
      <c r="AE91" s="7">
        <v>11.9</v>
      </c>
      <c r="AF91" s="7">
        <v>5.7</v>
      </c>
      <c r="AG91" s="7">
        <v>13.6</v>
      </c>
      <c r="AH91" s="7">
        <v>9.6</v>
      </c>
      <c r="AI91" s="7">
        <v>7.3</v>
      </c>
      <c r="AJ91" s="7">
        <v>53.8</v>
      </c>
      <c r="AK91" s="7">
        <v>57.2</v>
      </c>
      <c r="AL91" s="7">
        <v>20.7</v>
      </c>
      <c r="AM91" s="7">
        <v>102.06</v>
      </c>
      <c r="AN91" s="7">
        <v>10.3</v>
      </c>
      <c r="AO91" s="7">
        <v>3912</v>
      </c>
    </row>
    <row r="92" spans="1:41">
      <c r="A92" s="6" t="s">
        <v>223</v>
      </c>
      <c r="B92" s="6" t="s">
        <v>68</v>
      </c>
      <c r="C92" s="41">
        <f t="shared" si="3"/>
        <v>0.60350816255644324</v>
      </c>
      <c r="D92" s="42">
        <f t="shared" si="2"/>
        <v>1.8985507246376812</v>
      </c>
      <c r="E92" s="31">
        <v>973</v>
      </c>
      <c r="F92" s="24">
        <v>386</v>
      </c>
      <c r="G92" s="24">
        <v>697</v>
      </c>
      <c r="H92" s="8">
        <v>55.7</v>
      </c>
      <c r="I92" s="9">
        <v>90</v>
      </c>
      <c r="J92" s="8">
        <v>27.5</v>
      </c>
      <c r="K92" s="8">
        <v>166</v>
      </c>
      <c r="L92" s="25">
        <v>248</v>
      </c>
      <c r="M92" s="8">
        <v>68.400000000000006</v>
      </c>
      <c r="N92" s="9">
        <v>193</v>
      </c>
      <c r="O92" s="9">
        <v>373</v>
      </c>
      <c r="P92" s="9">
        <v>566</v>
      </c>
      <c r="Q92" s="24">
        <v>262</v>
      </c>
      <c r="R92" s="24">
        <v>138</v>
      </c>
      <c r="S92" s="9">
        <v>97</v>
      </c>
      <c r="T92" s="9">
        <v>90</v>
      </c>
      <c r="U92" s="9">
        <v>166</v>
      </c>
      <c r="V92" s="8">
        <v>2463</v>
      </c>
      <c r="W92" s="8">
        <v>21</v>
      </c>
      <c r="X92" s="8">
        <v>3</v>
      </c>
      <c r="Y92" s="7">
        <v>3.9</v>
      </c>
      <c r="Z92" s="7">
        <v>114.2</v>
      </c>
      <c r="AA92" s="7">
        <v>107.9</v>
      </c>
      <c r="AB92" s="7">
        <v>6.3</v>
      </c>
      <c r="AC92" s="7">
        <v>16.7</v>
      </c>
      <c r="AD92" s="7">
        <v>1.92</v>
      </c>
      <c r="AE92" s="7">
        <v>21.9</v>
      </c>
      <c r="AF92" s="7">
        <v>7.8</v>
      </c>
      <c r="AG92" s="7">
        <v>15.9</v>
      </c>
      <c r="AH92" s="7">
        <v>11.8</v>
      </c>
      <c r="AI92" s="7">
        <v>11.4</v>
      </c>
      <c r="AJ92" s="7">
        <v>57.5</v>
      </c>
      <c r="AK92" s="7">
        <v>60.2</v>
      </c>
      <c r="AL92" s="7">
        <v>17.2</v>
      </c>
      <c r="AM92" s="7">
        <v>100</v>
      </c>
      <c r="AN92" s="7">
        <v>12.9</v>
      </c>
      <c r="AO92" s="7">
        <v>4626</v>
      </c>
    </row>
    <row r="93" spans="1:41">
      <c r="A93" s="6" t="s">
        <v>225</v>
      </c>
      <c r="B93" s="6" t="s">
        <v>70</v>
      </c>
      <c r="C93" s="41">
        <f t="shared" si="3"/>
        <v>0.62367234858297504</v>
      </c>
      <c r="D93" s="42">
        <f t="shared" si="2"/>
        <v>4.125</v>
      </c>
      <c r="E93" s="31">
        <v>963</v>
      </c>
      <c r="F93" s="24">
        <v>303</v>
      </c>
      <c r="G93" s="24">
        <v>600</v>
      </c>
      <c r="H93" s="8">
        <v>50.4</v>
      </c>
      <c r="I93" s="9">
        <v>105</v>
      </c>
      <c r="J93" s="8">
        <v>30.8</v>
      </c>
      <c r="K93" s="8">
        <v>330</v>
      </c>
      <c r="L93" s="25">
        <v>391</v>
      </c>
      <c r="M93" s="8">
        <v>84.2</v>
      </c>
      <c r="N93" s="9">
        <v>127</v>
      </c>
      <c r="O93" s="9">
        <v>171</v>
      </c>
      <c r="P93" s="9">
        <v>297</v>
      </c>
      <c r="Q93" s="24">
        <v>297</v>
      </c>
      <c r="R93" s="24">
        <v>72</v>
      </c>
      <c r="S93" s="9">
        <v>77</v>
      </c>
      <c r="T93" s="9">
        <v>17</v>
      </c>
      <c r="U93" s="9">
        <v>50</v>
      </c>
      <c r="V93" s="8">
        <v>1975</v>
      </c>
      <c r="W93" s="8">
        <v>6</v>
      </c>
      <c r="X93" s="8">
        <v>3</v>
      </c>
      <c r="Y93" s="7">
        <v>4.5</v>
      </c>
      <c r="Z93" s="7">
        <v>115.9</v>
      </c>
      <c r="AA93" s="7">
        <v>109.6</v>
      </c>
      <c r="AB93" s="7">
        <v>6.3</v>
      </c>
      <c r="AC93" s="7">
        <v>26</v>
      </c>
      <c r="AD93" s="7">
        <v>4.03</v>
      </c>
      <c r="AE93" s="7">
        <v>26.2</v>
      </c>
      <c r="AF93" s="7">
        <v>7</v>
      </c>
      <c r="AG93" s="7">
        <v>10.1</v>
      </c>
      <c r="AH93" s="7">
        <v>8.5</v>
      </c>
      <c r="AI93" s="7">
        <v>6.5</v>
      </c>
      <c r="AJ93" s="7">
        <v>53.1</v>
      </c>
      <c r="AK93" s="7">
        <v>62.6</v>
      </c>
      <c r="AL93" s="7">
        <v>20.3</v>
      </c>
      <c r="AM93" s="7">
        <v>98.95</v>
      </c>
      <c r="AN93" s="7">
        <v>14.5</v>
      </c>
      <c r="AO93" s="7">
        <v>3608</v>
      </c>
    </row>
    <row r="94" spans="1:41">
      <c r="A94" s="6" t="s">
        <v>227</v>
      </c>
      <c r="B94" s="6" t="s">
        <v>50</v>
      </c>
      <c r="C94" s="41">
        <f t="shared" si="3"/>
        <v>0.51505546751188591</v>
      </c>
      <c r="D94" s="42">
        <f t="shared" si="2"/>
        <v>1.048951048951049</v>
      </c>
      <c r="E94" s="31">
        <v>962</v>
      </c>
      <c r="F94" s="24">
        <v>371</v>
      </c>
      <c r="G94" s="24">
        <v>845</v>
      </c>
      <c r="H94" s="8">
        <v>43.6</v>
      </c>
      <c r="I94" s="9">
        <v>312</v>
      </c>
      <c r="J94" s="8">
        <v>30.7</v>
      </c>
      <c r="K94" s="8">
        <v>130</v>
      </c>
      <c r="L94" s="25">
        <v>202</v>
      </c>
      <c r="M94" s="8">
        <v>63.4</v>
      </c>
      <c r="N94" s="9">
        <v>52</v>
      </c>
      <c r="O94" s="9">
        <v>319</v>
      </c>
      <c r="P94" s="9">
        <v>371</v>
      </c>
      <c r="Q94" s="24">
        <v>150</v>
      </c>
      <c r="R94" s="24">
        <v>143</v>
      </c>
      <c r="S94" s="9">
        <v>39</v>
      </c>
      <c r="T94" s="9">
        <v>20</v>
      </c>
      <c r="U94" s="9">
        <v>117</v>
      </c>
      <c r="V94" s="8">
        <v>1658</v>
      </c>
      <c r="W94" s="8">
        <v>6</v>
      </c>
      <c r="X94" s="8">
        <v>0</v>
      </c>
      <c r="Y94" s="7">
        <v>-6.4</v>
      </c>
      <c r="Z94" s="7">
        <v>105.8</v>
      </c>
      <c r="AA94" s="7">
        <v>116.1</v>
      </c>
      <c r="AB94" s="7">
        <v>-10.3</v>
      </c>
      <c r="AC94" s="7">
        <v>12.3</v>
      </c>
      <c r="AD94" s="7">
        <v>1.04</v>
      </c>
      <c r="AE94" s="7">
        <v>12.3</v>
      </c>
      <c r="AF94" s="7">
        <v>2.7</v>
      </c>
      <c r="AG94" s="7">
        <v>15.5</v>
      </c>
      <c r="AH94" s="7">
        <v>9.1</v>
      </c>
      <c r="AI94" s="7">
        <v>11.8</v>
      </c>
      <c r="AJ94" s="7">
        <v>49.3</v>
      </c>
      <c r="AK94" s="7">
        <v>51.4</v>
      </c>
      <c r="AL94" s="7">
        <v>23.3</v>
      </c>
      <c r="AM94" s="7">
        <v>102.96</v>
      </c>
      <c r="AN94" s="7">
        <v>8</v>
      </c>
      <c r="AO94" s="7">
        <v>4158</v>
      </c>
    </row>
    <row r="95" spans="1:41">
      <c r="A95" s="6" t="s">
        <v>229</v>
      </c>
      <c r="B95" s="6" t="s">
        <v>58</v>
      </c>
      <c r="C95" s="41">
        <f t="shared" si="3"/>
        <v>0.55851063829787229</v>
      </c>
      <c r="D95" s="42">
        <f t="shared" si="2"/>
        <v>1</v>
      </c>
      <c r="E95" s="31">
        <v>945</v>
      </c>
      <c r="F95" s="24">
        <v>360</v>
      </c>
      <c r="G95" s="24">
        <v>780</v>
      </c>
      <c r="H95" s="8">
        <v>45.8</v>
      </c>
      <c r="I95" s="9">
        <v>345</v>
      </c>
      <c r="J95" s="8">
        <v>35.5</v>
      </c>
      <c r="K95" s="8">
        <v>105</v>
      </c>
      <c r="L95" s="25">
        <v>150</v>
      </c>
      <c r="M95" s="8">
        <v>71.099999999999994</v>
      </c>
      <c r="N95" s="9">
        <v>83</v>
      </c>
      <c r="O95" s="9">
        <v>180</v>
      </c>
      <c r="P95" s="9">
        <v>270</v>
      </c>
      <c r="Q95" s="24">
        <v>90</v>
      </c>
      <c r="R95" s="24">
        <v>90</v>
      </c>
      <c r="S95" s="9">
        <v>53</v>
      </c>
      <c r="T95" s="9">
        <v>38</v>
      </c>
      <c r="U95" s="9">
        <v>150</v>
      </c>
      <c r="V95" s="8">
        <v>1575</v>
      </c>
      <c r="W95" s="8">
        <v>1</v>
      </c>
      <c r="X95" s="8">
        <v>0</v>
      </c>
      <c r="Y95" s="7">
        <v>-1.6</v>
      </c>
      <c r="Z95" s="7">
        <v>112.3</v>
      </c>
      <c r="AA95" s="7">
        <v>115</v>
      </c>
      <c r="AB95" s="7">
        <v>-2.7</v>
      </c>
      <c r="AC95" s="7">
        <v>6.8</v>
      </c>
      <c r="AD95" s="7">
        <v>1</v>
      </c>
      <c r="AE95" s="7">
        <v>9</v>
      </c>
      <c r="AF95" s="7">
        <v>4.4000000000000004</v>
      </c>
      <c r="AG95" s="7">
        <v>9.9</v>
      </c>
      <c r="AH95" s="7">
        <v>7.1</v>
      </c>
      <c r="AI95" s="7">
        <v>9</v>
      </c>
      <c r="AJ95" s="7">
        <v>53.7</v>
      </c>
      <c r="AK95" s="7">
        <v>55.8</v>
      </c>
      <c r="AL95" s="7">
        <v>20.3</v>
      </c>
      <c r="AM95" s="7">
        <v>104.57</v>
      </c>
      <c r="AN95" s="7">
        <v>7.1</v>
      </c>
      <c r="AO95" s="7">
        <v>4011</v>
      </c>
    </row>
    <row r="96" spans="1:41">
      <c r="A96" s="6" t="s">
        <v>231</v>
      </c>
      <c r="B96" s="6" t="s">
        <v>66</v>
      </c>
      <c r="C96" s="41">
        <f t="shared" si="3"/>
        <v>0.55351854463404315</v>
      </c>
      <c r="D96" s="42">
        <f t="shared" si="2"/>
        <v>1.7377049180327868</v>
      </c>
      <c r="E96" s="31">
        <v>942</v>
      </c>
      <c r="F96" s="24">
        <v>365</v>
      </c>
      <c r="G96" s="24">
        <v>821</v>
      </c>
      <c r="H96" s="8">
        <v>44.4</v>
      </c>
      <c r="I96" s="9">
        <v>448</v>
      </c>
      <c r="J96" s="8">
        <v>34.299999999999997</v>
      </c>
      <c r="K96" s="8">
        <v>61</v>
      </c>
      <c r="L96" s="25">
        <v>68</v>
      </c>
      <c r="M96" s="8">
        <v>83.3</v>
      </c>
      <c r="N96" s="9">
        <v>144</v>
      </c>
      <c r="O96" s="9">
        <v>365</v>
      </c>
      <c r="P96" s="9">
        <v>509</v>
      </c>
      <c r="Q96" s="24">
        <v>106</v>
      </c>
      <c r="R96" s="24">
        <v>61</v>
      </c>
      <c r="S96" s="9">
        <v>61</v>
      </c>
      <c r="T96" s="9">
        <v>68</v>
      </c>
      <c r="U96" s="9">
        <v>182</v>
      </c>
      <c r="V96" s="8">
        <v>2044</v>
      </c>
      <c r="W96" s="8">
        <v>11</v>
      </c>
      <c r="X96" s="8">
        <v>0</v>
      </c>
      <c r="Y96" s="7">
        <v>0.6</v>
      </c>
      <c r="Z96" s="7">
        <v>114.8</v>
      </c>
      <c r="AA96" s="7">
        <v>113.4</v>
      </c>
      <c r="AB96" s="7">
        <v>1.5</v>
      </c>
      <c r="AC96" s="7">
        <v>5.5</v>
      </c>
      <c r="AD96" s="7">
        <v>1.82</v>
      </c>
      <c r="AE96" s="7">
        <v>10.7</v>
      </c>
      <c r="AF96" s="7">
        <v>5.6</v>
      </c>
      <c r="AG96" s="7">
        <v>13.4</v>
      </c>
      <c r="AH96" s="7">
        <v>9.5</v>
      </c>
      <c r="AI96" s="7">
        <v>5.9</v>
      </c>
      <c r="AJ96" s="7">
        <v>53.8</v>
      </c>
      <c r="AK96" s="7">
        <v>55.3</v>
      </c>
      <c r="AL96" s="7">
        <v>14.8</v>
      </c>
      <c r="AM96" s="7">
        <v>100.09</v>
      </c>
      <c r="AN96" s="7">
        <v>7.5</v>
      </c>
      <c r="AO96" s="7">
        <v>5428</v>
      </c>
    </row>
    <row r="97" spans="1:41">
      <c r="A97" s="6" t="s">
        <v>233</v>
      </c>
      <c r="B97" s="6" t="s">
        <v>60</v>
      </c>
      <c r="C97" s="41">
        <f t="shared" si="3"/>
        <v>0.7050024521824424</v>
      </c>
      <c r="D97" s="42">
        <f t="shared" si="2"/>
        <v>1.5864661654135339</v>
      </c>
      <c r="E97" s="31">
        <v>920</v>
      </c>
      <c r="F97" s="24">
        <v>374</v>
      </c>
      <c r="G97" s="24">
        <v>546</v>
      </c>
      <c r="H97" s="8">
        <v>69.2</v>
      </c>
      <c r="I97" s="8">
        <v>0</v>
      </c>
      <c r="J97" s="8">
        <v>0</v>
      </c>
      <c r="K97" s="8">
        <v>164</v>
      </c>
      <c r="L97" s="25">
        <v>242</v>
      </c>
      <c r="M97" s="8">
        <v>66.900000000000006</v>
      </c>
      <c r="N97" s="9">
        <v>281</v>
      </c>
      <c r="O97" s="9">
        <v>530</v>
      </c>
      <c r="P97" s="9">
        <v>803</v>
      </c>
      <c r="Q97" s="24">
        <v>211</v>
      </c>
      <c r="R97" s="24">
        <v>133</v>
      </c>
      <c r="S97" s="9">
        <v>55</v>
      </c>
      <c r="T97" s="9">
        <v>86</v>
      </c>
      <c r="U97" s="9">
        <v>250</v>
      </c>
      <c r="V97" s="8">
        <v>2496</v>
      </c>
      <c r="W97" s="8">
        <v>41</v>
      </c>
      <c r="X97" s="8">
        <v>0</v>
      </c>
      <c r="Y97" s="7">
        <v>0.5</v>
      </c>
      <c r="Z97" s="7">
        <v>115.5</v>
      </c>
      <c r="AA97" s="7">
        <v>114</v>
      </c>
      <c r="AB97" s="7">
        <v>1.5</v>
      </c>
      <c r="AC97" s="7">
        <v>14.1</v>
      </c>
      <c r="AD97" s="7">
        <v>1.54</v>
      </c>
      <c r="AE97" s="7">
        <v>21</v>
      </c>
      <c r="AF97" s="7">
        <v>13.7</v>
      </c>
      <c r="AG97" s="7">
        <v>25.9</v>
      </c>
      <c r="AH97" s="7">
        <v>19.899999999999999</v>
      </c>
      <c r="AI97" s="7">
        <v>13.6</v>
      </c>
      <c r="AJ97" s="7">
        <v>69.2</v>
      </c>
      <c r="AK97" s="7">
        <v>70.3</v>
      </c>
      <c r="AL97" s="7">
        <v>16.100000000000001</v>
      </c>
      <c r="AM97" s="7">
        <v>101.29</v>
      </c>
      <c r="AN97" s="7">
        <v>14</v>
      </c>
      <c r="AO97" s="7">
        <v>4278</v>
      </c>
    </row>
    <row r="98" spans="1:41">
      <c r="A98" s="6" t="s">
        <v>235</v>
      </c>
      <c r="B98" s="6" t="s">
        <v>44</v>
      </c>
      <c r="C98" s="41">
        <f t="shared" si="3"/>
        <v>0.59217702976468756</v>
      </c>
      <c r="D98" s="42">
        <f t="shared" si="2"/>
        <v>2.0147058823529411</v>
      </c>
      <c r="E98" s="31">
        <v>912</v>
      </c>
      <c r="F98" s="24">
        <v>357</v>
      </c>
      <c r="G98" s="24">
        <v>730</v>
      </c>
      <c r="H98" s="8">
        <v>48.8</v>
      </c>
      <c r="I98" s="9">
        <v>342</v>
      </c>
      <c r="J98" s="8">
        <v>38.299999999999997</v>
      </c>
      <c r="K98" s="8">
        <v>76</v>
      </c>
      <c r="L98" s="25">
        <v>91</v>
      </c>
      <c r="M98" s="8">
        <v>83.1</v>
      </c>
      <c r="N98" s="9">
        <v>84</v>
      </c>
      <c r="O98" s="9">
        <v>213</v>
      </c>
      <c r="P98" s="9">
        <v>296</v>
      </c>
      <c r="Q98" s="24">
        <v>137</v>
      </c>
      <c r="R98" s="24">
        <v>68</v>
      </c>
      <c r="S98" s="9">
        <v>61</v>
      </c>
      <c r="T98" s="9">
        <v>15</v>
      </c>
      <c r="U98" s="9">
        <v>99</v>
      </c>
      <c r="V98" s="8">
        <v>1634</v>
      </c>
      <c r="W98" s="8">
        <v>2</v>
      </c>
      <c r="X98" s="8">
        <v>0</v>
      </c>
      <c r="Y98" s="7">
        <v>6.8</v>
      </c>
      <c r="Z98" s="7">
        <v>120.7</v>
      </c>
      <c r="AA98" s="7">
        <v>106.6</v>
      </c>
      <c r="AB98" s="7">
        <v>14.2</v>
      </c>
      <c r="AC98" s="7">
        <v>10.199999999999999</v>
      </c>
      <c r="AD98" s="7">
        <v>1.94</v>
      </c>
      <c r="AE98" s="7">
        <v>13.8</v>
      </c>
      <c r="AF98" s="7">
        <v>4.5999999999999996</v>
      </c>
      <c r="AG98" s="7">
        <v>11.3</v>
      </c>
      <c r="AH98" s="7">
        <v>8.1</v>
      </c>
      <c r="AI98" s="7">
        <v>7.1</v>
      </c>
      <c r="AJ98" s="7">
        <v>57.7</v>
      </c>
      <c r="AK98" s="7">
        <v>59.6</v>
      </c>
      <c r="AL98" s="7">
        <v>20</v>
      </c>
      <c r="AM98" s="7">
        <v>101.91</v>
      </c>
      <c r="AN98" s="7">
        <v>10.5</v>
      </c>
      <c r="AO98" s="7">
        <v>3698</v>
      </c>
    </row>
    <row r="99" spans="1:41">
      <c r="A99" s="6" t="s">
        <v>237</v>
      </c>
      <c r="B99" s="6" t="s">
        <v>144</v>
      </c>
      <c r="C99" s="41">
        <f t="shared" si="3"/>
        <v>0.58325650481458713</v>
      </c>
      <c r="D99" s="42">
        <f t="shared" si="2"/>
        <v>1.8818181818181818</v>
      </c>
      <c r="E99" s="31">
        <v>911</v>
      </c>
      <c r="F99" s="24">
        <v>359</v>
      </c>
      <c r="G99" s="24">
        <v>711</v>
      </c>
      <c r="H99" s="8">
        <v>50.8</v>
      </c>
      <c r="I99" s="9">
        <v>221</v>
      </c>
      <c r="J99" s="8">
        <v>27.5</v>
      </c>
      <c r="K99" s="8">
        <v>131</v>
      </c>
      <c r="L99" s="25">
        <v>159</v>
      </c>
      <c r="M99" s="8">
        <v>81.3</v>
      </c>
      <c r="N99" s="9">
        <v>76</v>
      </c>
      <c r="O99" s="9">
        <v>255</v>
      </c>
      <c r="P99" s="9">
        <v>331</v>
      </c>
      <c r="Q99" s="24">
        <v>207</v>
      </c>
      <c r="R99" s="24">
        <v>110</v>
      </c>
      <c r="S99" s="9">
        <v>69</v>
      </c>
      <c r="T99" s="9">
        <v>14</v>
      </c>
      <c r="U99" s="9">
        <v>110</v>
      </c>
      <c r="V99" s="8">
        <v>1753</v>
      </c>
      <c r="W99" s="8">
        <v>6</v>
      </c>
      <c r="X99" s="8">
        <v>0</v>
      </c>
      <c r="Y99" s="7">
        <v>-2</v>
      </c>
      <c r="Z99" s="7">
        <v>111.5</v>
      </c>
      <c r="AA99" s="7">
        <v>114.7</v>
      </c>
      <c r="AB99" s="7">
        <v>-3.2</v>
      </c>
      <c r="AC99" s="7">
        <v>16.100000000000001</v>
      </c>
      <c r="AD99" s="7">
        <v>1.86</v>
      </c>
      <c r="AE99" s="7">
        <v>18.899999999999999</v>
      </c>
      <c r="AF99" s="7">
        <v>4</v>
      </c>
      <c r="AG99" s="7">
        <v>12.5</v>
      </c>
      <c r="AH99" s="7">
        <v>8.4</v>
      </c>
      <c r="AI99" s="7">
        <v>10.199999999999999</v>
      </c>
      <c r="AJ99" s="7">
        <v>55.1</v>
      </c>
      <c r="AK99" s="7">
        <v>58.4</v>
      </c>
      <c r="AL99" s="7">
        <v>19.7</v>
      </c>
      <c r="AM99" s="7">
        <v>101.27</v>
      </c>
      <c r="AN99" s="7">
        <v>10.5</v>
      </c>
      <c r="AO99" s="7">
        <v>4046</v>
      </c>
    </row>
    <row r="100" spans="1:41">
      <c r="A100" s="6" t="s">
        <v>239</v>
      </c>
      <c r="B100" s="6" t="s">
        <v>70</v>
      </c>
      <c r="C100" s="41">
        <f t="shared" si="3"/>
        <v>0.55757070731826874</v>
      </c>
      <c r="D100" s="42">
        <f t="shared" si="2"/>
        <v>1.4555555555555555</v>
      </c>
      <c r="E100" s="31">
        <v>910</v>
      </c>
      <c r="F100" s="24">
        <v>328</v>
      </c>
      <c r="G100" s="24">
        <v>787</v>
      </c>
      <c r="H100" s="8">
        <v>41.7</v>
      </c>
      <c r="I100" s="9">
        <v>549</v>
      </c>
      <c r="J100" s="8">
        <v>37</v>
      </c>
      <c r="K100" s="8">
        <v>49</v>
      </c>
      <c r="L100" s="25">
        <v>66</v>
      </c>
      <c r="M100" s="8">
        <v>82.8</v>
      </c>
      <c r="N100" s="9">
        <v>49</v>
      </c>
      <c r="O100" s="9">
        <v>213</v>
      </c>
      <c r="P100" s="9">
        <v>262</v>
      </c>
      <c r="Q100" s="24">
        <v>131</v>
      </c>
      <c r="R100" s="24">
        <v>90</v>
      </c>
      <c r="S100" s="9">
        <v>66</v>
      </c>
      <c r="T100" s="9">
        <v>25</v>
      </c>
      <c r="U100" s="9">
        <v>131</v>
      </c>
      <c r="V100" s="8">
        <v>1615</v>
      </c>
      <c r="W100" s="8">
        <v>0</v>
      </c>
      <c r="X100" s="8">
        <v>0</v>
      </c>
      <c r="Y100" s="7">
        <v>1.7</v>
      </c>
      <c r="Z100" s="7">
        <v>112.3</v>
      </c>
      <c r="AA100" s="7">
        <v>110.1</v>
      </c>
      <c r="AB100" s="7">
        <v>2.2000000000000002</v>
      </c>
      <c r="AC100" s="7">
        <v>10.6</v>
      </c>
      <c r="AD100" s="7">
        <v>1.47</v>
      </c>
      <c r="AE100" s="7">
        <v>13</v>
      </c>
      <c r="AF100" s="7">
        <v>2.5</v>
      </c>
      <c r="AG100" s="7">
        <v>11.1</v>
      </c>
      <c r="AH100" s="7">
        <v>6.6</v>
      </c>
      <c r="AI100" s="7">
        <v>8.8000000000000007</v>
      </c>
      <c r="AJ100" s="7">
        <v>54.6</v>
      </c>
      <c r="AK100" s="7">
        <v>56</v>
      </c>
      <c r="AL100" s="7">
        <v>19.600000000000001</v>
      </c>
      <c r="AM100" s="7">
        <v>100.82</v>
      </c>
      <c r="AN100" s="7">
        <v>8.5</v>
      </c>
      <c r="AO100" s="7">
        <v>3937</v>
      </c>
    </row>
    <row r="101" spans="1:41">
      <c r="A101" s="13" t="s">
        <v>241</v>
      </c>
      <c r="B101" s="6" t="s">
        <v>116</v>
      </c>
      <c r="C101" s="41">
        <f t="shared" si="3"/>
        <v>0.54853240337111298</v>
      </c>
      <c r="D101" s="42">
        <f t="shared" si="2"/>
        <v>1.3846153846153846</v>
      </c>
      <c r="E101" s="31">
        <v>906</v>
      </c>
      <c r="F101" s="24">
        <v>348</v>
      </c>
      <c r="G101" s="24">
        <v>744</v>
      </c>
      <c r="H101" s="8">
        <v>47</v>
      </c>
      <c r="I101" s="9">
        <v>240</v>
      </c>
      <c r="J101" s="8">
        <v>29.3</v>
      </c>
      <c r="K101" s="8">
        <v>138</v>
      </c>
      <c r="L101" s="25">
        <v>186</v>
      </c>
      <c r="M101" s="8">
        <v>75.099999999999994</v>
      </c>
      <c r="N101" s="9">
        <v>96</v>
      </c>
      <c r="O101" s="9">
        <v>270</v>
      </c>
      <c r="P101" s="9">
        <v>366</v>
      </c>
      <c r="Q101" s="24">
        <v>108</v>
      </c>
      <c r="R101" s="24">
        <v>78</v>
      </c>
      <c r="S101" s="9">
        <v>90</v>
      </c>
      <c r="T101" s="9">
        <v>30</v>
      </c>
      <c r="U101" s="9">
        <v>180</v>
      </c>
      <c r="V101" s="8">
        <v>1794</v>
      </c>
      <c r="W101" s="8">
        <v>10</v>
      </c>
      <c r="X101" s="8">
        <v>0</v>
      </c>
      <c r="Y101" s="7">
        <v>-4.3</v>
      </c>
      <c r="Z101" s="7">
        <v>110.7</v>
      </c>
      <c r="AA101" s="7">
        <v>116.4</v>
      </c>
      <c r="AB101" s="7">
        <v>-5.7</v>
      </c>
      <c r="AC101" s="7">
        <v>7.9</v>
      </c>
      <c r="AD101" s="7">
        <v>1.35</v>
      </c>
      <c r="AE101" s="7">
        <v>10.7</v>
      </c>
      <c r="AF101" s="7">
        <v>4.5999999999999996</v>
      </c>
      <c r="AG101" s="7">
        <v>14</v>
      </c>
      <c r="AH101" s="7">
        <v>9.1</v>
      </c>
      <c r="AI101" s="7">
        <v>8</v>
      </c>
      <c r="AJ101" s="7">
        <v>51.8</v>
      </c>
      <c r="AK101" s="7">
        <v>55.1</v>
      </c>
      <c r="AL101" s="7">
        <v>18.600000000000001</v>
      </c>
      <c r="AM101" s="7">
        <v>98.68</v>
      </c>
      <c r="AN101" s="7">
        <v>8.4</v>
      </c>
      <c r="AO101" s="7">
        <v>4266</v>
      </c>
    </row>
    <row r="102" spans="1:41">
      <c r="A102" s="6" t="s">
        <v>243</v>
      </c>
      <c r="B102" s="6" t="s">
        <v>54</v>
      </c>
      <c r="C102" s="41">
        <f t="shared" si="3"/>
        <v>0.59691011235955049</v>
      </c>
      <c r="D102" s="42">
        <f t="shared" si="2"/>
        <v>1.9405940594059405</v>
      </c>
      <c r="E102" s="31">
        <v>901</v>
      </c>
      <c r="F102" s="24">
        <v>345</v>
      </c>
      <c r="G102" s="24">
        <v>694</v>
      </c>
      <c r="H102" s="8">
        <v>49.7</v>
      </c>
      <c r="I102" s="9">
        <v>265</v>
      </c>
      <c r="J102" s="8">
        <v>38.6</v>
      </c>
      <c r="K102" s="8">
        <v>111</v>
      </c>
      <c r="L102" s="25">
        <v>138</v>
      </c>
      <c r="M102" s="8">
        <v>80.3</v>
      </c>
      <c r="N102" s="9">
        <v>32</v>
      </c>
      <c r="O102" s="9">
        <v>143</v>
      </c>
      <c r="P102" s="9">
        <v>175</v>
      </c>
      <c r="Q102" s="24">
        <v>196</v>
      </c>
      <c r="R102" s="24">
        <v>101</v>
      </c>
      <c r="S102" s="9">
        <v>58</v>
      </c>
      <c r="T102" s="9">
        <v>27</v>
      </c>
      <c r="U102" s="9">
        <v>138</v>
      </c>
      <c r="V102" s="8">
        <v>1564</v>
      </c>
      <c r="W102" s="8">
        <v>1</v>
      </c>
      <c r="X102" s="8">
        <v>0</v>
      </c>
      <c r="Y102" s="7">
        <v>-5.2</v>
      </c>
      <c r="Z102" s="7">
        <v>110.6</v>
      </c>
      <c r="AA102" s="7">
        <v>118.6</v>
      </c>
      <c r="AB102" s="7">
        <v>-8</v>
      </c>
      <c r="AC102" s="7">
        <v>17.7</v>
      </c>
      <c r="AD102" s="7">
        <v>1.97</v>
      </c>
      <c r="AE102" s="7">
        <v>18.600000000000001</v>
      </c>
      <c r="AF102" s="7">
        <v>2.1</v>
      </c>
      <c r="AG102" s="7">
        <v>8.3000000000000007</v>
      </c>
      <c r="AH102" s="7">
        <v>5.4</v>
      </c>
      <c r="AI102" s="7">
        <v>9.4</v>
      </c>
      <c r="AJ102" s="7">
        <v>57.1</v>
      </c>
      <c r="AK102" s="7">
        <v>59.8</v>
      </c>
      <c r="AL102" s="7">
        <v>21.9</v>
      </c>
      <c r="AM102" s="7">
        <v>100.02</v>
      </c>
      <c r="AN102" s="7">
        <v>9.3000000000000007</v>
      </c>
      <c r="AO102" s="7">
        <v>3552</v>
      </c>
    </row>
    <row r="103" spans="1:41">
      <c r="A103" s="6" t="s">
        <v>245</v>
      </c>
      <c r="B103" s="6" t="s">
        <v>170</v>
      </c>
      <c r="C103" s="41">
        <f t="shared" si="3"/>
        <v>0.57205452775073029</v>
      </c>
      <c r="D103" s="42">
        <f t="shared" si="2"/>
        <v>1.0757575757575757</v>
      </c>
      <c r="E103" s="31">
        <v>893</v>
      </c>
      <c r="F103" s="24">
        <v>296</v>
      </c>
      <c r="G103" s="24">
        <v>700</v>
      </c>
      <c r="H103" s="8">
        <v>42.3</v>
      </c>
      <c r="I103" s="9">
        <v>400</v>
      </c>
      <c r="J103" s="8">
        <v>34.6</v>
      </c>
      <c r="K103" s="8">
        <v>160</v>
      </c>
      <c r="L103" s="25">
        <v>183</v>
      </c>
      <c r="M103" s="8">
        <v>87.6</v>
      </c>
      <c r="N103" s="9">
        <v>71</v>
      </c>
      <c r="O103" s="9">
        <v>207</v>
      </c>
      <c r="P103" s="9">
        <v>277</v>
      </c>
      <c r="Q103" s="24">
        <v>71</v>
      </c>
      <c r="R103" s="24">
        <v>66</v>
      </c>
      <c r="S103" s="9">
        <v>33</v>
      </c>
      <c r="T103" s="9">
        <v>19</v>
      </c>
      <c r="U103" s="9">
        <v>80</v>
      </c>
      <c r="V103" s="8">
        <v>1415</v>
      </c>
      <c r="W103" s="8">
        <v>5</v>
      </c>
      <c r="X103" s="8">
        <v>0</v>
      </c>
      <c r="Y103" s="7">
        <v>-4</v>
      </c>
      <c r="Z103" s="7">
        <v>111.4</v>
      </c>
      <c r="AA103" s="7">
        <v>117.5</v>
      </c>
      <c r="AB103" s="7">
        <v>-6.1</v>
      </c>
      <c r="AC103" s="7">
        <v>7.4</v>
      </c>
      <c r="AD103" s="7">
        <v>1.06</v>
      </c>
      <c r="AE103" s="7">
        <v>7.7</v>
      </c>
      <c r="AF103" s="7">
        <v>4.5999999999999996</v>
      </c>
      <c r="AG103" s="7">
        <v>13.4</v>
      </c>
      <c r="AH103" s="7">
        <v>9</v>
      </c>
      <c r="AI103" s="7">
        <v>7.2</v>
      </c>
      <c r="AJ103" s="7">
        <v>52.1</v>
      </c>
      <c r="AK103" s="7">
        <v>57.1</v>
      </c>
      <c r="AL103" s="7">
        <v>23.1</v>
      </c>
      <c r="AM103" s="7">
        <v>101.64</v>
      </c>
      <c r="AN103" s="7">
        <v>10.3</v>
      </c>
      <c r="AO103" s="7">
        <v>3127</v>
      </c>
    </row>
    <row r="104" spans="1:41">
      <c r="A104" s="6" t="s">
        <v>247</v>
      </c>
      <c r="B104" s="6" t="s">
        <v>122</v>
      </c>
      <c r="C104" s="41">
        <f t="shared" si="3"/>
        <v>0.56985769728331181</v>
      </c>
      <c r="D104" s="42">
        <f t="shared" si="2"/>
        <v>1.5779816513761469</v>
      </c>
      <c r="E104" s="31">
        <v>881</v>
      </c>
      <c r="F104" s="24">
        <v>328</v>
      </c>
      <c r="G104" s="24">
        <v>718</v>
      </c>
      <c r="H104" s="8">
        <v>45.8</v>
      </c>
      <c r="I104" s="9">
        <v>359</v>
      </c>
      <c r="J104" s="8">
        <v>37.5</v>
      </c>
      <c r="K104" s="8">
        <v>94</v>
      </c>
      <c r="L104" s="25">
        <v>125</v>
      </c>
      <c r="M104" s="8">
        <v>72.2</v>
      </c>
      <c r="N104" s="9">
        <v>172</v>
      </c>
      <c r="O104" s="9">
        <v>281</v>
      </c>
      <c r="P104" s="9">
        <v>452</v>
      </c>
      <c r="Q104" s="24">
        <v>172</v>
      </c>
      <c r="R104" s="24">
        <v>109</v>
      </c>
      <c r="S104" s="9">
        <v>117</v>
      </c>
      <c r="T104" s="9">
        <v>47</v>
      </c>
      <c r="U104" s="9">
        <v>226</v>
      </c>
      <c r="V104" s="8">
        <v>2075</v>
      </c>
      <c r="W104" s="8">
        <v>4</v>
      </c>
      <c r="X104" s="8">
        <v>0</v>
      </c>
      <c r="Y104" s="7">
        <v>-1.5</v>
      </c>
      <c r="Z104" s="7">
        <v>111.5</v>
      </c>
      <c r="AA104" s="7">
        <v>113.3</v>
      </c>
      <c r="AB104" s="7">
        <v>-1.8</v>
      </c>
      <c r="AC104" s="7">
        <v>9.6</v>
      </c>
      <c r="AD104" s="7">
        <v>1.61</v>
      </c>
      <c r="AE104" s="7">
        <v>16.600000000000001</v>
      </c>
      <c r="AF104" s="7">
        <v>6.3</v>
      </c>
      <c r="AG104" s="7">
        <v>11</v>
      </c>
      <c r="AH104" s="7">
        <v>8.6</v>
      </c>
      <c r="AI104" s="7">
        <v>10.3</v>
      </c>
      <c r="AJ104" s="7">
        <v>55.2</v>
      </c>
      <c r="AK104" s="7">
        <v>57.2</v>
      </c>
      <c r="AL104" s="7">
        <v>14.3</v>
      </c>
      <c r="AM104" s="7">
        <v>99.38</v>
      </c>
      <c r="AN104" s="7">
        <v>7.6</v>
      </c>
      <c r="AO104" s="7">
        <v>5267</v>
      </c>
    </row>
    <row r="105" spans="1:41">
      <c r="A105" s="6" t="s">
        <v>249</v>
      </c>
      <c r="B105" s="6" t="s">
        <v>76</v>
      </c>
      <c r="C105" s="41">
        <f t="shared" si="3"/>
        <v>0.64273961332784857</v>
      </c>
      <c r="D105" s="42">
        <f t="shared" si="2"/>
        <v>2.6153846153846154</v>
      </c>
      <c r="E105" s="31">
        <v>875</v>
      </c>
      <c r="F105" s="24">
        <v>322</v>
      </c>
      <c r="G105" s="24">
        <v>616</v>
      </c>
      <c r="H105" s="8">
        <v>51.6</v>
      </c>
      <c r="I105" s="9">
        <v>252</v>
      </c>
      <c r="J105" s="8">
        <v>43.9</v>
      </c>
      <c r="K105" s="8">
        <v>126</v>
      </c>
      <c r="L105" s="25">
        <v>147</v>
      </c>
      <c r="M105" s="8">
        <v>87.2</v>
      </c>
      <c r="N105" s="9">
        <v>49</v>
      </c>
      <c r="O105" s="9">
        <v>126</v>
      </c>
      <c r="P105" s="9">
        <v>175</v>
      </c>
      <c r="Q105" s="24">
        <v>238</v>
      </c>
      <c r="R105" s="24">
        <v>91</v>
      </c>
      <c r="S105" s="9">
        <v>77</v>
      </c>
      <c r="T105" s="8">
        <v>0</v>
      </c>
      <c r="U105" s="9">
        <v>105</v>
      </c>
      <c r="V105" s="8">
        <v>1589</v>
      </c>
      <c r="W105" s="8">
        <v>0</v>
      </c>
      <c r="X105" s="8">
        <v>0</v>
      </c>
      <c r="Y105" s="7">
        <v>4.3</v>
      </c>
      <c r="Z105" s="14">
        <v>120.3</v>
      </c>
      <c r="AA105" s="14">
        <v>110.4</v>
      </c>
      <c r="AB105" s="14">
        <v>9.9</v>
      </c>
      <c r="AC105" s="14">
        <v>24.1</v>
      </c>
      <c r="AD105" s="14">
        <v>2.58</v>
      </c>
      <c r="AE105" s="14">
        <v>23.5</v>
      </c>
      <c r="AF105" s="14">
        <v>3.6</v>
      </c>
      <c r="AG105" s="14">
        <v>8.3000000000000007</v>
      </c>
      <c r="AH105" s="14">
        <v>6</v>
      </c>
      <c r="AI105" s="14">
        <v>9.1</v>
      </c>
      <c r="AJ105" s="14">
        <v>60.6</v>
      </c>
      <c r="AK105" s="14">
        <v>64.3</v>
      </c>
      <c r="AL105" s="14">
        <v>22.9</v>
      </c>
      <c r="AM105" s="14">
        <v>101.92</v>
      </c>
      <c r="AN105" s="14">
        <v>13.4</v>
      </c>
      <c r="AO105" s="14">
        <v>2960</v>
      </c>
    </row>
    <row r="106" spans="1:41">
      <c r="A106" s="6" t="s">
        <v>251</v>
      </c>
      <c r="B106" s="6" t="s">
        <v>114</v>
      </c>
      <c r="C106" s="41">
        <f t="shared" si="3"/>
        <v>0.48125801175794547</v>
      </c>
      <c r="D106" s="42">
        <f t="shared" si="2"/>
        <v>1.4122807017543859</v>
      </c>
      <c r="E106" s="31">
        <v>871</v>
      </c>
      <c r="F106" s="24">
        <v>328</v>
      </c>
      <c r="G106" s="24">
        <v>831</v>
      </c>
      <c r="H106" s="8">
        <v>39.4</v>
      </c>
      <c r="I106" s="9">
        <v>342</v>
      </c>
      <c r="J106" s="8">
        <v>30.8</v>
      </c>
      <c r="K106" s="8">
        <v>114</v>
      </c>
      <c r="L106" s="25">
        <v>168</v>
      </c>
      <c r="M106" s="8">
        <v>67.900000000000006</v>
      </c>
      <c r="N106" s="9">
        <v>127</v>
      </c>
      <c r="O106" s="9">
        <v>308</v>
      </c>
      <c r="P106" s="9">
        <v>436</v>
      </c>
      <c r="Q106" s="24">
        <v>161</v>
      </c>
      <c r="R106" s="24">
        <v>114</v>
      </c>
      <c r="S106" s="9">
        <v>47</v>
      </c>
      <c r="T106" s="9">
        <v>101</v>
      </c>
      <c r="U106" s="9">
        <v>147</v>
      </c>
      <c r="V106" s="8">
        <v>1956</v>
      </c>
      <c r="W106" s="8">
        <v>10</v>
      </c>
      <c r="X106" s="8">
        <v>0</v>
      </c>
      <c r="Y106" s="7">
        <v>-8.1</v>
      </c>
      <c r="Z106" s="7">
        <v>102.7</v>
      </c>
      <c r="AA106" s="7">
        <v>116.4</v>
      </c>
      <c r="AB106" s="7">
        <v>-13.7</v>
      </c>
      <c r="AC106" s="7">
        <v>13.9</v>
      </c>
      <c r="AD106" s="7">
        <v>1.41</v>
      </c>
      <c r="AE106" s="7">
        <v>13.7</v>
      </c>
      <c r="AF106" s="7">
        <v>6</v>
      </c>
      <c r="AG106" s="7">
        <v>15.8</v>
      </c>
      <c r="AH106" s="7">
        <v>10.8</v>
      </c>
      <c r="AI106" s="7">
        <v>9.6999999999999993</v>
      </c>
      <c r="AJ106" s="7">
        <v>45.7</v>
      </c>
      <c r="AK106" s="7">
        <v>48.2</v>
      </c>
      <c r="AL106" s="7">
        <v>23</v>
      </c>
      <c r="AM106" s="7">
        <v>104.3</v>
      </c>
      <c r="AN106" s="7">
        <v>8.4</v>
      </c>
      <c r="AO106" s="7">
        <v>3939</v>
      </c>
    </row>
    <row r="107" spans="1:41">
      <c r="A107" s="6" t="s">
        <v>253</v>
      </c>
      <c r="B107" s="6" t="s">
        <v>144</v>
      </c>
      <c r="C107" s="41">
        <f t="shared" si="3"/>
        <v>0.55223690899847488</v>
      </c>
      <c r="D107" s="42">
        <f t="shared" si="2"/>
        <v>3.378640776699029</v>
      </c>
      <c r="E107" s="31">
        <v>869</v>
      </c>
      <c r="F107" s="24">
        <v>284</v>
      </c>
      <c r="G107" s="24">
        <v>679</v>
      </c>
      <c r="H107" s="8">
        <v>41.6</v>
      </c>
      <c r="I107" s="9">
        <v>324</v>
      </c>
      <c r="J107" s="8">
        <v>33.4</v>
      </c>
      <c r="K107" s="8">
        <v>198</v>
      </c>
      <c r="L107" s="25">
        <v>245</v>
      </c>
      <c r="M107" s="8">
        <v>80.2</v>
      </c>
      <c r="N107" s="9">
        <v>16</v>
      </c>
      <c r="O107" s="9">
        <v>190</v>
      </c>
      <c r="P107" s="9">
        <v>205</v>
      </c>
      <c r="Q107" s="24">
        <v>348</v>
      </c>
      <c r="R107" s="24">
        <v>103</v>
      </c>
      <c r="S107" s="9">
        <v>71</v>
      </c>
      <c r="T107" s="9">
        <v>16</v>
      </c>
      <c r="U107" s="9">
        <v>119</v>
      </c>
      <c r="V107" s="8">
        <v>1809</v>
      </c>
      <c r="W107" s="8">
        <v>5</v>
      </c>
      <c r="X107" s="8">
        <v>0</v>
      </c>
      <c r="Y107" s="7">
        <v>-2.8</v>
      </c>
      <c r="Z107" s="7">
        <v>110.1</v>
      </c>
      <c r="AA107" s="7">
        <v>115.1</v>
      </c>
      <c r="AB107" s="7">
        <v>-5</v>
      </c>
      <c r="AC107" s="7">
        <v>22.8</v>
      </c>
      <c r="AD107" s="7">
        <v>3.42</v>
      </c>
      <c r="AE107" s="7">
        <v>28.3</v>
      </c>
      <c r="AF107" s="7">
        <v>0.8</v>
      </c>
      <c r="AG107" s="7">
        <v>8.6</v>
      </c>
      <c r="AH107" s="7">
        <v>4.8</v>
      </c>
      <c r="AI107" s="7">
        <v>8.3000000000000007</v>
      </c>
      <c r="AJ107" s="7">
        <v>49.6</v>
      </c>
      <c r="AK107" s="7">
        <v>55.3</v>
      </c>
      <c r="AL107" s="7">
        <v>17.5</v>
      </c>
      <c r="AM107" s="7">
        <v>101.4</v>
      </c>
      <c r="AN107" s="7">
        <v>8.9</v>
      </c>
      <c r="AO107" s="7">
        <v>4515</v>
      </c>
    </row>
    <row r="108" spans="1:41">
      <c r="A108" s="6" t="s">
        <v>255</v>
      </c>
      <c r="B108" s="6" t="s">
        <v>46</v>
      </c>
      <c r="C108" s="41">
        <f t="shared" si="3"/>
        <v>0.68402052061561858</v>
      </c>
      <c r="D108" s="42">
        <f t="shared" si="2"/>
        <v>1.5116279069767442</v>
      </c>
      <c r="E108" s="31">
        <v>864</v>
      </c>
      <c r="F108" s="24">
        <v>338</v>
      </c>
      <c r="G108" s="24">
        <v>511</v>
      </c>
      <c r="H108" s="8">
        <v>66.900000000000006</v>
      </c>
      <c r="I108" s="8">
        <v>0</v>
      </c>
      <c r="J108" s="8">
        <v>0</v>
      </c>
      <c r="K108" s="8">
        <v>187</v>
      </c>
      <c r="L108" s="25">
        <v>274</v>
      </c>
      <c r="M108" s="8">
        <v>67.400000000000006</v>
      </c>
      <c r="N108" s="9">
        <v>266</v>
      </c>
      <c r="O108" s="9">
        <v>518</v>
      </c>
      <c r="P108" s="9">
        <v>785</v>
      </c>
      <c r="Q108" s="24">
        <v>130</v>
      </c>
      <c r="R108" s="24">
        <v>86</v>
      </c>
      <c r="S108" s="9">
        <v>58</v>
      </c>
      <c r="T108" s="9">
        <v>101</v>
      </c>
      <c r="U108" s="9">
        <v>180</v>
      </c>
      <c r="V108" s="8">
        <v>2390</v>
      </c>
      <c r="W108" s="8">
        <v>36</v>
      </c>
      <c r="X108" s="8">
        <v>0</v>
      </c>
      <c r="Y108" s="7">
        <v>4.5</v>
      </c>
      <c r="Z108" s="7">
        <v>114.3</v>
      </c>
      <c r="AA108" s="7">
        <v>107.6</v>
      </c>
      <c r="AB108" s="7">
        <v>6.7</v>
      </c>
      <c r="AC108" s="7">
        <v>7.5</v>
      </c>
      <c r="AD108" s="7">
        <v>1.43</v>
      </c>
      <c r="AE108" s="7">
        <v>14.9</v>
      </c>
      <c r="AF108" s="7">
        <v>11.1</v>
      </c>
      <c r="AG108" s="7">
        <v>21</v>
      </c>
      <c r="AH108" s="7">
        <v>16.100000000000001</v>
      </c>
      <c r="AI108" s="7">
        <v>10.5</v>
      </c>
      <c r="AJ108" s="7">
        <v>66.900000000000006</v>
      </c>
      <c r="AK108" s="7">
        <v>68.7</v>
      </c>
      <c r="AL108" s="7">
        <v>12.9</v>
      </c>
      <c r="AM108" s="7">
        <v>97.63</v>
      </c>
      <c r="AN108" s="7">
        <v>12.6</v>
      </c>
      <c r="AO108" s="7">
        <v>4858</v>
      </c>
    </row>
    <row r="109" spans="1:41">
      <c r="A109" s="13" t="s">
        <v>257</v>
      </c>
      <c r="B109" s="6" t="s">
        <v>60</v>
      </c>
      <c r="C109" s="41">
        <f t="shared" si="3"/>
        <v>0.57057016598404831</v>
      </c>
      <c r="D109" s="42">
        <f t="shared" si="2"/>
        <v>2.6739130434782608</v>
      </c>
      <c r="E109" s="31">
        <v>847</v>
      </c>
      <c r="F109" s="24">
        <v>277</v>
      </c>
      <c r="G109" s="24">
        <v>678</v>
      </c>
      <c r="H109" s="8">
        <v>40.6</v>
      </c>
      <c r="I109" s="9">
        <v>454</v>
      </c>
      <c r="J109" s="8">
        <v>36.799999999999997</v>
      </c>
      <c r="K109" s="8">
        <v>123</v>
      </c>
      <c r="L109" s="25">
        <v>146</v>
      </c>
      <c r="M109" s="8">
        <v>85.5</v>
      </c>
      <c r="N109" s="9">
        <v>15</v>
      </c>
      <c r="O109" s="9">
        <v>162</v>
      </c>
      <c r="P109" s="9">
        <v>185</v>
      </c>
      <c r="Q109" s="24">
        <v>123</v>
      </c>
      <c r="R109" s="24">
        <v>46</v>
      </c>
      <c r="S109" s="9">
        <v>39</v>
      </c>
      <c r="T109" s="9">
        <v>8</v>
      </c>
      <c r="U109" s="9">
        <v>92</v>
      </c>
      <c r="V109" s="8">
        <v>1332</v>
      </c>
      <c r="W109" s="8">
        <v>0</v>
      </c>
      <c r="X109" s="8">
        <v>0</v>
      </c>
      <c r="Y109" s="7">
        <v>0.3</v>
      </c>
      <c r="Z109" s="7">
        <v>113.8</v>
      </c>
      <c r="AA109" s="7">
        <v>114.2</v>
      </c>
      <c r="AB109" s="7">
        <v>-0.5</v>
      </c>
      <c r="AC109" s="7">
        <v>7.4</v>
      </c>
      <c r="AD109" s="7">
        <v>2.56</v>
      </c>
      <c r="AE109" s="7">
        <v>13.6</v>
      </c>
      <c r="AF109" s="7">
        <v>0.8</v>
      </c>
      <c r="AG109" s="7">
        <v>7.5</v>
      </c>
      <c r="AH109" s="7">
        <v>4.2</v>
      </c>
      <c r="AI109" s="7">
        <v>5.3</v>
      </c>
      <c r="AJ109" s="7">
        <v>52.9</v>
      </c>
      <c r="AK109" s="7">
        <v>56.7</v>
      </c>
      <c r="AL109" s="7">
        <v>15.1</v>
      </c>
      <c r="AM109" s="7">
        <v>100.66</v>
      </c>
      <c r="AN109" s="7">
        <v>6.6</v>
      </c>
      <c r="AO109" s="7">
        <v>4535</v>
      </c>
    </row>
    <row r="110" spans="1:41">
      <c r="A110" s="6" t="s">
        <v>259</v>
      </c>
      <c r="B110" s="6" t="s">
        <v>68</v>
      </c>
      <c r="C110" s="41">
        <f t="shared" si="3"/>
        <v>0.51414819136522749</v>
      </c>
      <c r="D110" s="42">
        <f t="shared" si="2"/>
        <v>3.7333333333333334</v>
      </c>
      <c r="E110" s="31">
        <v>846</v>
      </c>
      <c r="F110" s="24">
        <v>288</v>
      </c>
      <c r="G110" s="24">
        <v>762</v>
      </c>
      <c r="H110" s="8">
        <v>37.799999999999997</v>
      </c>
      <c r="I110" s="9">
        <v>462</v>
      </c>
      <c r="J110" s="8">
        <v>34.5</v>
      </c>
      <c r="K110" s="8">
        <v>114</v>
      </c>
      <c r="L110" s="25">
        <v>138</v>
      </c>
      <c r="M110" s="8">
        <v>81</v>
      </c>
      <c r="N110" s="9">
        <v>30</v>
      </c>
      <c r="O110" s="9">
        <v>192</v>
      </c>
      <c r="P110" s="9">
        <v>222</v>
      </c>
      <c r="Q110" s="24">
        <v>336</v>
      </c>
      <c r="R110" s="24">
        <v>90</v>
      </c>
      <c r="S110" s="9">
        <v>96</v>
      </c>
      <c r="T110" s="9">
        <v>24</v>
      </c>
      <c r="U110" s="9">
        <v>138</v>
      </c>
      <c r="V110" s="8">
        <v>1878</v>
      </c>
      <c r="W110" s="8">
        <v>4</v>
      </c>
      <c r="X110" s="8">
        <v>0</v>
      </c>
      <c r="Y110" s="7">
        <v>4.4000000000000004</v>
      </c>
      <c r="Z110" s="7">
        <v>115</v>
      </c>
      <c r="AA110" s="7">
        <v>108.8</v>
      </c>
      <c r="AB110" s="7">
        <v>6.2</v>
      </c>
      <c r="AC110" s="7">
        <v>21.7</v>
      </c>
      <c r="AD110" s="7">
        <v>3.83</v>
      </c>
      <c r="AE110" s="7">
        <v>27</v>
      </c>
      <c r="AF110" s="7">
        <v>1.4</v>
      </c>
      <c r="AG110" s="7">
        <v>8.9</v>
      </c>
      <c r="AH110" s="7">
        <v>4.9000000000000004</v>
      </c>
      <c r="AI110" s="7">
        <v>7.1</v>
      </c>
      <c r="AJ110" s="7">
        <v>48.3</v>
      </c>
      <c r="AK110" s="7">
        <v>51.5</v>
      </c>
      <c r="AL110" s="7">
        <v>17.600000000000001</v>
      </c>
      <c r="AM110" s="7">
        <v>98.18</v>
      </c>
      <c r="AN110" s="7">
        <v>9.3000000000000007</v>
      </c>
      <c r="AO110" s="7">
        <v>4316</v>
      </c>
    </row>
    <row r="111" spans="1:41">
      <c r="A111" s="6" t="s">
        <v>261</v>
      </c>
      <c r="B111" s="6" t="s">
        <v>66</v>
      </c>
      <c r="C111" s="41">
        <f t="shared" si="3"/>
        <v>0.60551144862501438</v>
      </c>
      <c r="D111" s="42">
        <f t="shared" si="2"/>
        <v>1.3278688524590163</v>
      </c>
      <c r="E111" s="31">
        <v>842</v>
      </c>
      <c r="F111" s="24">
        <v>348</v>
      </c>
      <c r="G111" s="24">
        <v>624</v>
      </c>
      <c r="H111" s="8">
        <v>55</v>
      </c>
      <c r="I111" s="9">
        <v>41</v>
      </c>
      <c r="J111" s="8">
        <v>21.6</v>
      </c>
      <c r="K111" s="8">
        <v>146</v>
      </c>
      <c r="L111" s="25">
        <v>162</v>
      </c>
      <c r="M111" s="8">
        <v>87.9</v>
      </c>
      <c r="N111" s="9">
        <v>186</v>
      </c>
      <c r="O111" s="9">
        <v>437</v>
      </c>
      <c r="P111" s="9">
        <v>624</v>
      </c>
      <c r="Q111" s="24">
        <v>162</v>
      </c>
      <c r="R111" s="24">
        <v>122</v>
      </c>
      <c r="S111" s="9">
        <v>41</v>
      </c>
      <c r="T111" s="9">
        <v>49</v>
      </c>
      <c r="U111" s="9">
        <v>178</v>
      </c>
      <c r="V111" s="8">
        <v>1968</v>
      </c>
      <c r="W111" s="8">
        <v>21</v>
      </c>
      <c r="X111" s="8">
        <v>0</v>
      </c>
      <c r="Y111" s="7">
        <v>-3.8</v>
      </c>
      <c r="Z111" s="7">
        <v>109.2</v>
      </c>
      <c r="AA111" s="7">
        <v>118.8</v>
      </c>
      <c r="AB111" s="7">
        <v>-9.6</v>
      </c>
      <c r="AC111" s="7">
        <v>17.100000000000001</v>
      </c>
      <c r="AD111" s="7">
        <v>1.37</v>
      </c>
      <c r="AE111" s="7">
        <v>16.600000000000001</v>
      </c>
      <c r="AF111" s="7">
        <v>12.2</v>
      </c>
      <c r="AG111" s="7">
        <v>28.6</v>
      </c>
      <c r="AH111" s="7">
        <v>20.3</v>
      </c>
      <c r="AI111" s="7">
        <v>12.2</v>
      </c>
      <c r="AJ111" s="7">
        <v>55.7</v>
      </c>
      <c r="AK111" s="7">
        <v>60.2</v>
      </c>
      <c r="AL111" s="7">
        <v>22.2</v>
      </c>
      <c r="AM111" s="7">
        <v>101.28</v>
      </c>
      <c r="AN111" s="7">
        <v>14.7</v>
      </c>
      <c r="AO111" s="7">
        <v>3217</v>
      </c>
    </row>
    <row r="112" spans="1:41">
      <c r="A112" s="13" t="s">
        <v>263</v>
      </c>
      <c r="B112" s="6" t="s">
        <v>144</v>
      </c>
      <c r="C112" s="41">
        <f t="shared" si="3"/>
        <v>0.55496688741721856</v>
      </c>
      <c r="D112" s="42">
        <f t="shared" si="2"/>
        <v>1.0916666666666666</v>
      </c>
      <c r="E112" s="31">
        <v>838</v>
      </c>
      <c r="F112" s="24">
        <v>302</v>
      </c>
      <c r="G112" s="24">
        <v>667</v>
      </c>
      <c r="H112" s="8">
        <v>45.3</v>
      </c>
      <c r="I112" s="9">
        <v>239</v>
      </c>
      <c r="J112" s="8">
        <v>38.1</v>
      </c>
      <c r="K112" s="8">
        <v>143</v>
      </c>
      <c r="L112" s="25">
        <v>200</v>
      </c>
      <c r="M112" s="8">
        <v>72.2</v>
      </c>
      <c r="N112" s="9">
        <v>80</v>
      </c>
      <c r="O112" s="9">
        <v>359</v>
      </c>
      <c r="P112" s="9">
        <v>445</v>
      </c>
      <c r="Q112" s="24">
        <v>131</v>
      </c>
      <c r="R112" s="24">
        <v>120</v>
      </c>
      <c r="S112" s="9">
        <v>63</v>
      </c>
      <c r="T112" s="9">
        <v>63</v>
      </c>
      <c r="U112" s="9">
        <v>131</v>
      </c>
      <c r="V112" s="8">
        <v>1813</v>
      </c>
      <c r="W112" s="8">
        <v>14</v>
      </c>
      <c r="X112" s="8">
        <v>0</v>
      </c>
      <c r="Y112" s="7">
        <v>0.9</v>
      </c>
      <c r="Z112" s="7">
        <v>114.2</v>
      </c>
      <c r="AA112" s="7">
        <v>113.2</v>
      </c>
      <c r="AB112" s="7">
        <v>1.1000000000000001</v>
      </c>
      <c r="AC112" s="7">
        <v>9.8000000000000007</v>
      </c>
      <c r="AD112" s="7">
        <v>1.1100000000000001</v>
      </c>
      <c r="AE112" s="7">
        <v>13.1</v>
      </c>
      <c r="AF112" s="7">
        <v>4.4000000000000004</v>
      </c>
      <c r="AG112" s="7">
        <v>18.3</v>
      </c>
      <c r="AH112" s="7">
        <v>11.5</v>
      </c>
      <c r="AI112" s="7">
        <v>11.8</v>
      </c>
      <c r="AJ112" s="7">
        <v>52.1</v>
      </c>
      <c r="AK112" s="7">
        <v>55.6</v>
      </c>
      <c r="AL112" s="7">
        <v>19.8</v>
      </c>
      <c r="AM112" s="7">
        <v>101.66</v>
      </c>
      <c r="AN112" s="7">
        <v>9.6999999999999993</v>
      </c>
      <c r="AO112" s="7">
        <v>3889</v>
      </c>
    </row>
    <row r="113" spans="1:41">
      <c r="A113" s="6" t="s">
        <v>265</v>
      </c>
      <c r="B113" s="6" t="s">
        <v>122</v>
      </c>
      <c r="C113" s="41">
        <f t="shared" si="3"/>
        <v>0.53980932749291421</v>
      </c>
      <c r="D113" s="42">
        <f t="shared" si="2"/>
        <v>1.8932584269662922</v>
      </c>
      <c r="E113" s="31">
        <v>838</v>
      </c>
      <c r="F113" s="24">
        <v>284</v>
      </c>
      <c r="G113" s="24">
        <v>686</v>
      </c>
      <c r="H113" s="8">
        <v>41.9</v>
      </c>
      <c r="I113" s="9">
        <v>297</v>
      </c>
      <c r="J113" s="8">
        <v>35.4</v>
      </c>
      <c r="K113" s="8">
        <v>158</v>
      </c>
      <c r="L113" s="25">
        <v>205</v>
      </c>
      <c r="M113" s="8">
        <v>76.7</v>
      </c>
      <c r="N113" s="9">
        <v>53</v>
      </c>
      <c r="O113" s="9">
        <v>145</v>
      </c>
      <c r="P113" s="9">
        <v>198</v>
      </c>
      <c r="Q113" s="24">
        <v>337</v>
      </c>
      <c r="R113" s="24">
        <v>178</v>
      </c>
      <c r="S113" s="9">
        <v>66</v>
      </c>
      <c r="T113" s="9">
        <v>13</v>
      </c>
      <c r="U113" s="9">
        <v>178</v>
      </c>
      <c r="V113" s="8">
        <v>1643</v>
      </c>
      <c r="W113" s="8">
        <v>2</v>
      </c>
      <c r="X113" s="8">
        <v>0</v>
      </c>
      <c r="Y113" s="7">
        <v>-0.6</v>
      </c>
      <c r="Z113" s="7">
        <v>112.5</v>
      </c>
      <c r="AA113" s="7">
        <v>113.7</v>
      </c>
      <c r="AB113" s="7">
        <v>-1.3</v>
      </c>
      <c r="AC113" s="7">
        <v>27.4</v>
      </c>
      <c r="AD113" s="7">
        <v>1.89</v>
      </c>
      <c r="AE113" s="7">
        <v>25.9</v>
      </c>
      <c r="AF113" s="7">
        <v>2.8</v>
      </c>
      <c r="AG113" s="7">
        <v>8.3000000000000007</v>
      </c>
      <c r="AH113" s="7">
        <v>5.4</v>
      </c>
      <c r="AI113" s="7">
        <v>13.7</v>
      </c>
      <c r="AJ113" s="7">
        <v>49.6</v>
      </c>
      <c r="AK113" s="7">
        <v>54</v>
      </c>
      <c r="AL113" s="7">
        <v>22</v>
      </c>
      <c r="AM113" s="7">
        <v>100.99</v>
      </c>
      <c r="AN113" s="7">
        <v>8.4</v>
      </c>
      <c r="AO113" s="7">
        <v>3705</v>
      </c>
    </row>
    <row r="114" spans="1:41">
      <c r="A114" s="6" t="s">
        <v>267</v>
      </c>
      <c r="B114" s="6" t="s">
        <v>196</v>
      </c>
      <c r="C114" s="41">
        <f t="shared" si="3"/>
        <v>0.49557123910572187</v>
      </c>
      <c r="D114" s="42">
        <f t="shared" si="2"/>
        <v>1.4621848739495797</v>
      </c>
      <c r="E114" s="31">
        <v>837</v>
      </c>
      <c r="F114" s="24">
        <v>300</v>
      </c>
      <c r="G114" s="24">
        <v>782</v>
      </c>
      <c r="H114" s="8">
        <v>38.9</v>
      </c>
      <c r="I114" s="9">
        <v>403</v>
      </c>
      <c r="J114" s="8">
        <v>31.4</v>
      </c>
      <c r="K114" s="8">
        <v>111</v>
      </c>
      <c r="L114" s="25">
        <v>142</v>
      </c>
      <c r="M114" s="8">
        <v>77</v>
      </c>
      <c r="N114" s="9">
        <v>63</v>
      </c>
      <c r="O114" s="9">
        <v>237</v>
      </c>
      <c r="P114" s="9">
        <v>300</v>
      </c>
      <c r="Q114" s="24">
        <v>174</v>
      </c>
      <c r="R114" s="24">
        <v>119</v>
      </c>
      <c r="S114" s="9">
        <v>79</v>
      </c>
      <c r="T114" s="9">
        <v>32</v>
      </c>
      <c r="U114" s="9">
        <v>205</v>
      </c>
      <c r="V114" s="8">
        <v>1675</v>
      </c>
      <c r="W114" s="8">
        <v>0</v>
      </c>
      <c r="X114" s="8">
        <v>0</v>
      </c>
      <c r="Y114" s="7">
        <v>-5.4</v>
      </c>
      <c r="Z114" s="7">
        <v>104.1</v>
      </c>
      <c r="AA114" s="7">
        <v>114.4</v>
      </c>
      <c r="AB114" s="7">
        <v>-10.3</v>
      </c>
      <c r="AC114" s="7">
        <v>14.8</v>
      </c>
      <c r="AD114" s="7">
        <v>1.51</v>
      </c>
      <c r="AE114" s="7">
        <v>15.5</v>
      </c>
      <c r="AF114" s="7">
        <v>3.1</v>
      </c>
      <c r="AG114" s="7">
        <v>12.5</v>
      </c>
      <c r="AH114" s="7">
        <v>7.6</v>
      </c>
      <c r="AI114" s="7">
        <v>10.3</v>
      </c>
      <c r="AJ114" s="7">
        <v>47</v>
      </c>
      <c r="AK114" s="7">
        <v>49.9</v>
      </c>
      <c r="AL114" s="7">
        <v>21.2</v>
      </c>
      <c r="AM114" s="7">
        <v>98.77</v>
      </c>
      <c r="AN114" s="7">
        <v>7</v>
      </c>
      <c r="AO114" s="7">
        <v>3954</v>
      </c>
    </row>
    <row r="115" spans="1:41">
      <c r="A115" s="6" t="s">
        <v>269</v>
      </c>
      <c r="B115" s="6" t="s">
        <v>84</v>
      </c>
      <c r="C115" s="41">
        <f t="shared" si="3"/>
        <v>0.63960298378644964</v>
      </c>
      <c r="D115" s="42">
        <f t="shared" si="2"/>
        <v>1.7746478873239437</v>
      </c>
      <c r="E115" s="31">
        <v>830</v>
      </c>
      <c r="F115" s="24">
        <v>316</v>
      </c>
      <c r="G115" s="24">
        <v>600</v>
      </c>
      <c r="H115" s="8">
        <v>52.9</v>
      </c>
      <c r="I115" s="9">
        <v>300</v>
      </c>
      <c r="J115" s="8">
        <v>36.5</v>
      </c>
      <c r="K115" s="8">
        <v>87</v>
      </c>
      <c r="L115" s="25">
        <v>111</v>
      </c>
      <c r="M115" s="8">
        <v>78.099999999999994</v>
      </c>
      <c r="N115" s="9">
        <v>55</v>
      </c>
      <c r="O115" s="9">
        <v>261</v>
      </c>
      <c r="P115" s="9">
        <v>316</v>
      </c>
      <c r="Q115" s="24">
        <v>126</v>
      </c>
      <c r="R115" s="24">
        <v>71</v>
      </c>
      <c r="S115" s="9">
        <v>47</v>
      </c>
      <c r="T115" s="9">
        <v>32</v>
      </c>
      <c r="U115" s="9">
        <v>111</v>
      </c>
      <c r="V115" s="8">
        <v>1564</v>
      </c>
      <c r="W115" s="8">
        <v>2</v>
      </c>
      <c r="X115" s="8">
        <v>0</v>
      </c>
      <c r="Y115" s="7">
        <v>-1</v>
      </c>
      <c r="Z115" s="7">
        <v>113.6</v>
      </c>
      <c r="AA115" s="7">
        <v>116.1</v>
      </c>
      <c r="AB115" s="7">
        <v>-2.6</v>
      </c>
      <c r="AC115" s="7">
        <v>11.6</v>
      </c>
      <c r="AD115" s="7">
        <v>1.88</v>
      </c>
      <c r="AE115" s="7">
        <v>15.2</v>
      </c>
      <c r="AF115" s="7">
        <v>3.6</v>
      </c>
      <c r="AG115" s="7">
        <v>16.7</v>
      </c>
      <c r="AH115" s="7">
        <v>10.1</v>
      </c>
      <c r="AI115" s="7">
        <v>8.1</v>
      </c>
      <c r="AJ115" s="7">
        <v>62.1</v>
      </c>
      <c r="AK115" s="7">
        <v>64.2</v>
      </c>
      <c r="AL115" s="7">
        <v>19.100000000000001</v>
      </c>
      <c r="AM115" s="7">
        <v>103.97</v>
      </c>
      <c r="AN115" s="7">
        <v>11.5</v>
      </c>
      <c r="AO115" s="7">
        <v>3350</v>
      </c>
    </row>
    <row r="116" spans="1:41">
      <c r="A116" s="6" t="s">
        <v>271</v>
      </c>
      <c r="B116" s="6" t="s">
        <v>146</v>
      </c>
      <c r="C116" s="41">
        <f t="shared" si="3"/>
        <v>0.64216051683438946</v>
      </c>
      <c r="D116" s="42">
        <f t="shared" si="2"/>
        <v>1.4814814814814814</v>
      </c>
      <c r="E116" s="31">
        <v>827</v>
      </c>
      <c r="F116" s="24">
        <v>365</v>
      </c>
      <c r="G116" s="24">
        <v>581</v>
      </c>
      <c r="H116" s="8">
        <v>62.7</v>
      </c>
      <c r="I116" s="9">
        <v>6</v>
      </c>
      <c r="J116" s="8">
        <v>33.299999999999997</v>
      </c>
      <c r="K116" s="8">
        <v>97</v>
      </c>
      <c r="L116" s="25">
        <v>143</v>
      </c>
      <c r="M116" s="8">
        <v>67.400000000000006</v>
      </c>
      <c r="N116" s="9">
        <v>188</v>
      </c>
      <c r="O116" s="9">
        <v>359</v>
      </c>
      <c r="P116" s="9">
        <v>547</v>
      </c>
      <c r="Q116" s="24">
        <v>160</v>
      </c>
      <c r="R116" s="24">
        <v>108</v>
      </c>
      <c r="S116" s="9">
        <v>68</v>
      </c>
      <c r="T116" s="9">
        <v>68</v>
      </c>
      <c r="U116" s="9">
        <v>177</v>
      </c>
      <c r="V116" s="8">
        <v>2018</v>
      </c>
      <c r="W116" s="8">
        <v>23</v>
      </c>
      <c r="X116" s="8">
        <v>0</v>
      </c>
      <c r="Y116" s="7">
        <v>-0.6</v>
      </c>
      <c r="Z116" s="7">
        <v>111.2</v>
      </c>
      <c r="AA116" s="7">
        <v>111.9</v>
      </c>
      <c r="AB116" s="7">
        <v>-0.7</v>
      </c>
      <c r="AC116" s="7">
        <v>13.6</v>
      </c>
      <c r="AD116" s="7">
        <v>1.42</v>
      </c>
      <c r="AE116" s="7">
        <v>17.399999999999999</v>
      </c>
      <c r="AF116" s="7">
        <v>11</v>
      </c>
      <c r="AG116" s="7">
        <v>20.6</v>
      </c>
      <c r="AH116" s="7">
        <v>15.8</v>
      </c>
      <c r="AI116" s="7">
        <v>12.2</v>
      </c>
      <c r="AJ116" s="7">
        <v>62.8</v>
      </c>
      <c r="AK116" s="7">
        <v>64.099999999999994</v>
      </c>
      <c r="AL116" s="7">
        <v>18.399999999999999</v>
      </c>
      <c r="AM116" s="7">
        <v>101.44</v>
      </c>
      <c r="AN116" s="7">
        <v>13.3</v>
      </c>
      <c r="AO116" s="7">
        <v>3557</v>
      </c>
    </row>
    <row r="117" spans="1:41">
      <c r="A117" s="6" t="s">
        <v>273</v>
      </c>
      <c r="B117" s="6" t="s">
        <v>54</v>
      </c>
      <c r="C117" s="41">
        <f t="shared" si="3"/>
        <v>0.58574913484994606</v>
      </c>
      <c r="D117" s="42">
        <f t="shared" si="2"/>
        <v>4.8202247191011232</v>
      </c>
      <c r="E117" s="31">
        <v>826</v>
      </c>
      <c r="F117" s="24">
        <v>308</v>
      </c>
      <c r="G117" s="24">
        <v>680</v>
      </c>
      <c r="H117" s="8">
        <v>44.8</v>
      </c>
      <c r="I117" s="9">
        <v>405</v>
      </c>
      <c r="J117" s="8">
        <v>41.4</v>
      </c>
      <c r="K117" s="8">
        <v>49</v>
      </c>
      <c r="L117" s="25">
        <v>57</v>
      </c>
      <c r="M117" s="8">
        <v>89.5</v>
      </c>
      <c r="N117" s="9">
        <v>41</v>
      </c>
      <c r="O117" s="9">
        <v>154</v>
      </c>
      <c r="P117" s="9">
        <v>194</v>
      </c>
      <c r="Q117" s="24">
        <v>429</v>
      </c>
      <c r="R117" s="24">
        <v>89</v>
      </c>
      <c r="S117" s="9">
        <v>73</v>
      </c>
      <c r="T117" s="9">
        <v>8</v>
      </c>
      <c r="U117" s="9">
        <v>65</v>
      </c>
      <c r="V117" s="8">
        <v>1847</v>
      </c>
      <c r="W117" s="8">
        <v>6</v>
      </c>
      <c r="X117" s="8">
        <v>0</v>
      </c>
      <c r="Y117" s="7">
        <v>-1.1000000000000001</v>
      </c>
      <c r="Z117" s="7">
        <v>113.6</v>
      </c>
      <c r="AA117" s="7">
        <v>116.1</v>
      </c>
      <c r="AB117" s="7">
        <v>-2.5</v>
      </c>
      <c r="AC117" s="7">
        <v>27.6</v>
      </c>
      <c r="AD117" s="7">
        <v>4.71</v>
      </c>
      <c r="AE117" s="7">
        <v>34.9</v>
      </c>
      <c r="AF117" s="7">
        <v>1.9</v>
      </c>
      <c r="AG117" s="7">
        <v>6.9</v>
      </c>
      <c r="AH117" s="7">
        <v>4.5</v>
      </c>
      <c r="AI117" s="7">
        <v>7.4</v>
      </c>
      <c r="AJ117" s="7">
        <v>57</v>
      </c>
      <c r="AK117" s="7">
        <v>58.5</v>
      </c>
      <c r="AL117" s="7">
        <v>16</v>
      </c>
      <c r="AM117" s="7">
        <v>99.19</v>
      </c>
      <c r="AN117" s="7">
        <v>9.9</v>
      </c>
      <c r="AO117" s="7">
        <v>4500</v>
      </c>
    </row>
    <row r="118" spans="1:41">
      <c r="A118" s="6" t="s">
        <v>275</v>
      </c>
      <c r="B118" s="6" t="s">
        <v>82</v>
      </c>
      <c r="C118" s="41">
        <f t="shared" si="3"/>
        <v>0.55694075559650924</v>
      </c>
      <c r="D118" s="42">
        <f t="shared" si="2"/>
        <v>1.8873239436619718</v>
      </c>
      <c r="E118" s="31">
        <v>822</v>
      </c>
      <c r="F118" s="24">
        <v>284</v>
      </c>
      <c r="G118" s="24">
        <v>679</v>
      </c>
      <c r="H118" s="8">
        <v>42.5</v>
      </c>
      <c r="I118" s="9">
        <v>395</v>
      </c>
      <c r="J118" s="8">
        <v>35.200000000000003</v>
      </c>
      <c r="K118" s="8">
        <v>111</v>
      </c>
      <c r="L118" s="25">
        <v>134</v>
      </c>
      <c r="M118" s="8">
        <v>82.2</v>
      </c>
      <c r="N118" s="9">
        <v>87</v>
      </c>
      <c r="O118" s="9">
        <v>182</v>
      </c>
      <c r="P118" s="9">
        <v>269</v>
      </c>
      <c r="Q118" s="24">
        <v>134</v>
      </c>
      <c r="R118" s="24">
        <v>71</v>
      </c>
      <c r="S118" s="9">
        <v>47</v>
      </c>
      <c r="T118" s="9">
        <v>8</v>
      </c>
      <c r="U118" s="9">
        <v>142</v>
      </c>
      <c r="V118" s="8">
        <v>1438</v>
      </c>
      <c r="W118" s="8">
        <v>1</v>
      </c>
      <c r="X118" s="8">
        <v>0</v>
      </c>
      <c r="Y118" s="7">
        <v>2.4</v>
      </c>
      <c r="Z118" s="7">
        <v>116.7</v>
      </c>
      <c r="AA118" s="7">
        <v>111.9</v>
      </c>
      <c r="AB118" s="7">
        <v>4.7</v>
      </c>
      <c r="AC118" s="7">
        <v>8.1999999999999993</v>
      </c>
      <c r="AD118" s="7">
        <v>1.96</v>
      </c>
      <c r="AE118" s="7">
        <v>14.4</v>
      </c>
      <c r="AF118" s="7">
        <v>4</v>
      </c>
      <c r="AG118" s="7">
        <v>8.3000000000000007</v>
      </c>
      <c r="AH118" s="7">
        <v>6.1</v>
      </c>
      <c r="AI118" s="7">
        <v>7.4</v>
      </c>
      <c r="AJ118" s="7">
        <v>52.7</v>
      </c>
      <c r="AK118" s="7">
        <v>56</v>
      </c>
      <c r="AL118" s="7">
        <v>15.6</v>
      </c>
      <c r="AM118" s="7">
        <v>104.64</v>
      </c>
      <c r="AN118" s="7">
        <v>6.5</v>
      </c>
      <c r="AO118" s="7">
        <v>4444</v>
      </c>
    </row>
    <row r="119" spans="1:41">
      <c r="A119" s="13" t="s">
        <v>277</v>
      </c>
      <c r="B119" s="6" t="s">
        <v>50</v>
      </c>
      <c r="C119" s="41">
        <f t="shared" si="3"/>
        <v>0.58797410335739664</v>
      </c>
      <c r="D119" s="42">
        <f t="shared" si="2"/>
        <v>2.0227272727272729</v>
      </c>
      <c r="E119" s="31">
        <v>821</v>
      </c>
      <c r="F119" s="24">
        <v>281</v>
      </c>
      <c r="G119" s="24">
        <v>659</v>
      </c>
      <c r="H119" s="8">
        <v>43.1</v>
      </c>
      <c r="I119" s="9">
        <v>437</v>
      </c>
      <c r="J119" s="8">
        <v>41.6</v>
      </c>
      <c r="K119" s="8">
        <v>81</v>
      </c>
      <c r="L119" s="25">
        <v>89</v>
      </c>
      <c r="M119" s="8">
        <v>84.8</v>
      </c>
      <c r="N119" s="9">
        <v>22</v>
      </c>
      <c r="O119" s="9">
        <v>148</v>
      </c>
      <c r="P119" s="9">
        <v>170</v>
      </c>
      <c r="Q119" s="24">
        <v>89</v>
      </c>
      <c r="R119" s="24">
        <v>44</v>
      </c>
      <c r="S119" s="9">
        <v>74</v>
      </c>
      <c r="T119" s="9">
        <v>7</v>
      </c>
      <c r="U119" s="9">
        <v>126</v>
      </c>
      <c r="V119" s="8">
        <v>1339</v>
      </c>
      <c r="W119" s="8">
        <v>0</v>
      </c>
      <c r="X119" s="8">
        <v>0</v>
      </c>
      <c r="Y119" s="7">
        <v>0.9</v>
      </c>
      <c r="Z119" s="7">
        <v>115.9</v>
      </c>
      <c r="AA119" s="7">
        <v>114</v>
      </c>
      <c r="AB119" s="7">
        <v>1.9</v>
      </c>
      <c r="AC119" s="7">
        <v>6.4</v>
      </c>
      <c r="AD119" s="7">
        <v>2.0699999999999998</v>
      </c>
      <c r="AE119" s="7">
        <v>10.6</v>
      </c>
      <c r="AF119" s="7">
        <v>1.1000000000000001</v>
      </c>
      <c r="AG119" s="7">
        <v>7.4</v>
      </c>
      <c r="AH119" s="7">
        <v>4.4000000000000004</v>
      </c>
      <c r="AI119" s="7">
        <v>5.0999999999999996</v>
      </c>
      <c r="AJ119" s="7">
        <v>56.8</v>
      </c>
      <c r="AK119" s="7">
        <v>59.1</v>
      </c>
      <c r="AL119" s="7">
        <v>16.8</v>
      </c>
      <c r="AM119" s="7">
        <v>100.75</v>
      </c>
      <c r="AN119" s="7">
        <v>7</v>
      </c>
      <c r="AO119" s="7">
        <v>3972</v>
      </c>
    </row>
    <row r="120" spans="1:41">
      <c r="A120" s="6" t="s">
        <v>279</v>
      </c>
      <c r="B120" s="6" t="s">
        <v>52</v>
      </c>
      <c r="C120" s="41">
        <f t="shared" si="3"/>
        <v>0.618879216539717</v>
      </c>
      <c r="D120" s="42">
        <f t="shared" si="2"/>
        <v>1.6</v>
      </c>
      <c r="E120" s="31">
        <v>819</v>
      </c>
      <c r="F120" s="24">
        <v>277</v>
      </c>
      <c r="G120" s="24">
        <v>575</v>
      </c>
      <c r="H120" s="8">
        <v>48.3</v>
      </c>
      <c r="I120" s="9">
        <v>252</v>
      </c>
      <c r="J120" s="8">
        <v>41.2</v>
      </c>
      <c r="K120" s="8">
        <v>160</v>
      </c>
      <c r="L120" s="25">
        <v>197</v>
      </c>
      <c r="M120" s="8">
        <v>80.900000000000006</v>
      </c>
      <c r="N120" s="9">
        <v>67</v>
      </c>
      <c r="O120" s="9">
        <v>214</v>
      </c>
      <c r="P120" s="9">
        <v>286</v>
      </c>
      <c r="Q120" s="24">
        <v>88</v>
      </c>
      <c r="R120" s="24">
        <v>55</v>
      </c>
      <c r="S120" s="9">
        <v>29</v>
      </c>
      <c r="T120" s="9">
        <v>63</v>
      </c>
      <c r="U120" s="9">
        <v>118</v>
      </c>
      <c r="V120" s="8">
        <v>1520</v>
      </c>
      <c r="W120" s="8">
        <v>6</v>
      </c>
      <c r="X120" s="8">
        <v>0</v>
      </c>
      <c r="Y120" s="7">
        <v>4.0999999999999996</v>
      </c>
      <c r="Z120" s="7">
        <v>116.2</v>
      </c>
      <c r="AA120" s="7">
        <v>110.3</v>
      </c>
      <c r="AB120" s="7">
        <v>5.8</v>
      </c>
      <c r="AC120" s="7">
        <v>11.3</v>
      </c>
      <c r="AD120" s="7">
        <v>1.64</v>
      </c>
      <c r="AE120" s="7">
        <v>10.8</v>
      </c>
      <c r="AF120" s="7">
        <v>5.4</v>
      </c>
      <c r="AG120" s="7">
        <v>16.3</v>
      </c>
      <c r="AH120" s="7">
        <v>11</v>
      </c>
      <c r="AI120" s="7">
        <v>6.6</v>
      </c>
      <c r="AJ120" s="7">
        <v>57.2</v>
      </c>
      <c r="AK120" s="7">
        <v>61.8</v>
      </c>
      <c r="AL120" s="7">
        <v>25.3</v>
      </c>
      <c r="AM120" s="7">
        <v>99.83</v>
      </c>
      <c r="AN120" s="7">
        <v>13.2</v>
      </c>
      <c r="AO120" s="7">
        <v>2528</v>
      </c>
    </row>
    <row r="121" spans="1:41">
      <c r="A121" s="6" t="s">
        <v>281</v>
      </c>
      <c r="B121" s="6" t="s">
        <v>56</v>
      </c>
      <c r="C121" s="41">
        <f t="shared" si="3"/>
        <v>0.59081407502032279</v>
      </c>
      <c r="D121" s="42">
        <f t="shared" si="2"/>
        <v>2</v>
      </c>
      <c r="E121" s="31">
        <v>814</v>
      </c>
      <c r="F121" s="24">
        <v>289</v>
      </c>
      <c r="G121" s="24">
        <v>666</v>
      </c>
      <c r="H121" s="8">
        <v>43.7</v>
      </c>
      <c r="I121" s="9">
        <v>481</v>
      </c>
      <c r="J121" s="8">
        <v>39.299999999999997</v>
      </c>
      <c r="K121" s="8">
        <v>44</v>
      </c>
      <c r="L121" s="25">
        <v>52</v>
      </c>
      <c r="M121" s="8">
        <v>88.7</v>
      </c>
      <c r="N121" s="9">
        <v>15</v>
      </c>
      <c r="O121" s="9">
        <v>148</v>
      </c>
      <c r="P121" s="9">
        <v>170</v>
      </c>
      <c r="Q121" s="24">
        <v>178</v>
      </c>
      <c r="R121" s="24">
        <v>89</v>
      </c>
      <c r="S121" s="9">
        <v>37</v>
      </c>
      <c r="T121" s="9">
        <v>7</v>
      </c>
      <c r="U121" s="9">
        <v>133</v>
      </c>
      <c r="V121" s="8">
        <v>1332</v>
      </c>
      <c r="W121" s="8">
        <v>0</v>
      </c>
      <c r="X121" s="8">
        <v>0</v>
      </c>
      <c r="Y121" s="7">
        <v>0.9</v>
      </c>
      <c r="Z121" s="7">
        <v>110.1</v>
      </c>
      <c r="AA121" s="7">
        <v>109.9</v>
      </c>
      <c r="AB121" s="7">
        <v>0.2</v>
      </c>
      <c r="AC121" s="7">
        <v>14.8</v>
      </c>
      <c r="AD121" s="7">
        <v>2.0499999999999998</v>
      </c>
      <c r="AE121" s="7">
        <v>18.600000000000001</v>
      </c>
      <c r="AF121" s="7">
        <v>1</v>
      </c>
      <c r="AG121" s="7">
        <v>8.4</v>
      </c>
      <c r="AH121" s="7">
        <v>4.7</v>
      </c>
      <c r="AI121" s="7">
        <v>9.1</v>
      </c>
      <c r="AJ121" s="7">
        <v>58.1</v>
      </c>
      <c r="AK121" s="7">
        <v>59.5</v>
      </c>
      <c r="AL121" s="7">
        <v>18.7</v>
      </c>
      <c r="AM121" s="7">
        <v>97.68</v>
      </c>
      <c r="AN121" s="7">
        <v>7.8</v>
      </c>
      <c r="AO121" s="7">
        <v>3661</v>
      </c>
    </row>
    <row r="122" spans="1:41">
      <c r="A122" s="6" t="s">
        <v>283</v>
      </c>
      <c r="B122" s="6" t="s">
        <v>82</v>
      </c>
      <c r="C122" s="41">
        <f t="shared" si="3"/>
        <v>0.58909628427337546</v>
      </c>
      <c r="D122" s="42">
        <f t="shared" si="2"/>
        <v>2.625</v>
      </c>
      <c r="E122" s="31">
        <v>813</v>
      </c>
      <c r="F122" s="24">
        <v>312</v>
      </c>
      <c r="G122" s="24">
        <v>650</v>
      </c>
      <c r="H122" s="8">
        <v>48.3</v>
      </c>
      <c r="I122" s="9">
        <v>325</v>
      </c>
      <c r="J122" s="8">
        <v>36.799999999999997</v>
      </c>
      <c r="K122" s="8">
        <v>65</v>
      </c>
      <c r="L122" s="25">
        <v>91</v>
      </c>
      <c r="M122" s="8">
        <v>69.099999999999994</v>
      </c>
      <c r="N122" s="9">
        <v>91</v>
      </c>
      <c r="O122" s="9">
        <v>325</v>
      </c>
      <c r="P122" s="9">
        <v>416</v>
      </c>
      <c r="Q122" s="24">
        <v>189</v>
      </c>
      <c r="R122" s="24">
        <v>72</v>
      </c>
      <c r="S122" s="9">
        <v>52</v>
      </c>
      <c r="T122" s="9">
        <v>26</v>
      </c>
      <c r="U122" s="9">
        <v>78</v>
      </c>
      <c r="V122" s="8">
        <v>1762</v>
      </c>
      <c r="W122" s="8">
        <v>10</v>
      </c>
      <c r="X122" s="8">
        <v>0</v>
      </c>
      <c r="Y122" s="7">
        <v>2.2999999999999998</v>
      </c>
      <c r="Z122" s="7">
        <v>116.1</v>
      </c>
      <c r="AA122" s="7">
        <v>112.6</v>
      </c>
      <c r="AB122" s="7">
        <v>3.5</v>
      </c>
      <c r="AC122" s="7">
        <v>14.9</v>
      </c>
      <c r="AD122" s="7">
        <v>2.65</v>
      </c>
      <c r="AE122" s="7">
        <v>19.899999999999999</v>
      </c>
      <c r="AF122" s="7">
        <v>5.2</v>
      </c>
      <c r="AG122" s="7">
        <v>18.100000000000001</v>
      </c>
      <c r="AH122" s="7">
        <v>11.6</v>
      </c>
      <c r="AI122" s="7">
        <v>7.5</v>
      </c>
      <c r="AJ122" s="7">
        <v>57.6</v>
      </c>
      <c r="AK122" s="7">
        <v>58.8</v>
      </c>
      <c r="AL122" s="7">
        <v>17.899999999999999</v>
      </c>
      <c r="AM122" s="7">
        <v>105.41</v>
      </c>
      <c r="AN122" s="7">
        <v>12.1</v>
      </c>
      <c r="AO122" s="7">
        <v>3654</v>
      </c>
    </row>
    <row r="123" spans="1:41">
      <c r="A123" s="6" t="s">
        <v>285</v>
      </c>
      <c r="B123" s="6" t="s">
        <v>94</v>
      </c>
      <c r="C123" s="41">
        <f t="shared" si="3"/>
        <v>0.5770324047754406</v>
      </c>
      <c r="D123" s="42">
        <f t="shared" si="2"/>
        <v>1.5540540540540539</v>
      </c>
      <c r="E123" s="31">
        <v>812</v>
      </c>
      <c r="F123" s="24">
        <v>279</v>
      </c>
      <c r="G123" s="24">
        <v>664</v>
      </c>
      <c r="H123" s="8">
        <v>41.5</v>
      </c>
      <c r="I123" s="9">
        <v>484</v>
      </c>
      <c r="J123" s="8">
        <v>37.1</v>
      </c>
      <c r="K123" s="8">
        <v>82</v>
      </c>
      <c r="L123" s="25">
        <v>90</v>
      </c>
      <c r="M123" s="8">
        <v>90.4</v>
      </c>
      <c r="N123" s="9">
        <v>66</v>
      </c>
      <c r="O123" s="9">
        <v>254</v>
      </c>
      <c r="P123" s="9">
        <v>320</v>
      </c>
      <c r="Q123" s="24">
        <v>115</v>
      </c>
      <c r="R123" s="24">
        <v>74</v>
      </c>
      <c r="S123" s="9">
        <v>57</v>
      </c>
      <c r="T123" s="9">
        <v>33</v>
      </c>
      <c r="U123" s="9">
        <v>115</v>
      </c>
      <c r="V123" s="8">
        <v>1574</v>
      </c>
      <c r="W123" s="8">
        <v>0</v>
      </c>
      <c r="X123" s="8">
        <v>0</v>
      </c>
      <c r="Y123" s="7">
        <v>-0.8</v>
      </c>
      <c r="Z123" s="7">
        <v>112.3</v>
      </c>
      <c r="AA123" s="7">
        <v>114.5</v>
      </c>
      <c r="AB123" s="7">
        <v>-2.1</v>
      </c>
      <c r="AC123" s="7">
        <v>7.8</v>
      </c>
      <c r="AD123" s="7">
        <v>1.5</v>
      </c>
      <c r="AE123" s="7">
        <v>12.6</v>
      </c>
      <c r="AF123" s="7">
        <v>3.2</v>
      </c>
      <c r="AG123" s="7">
        <v>12.1</v>
      </c>
      <c r="AH123" s="7">
        <v>7.7</v>
      </c>
      <c r="AI123" s="7">
        <v>8.4</v>
      </c>
      <c r="AJ123" s="7">
        <v>54.9</v>
      </c>
      <c r="AK123" s="7">
        <v>57.7</v>
      </c>
      <c r="AL123" s="7">
        <v>16.399999999999999</v>
      </c>
      <c r="AM123" s="7">
        <v>102.25</v>
      </c>
      <c r="AN123" s="7">
        <v>7.9</v>
      </c>
      <c r="AO123" s="7">
        <v>4125</v>
      </c>
    </row>
    <row r="124" spans="1:41">
      <c r="A124" s="6" t="s">
        <v>287</v>
      </c>
      <c r="B124" s="6" t="s">
        <v>114</v>
      </c>
      <c r="C124" s="41">
        <f t="shared" si="3"/>
        <v>0.51401391162029453</v>
      </c>
      <c r="D124" s="42">
        <f t="shared" si="2"/>
        <v>2.5971223021582732</v>
      </c>
      <c r="E124" s="31">
        <v>804</v>
      </c>
      <c r="F124" s="24">
        <v>303</v>
      </c>
      <c r="G124" s="24">
        <v>746</v>
      </c>
      <c r="H124" s="8">
        <v>40.1</v>
      </c>
      <c r="I124" s="9">
        <v>410</v>
      </c>
      <c r="J124" s="8">
        <v>33.9</v>
      </c>
      <c r="K124" s="8">
        <v>66</v>
      </c>
      <c r="L124" s="25">
        <v>82</v>
      </c>
      <c r="M124" s="8">
        <v>81.2</v>
      </c>
      <c r="N124" s="9">
        <v>33</v>
      </c>
      <c r="O124" s="9">
        <v>312</v>
      </c>
      <c r="P124" s="9">
        <v>344</v>
      </c>
      <c r="Q124" s="24">
        <v>361</v>
      </c>
      <c r="R124" s="24">
        <v>139</v>
      </c>
      <c r="S124" s="9">
        <v>57</v>
      </c>
      <c r="T124" s="9">
        <v>25</v>
      </c>
      <c r="U124" s="9">
        <v>189</v>
      </c>
      <c r="V124" s="8">
        <v>1845</v>
      </c>
      <c r="W124" s="8">
        <v>5</v>
      </c>
      <c r="X124" s="8">
        <v>0</v>
      </c>
      <c r="Y124" s="7">
        <v>-9.6999999999999993</v>
      </c>
      <c r="Z124" s="7">
        <v>102.8</v>
      </c>
      <c r="AA124" s="7">
        <v>118</v>
      </c>
      <c r="AB124" s="7">
        <v>-15.2</v>
      </c>
      <c r="AC124" s="7">
        <v>21.3</v>
      </c>
      <c r="AD124" s="7">
        <v>2.58</v>
      </c>
      <c r="AE124" s="7">
        <v>28.3</v>
      </c>
      <c r="AF124" s="7">
        <v>1.2</v>
      </c>
      <c r="AG124" s="7">
        <v>11.7</v>
      </c>
      <c r="AH124" s="7">
        <v>6.4</v>
      </c>
      <c r="AI124" s="7">
        <v>11</v>
      </c>
      <c r="AJ124" s="7">
        <v>49.3</v>
      </c>
      <c r="AK124" s="7">
        <v>51.4</v>
      </c>
      <c r="AL124" s="7">
        <v>15.4</v>
      </c>
      <c r="AM124" s="7">
        <v>103.06</v>
      </c>
      <c r="AN124" s="7">
        <v>7.1</v>
      </c>
      <c r="AO124" s="7">
        <v>5279</v>
      </c>
    </row>
    <row r="125" spans="1:41">
      <c r="A125" s="6" t="s">
        <v>289</v>
      </c>
      <c r="B125" s="6" t="s">
        <v>62</v>
      </c>
      <c r="C125" s="41">
        <f t="shared" si="3"/>
        <v>0.58903623016812701</v>
      </c>
      <c r="D125" s="42">
        <f t="shared" si="2"/>
        <v>1.6428571428571428</v>
      </c>
      <c r="E125" s="31">
        <v>796</v>
      </c>
      <c r="F125" s="24">
        <v>311</v>
      </c>
      <c r="G125" s="24">
        <v>622</v>
      </c>
      <c r="H125" s="8">
        <v>49.8</v>
      </c>
      <c r="I125" s="9">
        <v>189</v>
      </c>
      <c r="J125" s="8">
        <v>41.1</v>
      </c>
      <c r="K125" s="8">
        <v>96</v>
      </c>
      <c r="L125" s="25">
        <v>122</v>
      </c>
      <c r="M125" s="8">
        <v>81</v>
      </c>
      <c r="N125" s="9">
        <v>33</v>
      </c>
      <c r="O125" s="9">
        <v>185</v>
      </c>
      <c r="P125" s="9">
        <v>218</v>
      </c>
      <c r="Q125" s="24">
        <v>115</v>
      </c>
      <c r="R125" s="24">
        <v>70</v>
      </c>
      <c r="S125" s="9">
        <v>59</v>
      </c>
      <c r="T125" s="9">
        <v>19</v>
      </c>
      <c r="U125" s="9">
        <v>56</v>
      </c>
      <c r="V125" s="8">
        <v>1388</v>
      </c>
      <c r="W125" s="8">
        <v>5</v>
      </c>
      <c r="X125" s="8">
        <v>0</v>
      </c>
      <c r="Y125" s="7">
        <v>8</v>
      </c>
      <c r="Z125" s="7">
        <v>120.3</v>
      </c>
      <c r="AA125" s="7">
        <v>107.9</v>
      </c>
      <c r="AB125" s="7">
        <v>12.4</v>
      </c>
      <c r="AC125" s="7">
        <v>14.7</v>
      </c>
      <c r="AD125" s="7">
        <v>1.61</v>
      </c>
      <c r="AE125" s="7">
        <v>13.5</v>
      </c>
      <c r="AF125" s="7">
        <v>3.3</v>
      </c>
      <c r="AG125" s="7">
        <v>15.8</v>
      </c>
      <c r="AH125" s="7">
        <v>9.8000000000000007</v>
      </c>
      <c r="AI125" s="7">
        <v>8.4</v>
      </c>
      <c r="AJ125" s="7">
        <v>56</v>
      </c>
      <c r="AK125" s="7">
        <v>58.9</v>
      </c>
      <c r="AL125" s="7">
        <v>28</v>
      </c>
      <c r="AM125" s="7">
        <v>97.26</v>
      </c>
      <c r="AN125" s="7">
        <v>13.4</v>
      </c>
      <c r="AO125" s="7">
        <v>2391</v>
      </c>
    </row>
    <row r="126" spans="1:41">
      <c r="A126" s="6" t="s">
        <v>291</v>
      </c>
      <c r="B126" s="6" t="s">
        <v>58</v>
      </c>
      <c r="C126" s="41">
        <f t="shared" si="3"/>
        <v>0.61074664167447668</v>
      </c>
      <c r="D126" s="42">
        <f t="shared" si="2"/>
        <v>1.4050632911392404</v>
      </c>
      <c r="E126" s="31">
        <v>782</v>
      </c>
      <c r="F126" s="24">
        <v>284</v>
      </c>
      <c r="G126" s="24">
        <v>616</v>
      </c>
      <c r="H126" s="8">
        <v>46.1</v>
      </c>
      <c r="I126" s="9">
        <v>411</v>
      </c>
      <c r="J126" s="8">
        <v>40.6</v>
      </c>
      <c r="K126" s="8">
        <v>47</v>
      </c>
      <c r="L126" s="25">
        <v>55</v>
      </c>
      <c r="M126" s="8">
        <v>79.3</v>
      </c>
      <c r="N126" s="9">
        <v>47</v>
      </c>
      <c r="O126" s="9">
        <v>221</v>
      </c>
      <c r="P126" s="9">
        <v>269</v>
      </c>
      <c r="Q126" s="24">
        <v>111</v>
      </c>
      <c r="R126" s="24">
        <v>79</v>
      </c>
      <c r="S126" s="9">
        <v>32</v>
      </c>
      <c r="T126" s="9">
        <v>16</v>
      </c>
      <c r="U126" s="9">
        <v>198</v>
      </c>
      <c r="V126" s="8">
        <v>1319</v>
      </c>
      <c r="W126" s="8">
        <v>1</v>
      </c>
      <c r="X126" s="8">
        <v>0</v>
      </c>
      <c r="Y126" s="7">
        <v>2.5</v>
      </c>
      <c r="Z126" s="7">
        <v>118.7</v>
      </c>
      <c r="AA126" s="7">
        <v>114.1</v>
      </c>
      <c r="AB126" s="7">
        <v>4.7</v>
      </c>
      <c r="AC126" s="7">
        <v>8.6999999999999993</v>
      </c>
      <c r="AD126" s="7">
        <v>1.35</v>
      </c>
      <c r="AE126" s="7">
        <v>13.2</v>
      </c>
      <c r="AF126" s="7">
        <v>2.7</v>
      </c>
      <c r="AG126" s="7">
        <v>12.6</v>
      </c>
      <c r="AH126" s="7">
        <v>7.7</v>
      </c>
      <c r="AI126" s="7">
        <v>9.8000000000000007</v>
      </c>
      <c r="AJ126" s="7">
        <v>59.5</v>
      </c>
      <c r="AK126" s="7">
        <v>60.7</v>
      </c>
      <c r="AL126" s="7">
        <v>17.7</v>
      </c>
      <c r="AM126" s="7">
        <v>102.45</v>
      </c>
      <c r="AN126" s="7">
        <v>7.1</v>
      </c>
      <c r="AO126" s="7">
        <v>3633</v>
      </c>
    </row>
    <row r="127" spans="1:41">
      <c r="A127" s="13" t="s">
        <v>293</v>
      </c>
      <c r="B127" s="6" t="s">
        <v>82</v>
      </c>
      <c r="C127" s="41">
        <f t="shared" si="3"/>
        <v>0.58396558934225462</v>
      </c>
      <c r="D127" s="42">
        <f t="shared" si="2"/>
        <v>2.5970149253731343</v>
      </c>
      <c r="E127" s="31">
        <v>782</v>
      </c>
      <c r="F127" s="24">
        <v>284</v>
      </c>
      <c r="G127" s="24">
        <v>593</v>
      </c>
      <c r="H127" s="8">
        <v>48</v>
      </c>
      <c r="I127" s="9">
        <v>221</v>
      </c>
      <c r="J127" s="8">
        <v>39.700000000000003</v>
      </c>
      <c r="K127" s="8">
        <v>119</v>
      </c>
      <c r="L127" s="25">
        <v>174</v>
      </c>
      <c r="M127" s="8">
        <v>71.3</v>
      </c>
      <c r="N127" s="9">
        <v>63</v>
      </c>
      <c r="O127" s="9">
        <v>198</v>
      </c>
      <c r="P127" s="9">
        <v>261</v>
      </c>
      <c r="Q127" s="24">
        <v>348</v>
      </c>
      <c r="R127" s="24">
        <v>134</v>
      </c>
      <c r="S127" s="9">
        <v>103</v>
      </c>
      <c r="T127" s="9">
        <v>32</v>
      </c>
      <c r="U127" s="9">
        <v>205</v>
      </c>
      <c r="V127" s="8">
        <v>1872</v>
      </c>
      <c r="W127" s="8">
        <v>9</v>
      </c>
      <c r="X127" s="8">
        <v>1</v>
      </c>
      <c r="Y127" s="7">
        <v>0.6</v>
      </c>
      <c r="Z127" s="7">
        <v>111</v>
      </c>
      <c r="AA127" s="7">
        <v>109.7</v>
      </c>
      <c r="AB127" s="7">
        <v>1.3</v>
      </c>
      <c r="AC127" s="7">
        <v>28.3</v>
      </c>
      <c r="AD127" s="7">
        <v>2.5099999999999998</v>
      </c>
      <c r="AE127" s="7">
        <v>30.3</v>
      </c>
      <c r="AF127" s="7">
        <v>3.5</v>
      </c>
      <c r="AG127" s="7">
        <v>10.5</v>
      </c>
      <c r="AH127" s="7">
        <v>7</v>
      </c>
      <c r="AI127" s="7">
        <v>12</v>
      </c>
      <c r="AJ127" s="7">
        <v>55.3</v>
      </c>
      <c r="AK127" s="7">
        <v>58.2</v>
      </c>
      <c r="AL127" s="7">
        <v>18.8</v>
      </c>
      <c r="AM127" s="7">
        <v>105.6</v>
      </c>
      <c r="AN127" s="7">
        <v>10.6</v>
      </c>
      <c r="AO127" s="7">
        <v>3700</v>
      </c>
    </row>
    <row r="128" spans="1:41">
      <c r="A128" s="13" t="s">
        <v>295</v>
      </c>
      <c r="B128" s="6" t="s">
        <v>62</v>
      </c>
      <c r="C128" s="41">
        <f t="shared" si="3"/>
        <v>0.61159675492107413</v>
      </c>
      <c r="D128" s="42">
        <f t="shared" si="2"/>
        <v>0.89855072463768115</v>
      </c>
      <c r="E128" s="31">
        <v>778</v>
      </c>
      <c r="F128" s="24">
        <v>308</v>
      </c>
      <c r="G128" s="24">
        <v>585</v>
      </c>
      <c r="H128" s="8">
        <v>52.6</v>
      </c>
      <c r="I128" s="9">
        <v>216</v>
      </c>
      <c r="J128" s="8">
        <v>35.6</v>
      </c>
      <c r="K128" s="8">
        <v>85</v>
      </c>
      <c r="L128" s="25">
        <v>116</v>
      </c>
      <c r="M128" s="8">
        <v>70.3</v>
      </c>
      <c r="N128" s="9">
        <v>92</v>
      </c>
      <c r="O128" s="9">
        <v>169</v>
      </c>
      <c r="P128" s="9">
        <v>262</v>
      </c>
      <c r="Q128" s="24">
        <v>62</v>
      </c>
      <c r="R128" s="24">
        <v>69</v>
      </c>
      <c r="S128" s="9">
        <v>77</v>
      </c>
      <c r="T128" s="9">
        <v>31</v>
      </c>
      <c r="U128" s="9">
        <v>154</v>
      </c>
      <c r="V128" s="8">
        <v>1455</v>
      </c>
      <c r="W128" s="8">
        <v>0</v>
      </c>
      <c r="X128" s="8">
        <v>0</v>
      </c>
      <c r="Y128" s="7">
        <v>3.2</v>
      </c>
      <c r="Z128" s="7">
        <v>115.5</v>
      </c>
      <c r="AA128" s="7">
        <v>108.7</v>
      </c>
      <c r="AB128" s="7">
        <v>6.7</v>
      </c>
      <c r="AC128" s="7">
        <v>4.4000000000000004</v>
      </c>
      <c r="AD128" s="7">
        <v>0.91</v>
      </c>
      <c r="AE128" s="7">
        <v>7.8</v>
      </c>
      <c r="AF128" s="7">
        <v>5.0999999999999996</v>
      </c>
      <c r="AG128" s="7">
        <v>9.1999999999999993</v>
      </c>
      <c r="AH128" s="7">
        <v>7.2</v>
      </c>
      <c r="AI128" s="7">
        <v>8.6</v>
      </c>
      <c r="AJ128" s="7">
        <v>59.3</v>
      </c>
      <c r="AK128" s="7">
        <v>60.9</v>
      </c>
      <c r="AL128" s="7">
        <v>16</v>
      </c>
      <c r="AM128" s="7">
        <v>99.72</v>
      </c>
      <c r="AN128" s="7">
        <v>7.6</v>
      </c>
      <c r="AO128" s="7">
        <v>3886</v>
      </c>
    </row>
    <row r="129" spans="1:41">
      <c r="A129" s="6" t="s">
        <v>297</v>
      </c>
      <c r="B129" s="6" t="s">
        <v>146</v>
      </c>
      <c r="C129" s="41">
        <f t="shared" si="3"/>
        <v>0.54247782674178613</v>
      </c>
      <c r="D129" s="42">
        <f t="shared" si="2"/>
        <v>1.1975308641975309</v>
      </c>
      <c r="E129" s="31">
        <v>778</v>
      </c>
      <c r="F129" s="24">
        <v>265</v>
      </c>
      <c r="G129" s="24">
        <v>648</v>
      </c>
      <c r="H129" s="8">
        <v>41</v>
      </c>
      <c r="I129" s="9">
        <v>324</v>
      </c>
      <c r="J129" s="8">
        <v>35</v>
      </c>
      <c r="K129" s="8">
        <v>135</v>
      </c>
      <c r="L129" s="25">
        <v>157</v>
      </c>
      <c r="M129" s="8">
        <v>85.8</v>
      </c>
      <c r="N129" s="9">
        <v>43</v>
      </c>
      <c r="O129" s="9">
        <v>151</v>
      </c>
      <c r="P129" s="9">
        <v>194</v>
      </c>
      <c r="Q129" s="24">
        <v>97</v>
      </c>
      <c r="R129" s="24">
        <v>81</v>
      </c>
      <c r="S129" s="9">
        <v>49</v>
      </c>
      <c r="T129" s="9">
        <v>11</v>
      </c>
      <c r="U129" s="9">
        <v>119</v>
      </c>
      <c r="V129" s="8">
        <v>1247</v>
      </c>
      <c r="W129" s="8">
        <v>0</v>
      </c>
      <c r="X129" s="8">
        <v>0</v>
      </c>
      <c r="Y129" s="7">
        <v>-3.9</v>
      </c>
      <c r="Z129" s="7">
        <v>110.3</v>
      </c>
      <c r="AA129" s="7">
        <v>116.1</v>
      </c>
      <c r="AB129" s="7">
        <v>-5.8</v>
      </c>
      <c r="AC129" s="7">
        <v>8.6999999999999993</v>
      </c>
      <c r="AD129" s="7">
        <v>1.18</v>
      </c>
      <c r="AE129" s="7">
        <v>10.9</v>
      </c>
      <c r="AF129" s="7">
        <v>2.7</v>
      </c>
      <c r="AG129" s="7">
        <v>9.1999999999999993</v>
      </c>
      <c r="AH129" s="7">
        <v>5.9</v>
      </c>
      <c r="AI129" s="7">
        <v>9.3000000000000007</v>
      </c>
      <c r="AJ129" s="7">
        <v>49.8</v>
      </c>
      <c r="AK129" s="7">
        <v>54.3</v>
      </c>
      <c r="AL129" s="7">
        <v>20.9</v>
      </c>
      <c r="AM129" s="7">
        <v>101.36</v>
      </c>
      <c r="AN129" s="7">
        <v>7.1</v>
      </c>
      <c r="AO129" s="7">
        <v>3345</v>
      </c>
    </row>
    <row r="130" spans="1:41">
      <c r="A130" s="6" t="s">
        <v>299</v>
      </c>
      <c r="B130" s="6" t="s">
        <v>58</v>
      </c>
      <c r="C130" s="41">
        <f t="shared" si="3"/>
        <v>0.57781892021022452</v>
      </c>
      <c r="D130" s="42">
        <f t="shared" ref="D130:D193" si="4">IFERROR(Q130/R130,"NA")</f>
        <v>2.831168831168831</v>
      </c>
      <c r="E130" s="31">
        <v>774</v>
      </c>
      <c r="F130" s="24">
        <v>282</v>
      </c>
      <c r="G130" s="24">
        <v>602</v>
      </c>
      <c r="H130" s="8">
        <v>46.7</v>
      </c>
      <c r="I130" s="9">
        <v>282</v>
      </c>
      <c r="J130" s="8">
        <v>37.299999999999997</v>
      </c>
      <c r="K130" s="8">
        <v>109</v>
      </c>
      <c r="L130" s="25">
        <v>154</v>
      </c>
      <c r="M130" s="8">
        <v>71</v>
      </c>
      <c r="N130" s="9">
        <v>38</v>
      </c>
      <c r="O130" s="9">
        <v>160</v>
      </c>
      <c r="P130" s="9">
        <v>205</v>
      </c>
      <c r="Q130" s="24">
        <v>218</v>
      </c>
      <c r="R130" s="24">
        <v>77</v>
      </c>
      <c r="S130" s="9">
        <v>58</v>
      </c>
      <c r="T130" s="9">
        <v>32</v>
      </c>
      <c r="U130" s="9">
        <v>96</v>
      </c>
      <c r="V130" s="8">
        <v>1536</v>
      </c>
      <c r="W130" s="8">
        <v>1</v>
      </c>
      <c r="X130" s="8">
        <v>0</v>
      </c>
      <c r="Y130" s="7">
        <v>4</v>
      </c>
      <c r="Z130" s="7">
        <v>120.5</v>
      </c>
      <c r="AA130" s="7">
        <v>113.4</v>
      </c>
      <c r="AB130" s="7">
        <v>7.2</v>
      </c>
      <c r="AC130" s="7">
        <v>17.8</v>
      </c>
      <c r="AD130" s="7">
        <v>2.83</v>
      </c>
      <c r="AE130" s="7">
        <v>22.5</v>
      </c>
      <c r="AF130" s="7">
        <v>2.6</v>
      </c>
      <c r="AG130" s="7">
        <v>9.6</v>
      </c>
      <c r="AH130" s="7">
        <v>6.2</v>
      </c>
      <c r="AI130" s="7">
        <v>7.9</v>
      </c>
      <c r="AJ130" s="7">
        <v>55.6</v>
      </c>
      <c r="AK130" s="7">
        <v>58.2</v>
      </c>
      <c r="AL130" s="7">
        <v>19.100000000000001</v>
      </c>
      <c r="AM130" s="7">
        <v>103.21</v>
      </c>
      <c r="AN130" s="7">
        <v>9.4</v>
      </c>
      <c r="AO130" s="7">
        <v>3437</v>
      </c>
    </row>
    <row r="131" spans="1:41">
      <c r="A131" s="6" t="s">
        <v>301</v>
      </c>
      <c r="B131" s="6" t="s">
        <v>170</v>
      </c>
      <c r="C131" s="41">
        <f t="shared" ref="C131:C194" si="5">IFERROR((E131/(2*(G131+0.44*L131))),"NA")</f>
        <v>0.61698871245456288</v>
      </c>
      <c r="D131" s="42">
        <f t="shared" si="4"/>
        <v>1</v>
      </c>
      <c r="E131" s="31">
        <v>774</v>
      </c>
      <c r="F131" s="24">
        <v>277</v>
      </c>
      <c r="G131" s="24">
        <v>596</v>
      </c>
      <c r="H131" s="8">
        <v>45.9</v>
      </c>
      <c r="I131" s="9">
        <v>369</v>
      </c>
      <c r="J131" s="8">
        <v>42.2</v>
      </c>
      <c r="K131" s="8">
        <v>64</v>
      </c>
      <c r="L131" s="25">
        <v>71</v>
      </c>
      <c r="M131" s="8">
        <v>89</v>
      </c>
      <c r="N131" s="9">
        <v>43</v>
      </c>
      <c r="O131" s="9">
        <v>170</v>
      </c>
      <c r="P131" s="9">
        <v>213</v>
      </c>
      <c r="Q131" s="24">
        <v>107</v>
      </c>
      <c r="R131" s="24">
        <v>107</v>
      </c>
      <c r="S131" s="9">
        <v>43</v>
      </c>
      <c r="T131" s="9">
        <v>7</v>
      </c>
      <c r="U131" s="9">
        <v>114</v>
      </c>
      <c r="V131" s="8">
        <v>1243</v>
      </c>
      <c r="W131" s="8">
        <v>0</v>
      </c>
      <c r="X131" s="8">
        <v>0</v>
      </c>
      <c r="Y131" s="7">
        <v>-4</v>
      </c>
      <c r="Z131" s="7">
        <v>109.9</v>
      </c>
      <c r="AA131" s="7">
        <v>119.5</v>
      </c>
      <c r="AB131" s="7">
        <v>-9.6</v>
      </c>
      <c r="AC131" s="7">
        <v>11.7</v>
      </c>
      <c r="AD131" s="7">
        <v>1.03</v>
      </c>
      <c r="AE131" s="7">
        <v>13</v>
      </c>
      <c r="AF131" s="7">
        <v>2.8</v>
      </c>
      <c r="AG131" s="7">
        <v>11</v>
      </c>
      <c r="AH131" s="7">
        <v>6.9</v>
      </c>
      <c r="AI131" s="7">
        <v>12.7</v>
      </c>
      <c r="AJ131" s="7">
        <v>59</v>
      </c>
      <c r="AK131" s="7">
        <v>61.2</v>
      </c>
      <c r="AL131" s="7">
        <v>20.8</v>
      </c>
      <c r="AM131" s="7">
        <v>103.21</v>
      </c>
      <c r="AN131" s="7">
        <v>8.6999999999999993</v>
      </c>
      <c r="AO131" s="7">
        <v>3084</v>
      </c>
    </row>
    <row r="132" spans="1:41">
      <c r="A132" s="6" t="s">
        <v>303</v>
      </c>
      <c r="B132" s="6" t="s">
        <v>74</v>
      </c>
      <c r="C132" s="41">
        <f t="shared" si="5"/>
        <v>0.61615227649534499</v>
      </c>
      <c r="D132" s="42">
        <f t="shared" si="4"/>
        <v>1.7659574468085106</v>
      </c>
      <c r="E132" s="31">
        <v>773</v>
      </c>
      <c r="F132" s="24">
        <v>295</v>
      </c>
      <c r="G132" s="24">
        <v>578</v>
      </c>
      <c r="H132" s="8">
        <v>50.9</v>
      </c>
      <c r="I132" s="9">
        <v>248</v>
      </c>
      <c r="J132" s="8">
        <v>41.3</v>
      </c>
      <c r="K132" s="8">
        <v>89</v>
      </c>
      <c r="L132" s="25">
        <v>112</v>
      </c>
      <c r="M132" s="8">
        <v>77</v>
      </c>
      <c r="N132" s="9">
        <v>77</v>
      </c>
      <c r="O132" s="9">
        <v>218</v>
      </c>
      <c r="P132" s="9">
        <v>295</v>
      </c>
      <c r="Q132" s="24">
        <v>83</v>
      </c>
      <c r="R132" s="24">
        <v>47</v>
      </c>
      <c r="S132" s="9">
        <v>47</v>
      </c>
      <c r="T132" s="9">
        <v>24</v>
      </c>
      <c r="U132" s="9">
        <v>106</v>
      </c>
      <c r="V132" s="8">
        <v>1416</v>
      </c>
      <c r="W132" s="8">
        <v>1</v>
      </c>
      <c r="X132" s="8">
        <v>0</v>
      </c>
      <c r="Y132" s="7">
        <v>2.7</v>
      </c>
      <c r="Z132" s="7">
        <v>114.8</v>
      </c>
      <c r="AA132" s="7">
        <v>110.9</v>
      </c>
      <c r="AB132" s="7">
        <v>3.9</v>
      </c>
      <c r="AC132" s="7">
        <v>6.3</v>
      </c>
      <c r="AD132" s="7">
        <v>1.69</v>
      </c>
      <c r="AE132" s="7">
        <v>10.9</v>
      </c>
      <c r="AF132" s="7">
        <v>4.4000000000000004</v>
      </c>
      <c r="AG132" s="7">
        <v>11.1</v>
      </c>
      <c r="AH132" s="7">
        <v>7.9</v>
      </c>
      <c r="AI132" s="7">
        <v>6.5</v>
      </c>
      <c r="AJ132" s="7">
        <v>59.7</v>
      </c>
      <c r="AK132" s="7">
        <v>61.9</v>
      </c>
      <c r="AL132" s="7">
        <v>15.6</v>
      </c>
      <c r="AM132" s="7">
        <v>99.44</v>
      </c>
      <c r="AN132" s="7">
        <v>8.6</v>
      </c>
      <c r="AO132" s="7">
        <v>3875</v>
      </c>
    </row>
    <row r="133" spans="1:41">
      <c r="A133" s="13" t="s">
        <v>305</v>
      </c>
      <c r="B133" s="6" t="s">
        <v>50</v>
      </c>
      <c r="C133" s="41">
        <f t="shared" si="5"/>
        <v>0.53009106868553868</v>
      </c>
      <c r="D133" s="42">
        <f t="shared" si="4"/>
        <v>1.8888888888888888</v>
      </c>
      <c r="E133" s="31">
        <v>773</v>
      </c>
      <c r="F133" s="24">
        <v>293</v>
      </c>
      <c r="G133" s="24">
        <v>653</v>
      </c>
      <c r="H133" s="8">
        <v>44.9</v>
      </c>
      <c r="I133" s="9">
        <v>180</v>
      </c>
      <c r="J133" s="8">
        <v>31.1</v>
      </c>
      <c r="K133" s="8">
        <v>128</v>
      </c>
      <c r="L133" s="25">
        <v>173</v>
      </c>
      <c r="M133" s="8">
        <v>76.900000000000006</v>
      </c>
      <c r="N133" s="9">
        <v>45</v>
      </c>
      <c r="O133" s="9">
        <v>233</v>
      </c>
      <c r="P133" s="9">
        <v>278</v>
      </c>
      <c r="Q133" s="24">
        <v>255</v>
      </c>
      <c r="R133" s="24">
        <v>135</v>
      </c>
      <c r="S133" s="9">
        <v>83</v>
      </c>
      <c r="T133" s="9">
        <v>15</v>
      </c>
      <c r="U133" s="9">
        <v>120</v>
      </c>
      <c r="V133" s="8">
        <v>1635</v>
      </c>
      <c r="W133" s="8">
        <v>2</v>
      </c>
      <c r="X133" s="8">
        <v>1</v>
      </c>
      <c r="Y133" s="7">
        <v>0.4</v>
      </c>
      <c r="Z133" s="7">
        <v>109.1</v>
      </c>
      <c r="AA133" s="7">
        <v>108</v>
      </c>
      <c r="AB133" s="7">
        <v>1.1000000000000001</v>
      </c>
      <c r="AC133" s="7">
        <v>27.6</v>
      </c>
      <c r="AD133" s="7">
        <v>1.88</v>
      </c>
      <c r="AE133" s="7">
        <v>22.9</v>
      </c>
      <c r="AF133" s="7">
        <v>2.9</v>
      </c>
      <c r="AG133" s="7">
        <v>14.8</v>
      </c>
      <c r="AH133" s="7">
        <v>9.1999999999999993</v>
      </c>
      <c r="AI133" s="7">
        <v>12.2</v>
      </c>
      <c r="AJ133" s="7">
        <v>49.2</v>
      </c>
      <c r="AK133" s="7">
        <v>53.1</v>
      </c>
      <c r="AL133" s="7">
        <v>24.8</v>
      </c>
      <c r="AM133" s="7">
        <v>100.63</v>
      </c>
      <c r="AN133" s="7">
        <v>11.9</v>
      </c>
      <c r="AO133" s="7">
        <v>3104</v>
      </c>
    </row>
    <row r="134" spans="1:41">
      <c r="A134" s="6" t="s">
        <v>307</v>
      </c>
      <c r="B134" s="6" t="s">
        <v>46</v>
      </c>
      <c r="C134" s="41">
        <f t="shared" si="5"/>
        <v>0.57917668269230771</v>
      </c>
      <c r="D134" s="42">
        <f t="shared" si="4"/>
        <v>2.2551020408163267</v>
      </c>
      <c r="E134" s="31">
        <v>771</v>
      </c>
      <c r="F134" s="24">
        <v>271</v>
      </c>
      <c r="G134" s="24">
        <v>615</v>
      </c>
      <c r="H134" s="8">
        <v>43.8</v>
      </c>
      <c r="I134" s="9">
        <v>369</v>
      </c>
      <c r="J134" s="8">
        <v>38.1</v>
      </c>
      <c r="K134" s="8">
        <v>90</v>
      </c>
      <c r="L134" s="25">
        <v>115</v>
      </c>
      <c r="M134" s="8">
        <v>78</v>
      </c>
      <c r="N134" s="9">
        <v>57</v>
      </c>
      <c r="O134" s="9">
        <v>213</v>
      </c>
      <c r="P134" s="9">
        <v>262</v>
      </c>
      <c r="Q134" s="24">
        <v>221</v>
      </c>
      <c r="R134" s="24">
        <v>98</v>
      </c>
      <c r="S134" s="9">
        <v>49</v>
      </c>
      <c r="T134" s="9">
        <v>33</v>
      </c>
      <c r="U134" s="9">
        <v>139</v>
      </c>
      <c r="V134" s="8">
        <v>1583</v>
      </c>
      <c r="W134" s="8">
        <v>1</v>
      </c>
      <c r="X134" s="8">
        <v>0</v>
      </c>
      <c r="Y134" s="7">
        <v>3.3</v>
      </c>
      <c r="Z134" s="7">
        <v>115.1</v>
      </c>
      <c r="AA134" s="7">
        <v>108.5</v>
      </c>
      <c r="AB134" s="7">
        <v>6.6</v>
      </c>
      <c r="AC134" s="7">
        <v>14.9</v>
      </c>
      <c r="AD134" s="7">
        <v>2.25</v>
      </c>
      <c r="AE134" s="7">
        <v>22.7</v>
      </c>
      <c r="AF134" s="7">
        <v>2.6</v>
      </c>
      <c r="AG134" s="7">
        <v>9.8000000000000007</v>
      </c>
      <c r="AH134" s="7">
        <v>6.2</v>
      </c>
      <c r="AI134" s="7">
        <v>10.1</v>
      </c>
      <c r="AJ134" s="7">
        <v>55.3</v>
      </c>
      <c r="AK134" s="7">
        <v>57.9</v>
      </c>
      <c r="AL134" s="7">
        <v>15.5</v>
      </c>
      <c r="AM134" s="7">
        <v>99.57</v>
      </c>
      <c r="AN134" s="7">
        <v>8.1</v>
      </c>
      <c r="AO134" s="7">
        <v>4294</v>
      </c>
    </row>
    <row r="135" spans="1:41">
      <c r="A135" s="6" t="s">
        <v>309</v>
      </c>
      <c r="B135" s="6" t="s">
        <v>116</v>
      </c>
      <c r="C135" s="41">
        <f t="shared" si="5"/>
        <v>0.61936936936936937</v>
      </c>
      <c r="D135" s="42">
        <f t="shared" si="4"/>
        <v>1.75</v>
      </c>
      <c r="E135" s="31">
        <v>770</v>
      </c>
      <c r="F135" s="24">
        <v>280</v>
      </c>
      <c r="G135" s="24">
        <v>560</v>
      </c>
      <c r="H135" s="8">
        <v>50.1</v>
      </c>
      <c r="I135" s="9">
        <v>273</v>
      </c>
      <c r="J135" s="8">
        <v>38</v>
      </c>
      <c r="K135" s="8">
        <v>98</v>
      </c>
      <c r="L135" s="25">
        <v>140</v>
      </c>
      <c r="M135" s="8">
        <v>72.5</v>
      </c>
      <c r="N135" s="9">
        <v>133</v>
      </c>
      <c r="O135" s="9">
        <v>259</v>
      </c>
      <c r="P135" s="9">
        <v>392</v>
      </c>
      <c r="Q135" s="24">
        <v>147</v>
      </c>
      <c r="R135" s="24">
        <v>84</v>
      </c>
      <c r="S135" s="9">
        <v>56</v>
      </c>
      <c r="T135" s="9">
        <v>21</v>
      </c>
      <c r="U135" s="9">
        <v>161</v>
      </c>
      <c r="V135" s="8">
        <v>1624</v>
      </c>
      <c r="W135" s="8">
        <v>3</v>
      </c>
      <c r="X135" s="8">
        <v>0</v>
      </c>
      <c r="Y135" s="7">
        <v>-1.7</v>
      </c>
      <c r="Z135" s="7">
        <v>113.5</v>
      </c>
      <c r="AA135" s="7">
        <v>116.7</v>
      </c>
      <c r="AB135" s="7">
        <v>-3.2</v>
      </c>
      <c r="AC135" s="7">
        <v>11.4</v>
      </c>
      <c r="AD135" s="7">
        <v>1.7</v>
      </c>
      <c r="AE135" s="7">
        <v>17.2</v>
      </c>
      <c r="AF135" s="7">
        <v>7</v>
      </c>
      <c r="AG135" s="7">
        <v>14.9</v>
      </c>
      <c r="AH135" s="7">
        <v>10.8</v>
      </c>
      <c r="AI135" s="7">
        <v>10.1</v>
      </c>
      <c r="AJ135" s="7">
        <v>59.3</v>
      </c>
      <c r="AK135" s="7">
        <v>61.6</v>
      </c>
      <c r="AL135" s="7">
        <v>16.3</v>
      </c>
      <c r="AM135" s="7">
        <v>97.28</v>
      </c>
      <c r="AN135" s="7">
        <v>9.1999999999999993</v>
      </c>
      <c r="AO135" s="7">
        <v>3842</v>
      </c>
    </row>
    <row r="136" spans="1:41">
      <c r="A136" s="6" t="s">
        <v>311</v>
      </c>
      <c r="B136" s="6" t="s">
        <v>170</v>
      </c>
      <c r="C136" s="41">
        <f t="shared" si="5"/>
        <v>0.62897245762711873</v>
      </c>
      <c r="D136" s="42">
        <f t="shared" si="4"/>
        <v>0.76923076923076927</v>
      </c>
      <c r="E136" s="31">
        <v>760</v>
      </c>
      <c r="F136" s="24">
        <v>280</v>
      </c>
      <c r="G136" s="24">
        <v>532</v>
      </c>
      <c r="H136" s="8">
        <v>52.7</v>
      </c>
      <c r="I136" s="9">
        <v>148</v>
      </c>
      <c r="J136" s="8">
        <v>39.9</v>
      </c>
      <c r="K136" s="8">
        <v>140</v>
      </c>
      <c r="L136" s="25">
        <v>164</v>
      </c>
      <c r="M136" s="8">
        <v>84.8</v>
      </c>
      <c r="N136" s="9">
        <v>88</v>
      </c>
      <c r="O136" s="9">
        <v>240</v>
      </c>
      <c r="P136" s="9">
        <v>328</v>
      </c>
      <c r="Q136" s="24">
        <v>80</v>
      </c>
      <c r="R136" s="24">
        <v>104</v>
      </c>
      <c r="S136" s="9">
        <v>40</v>
      </c>
      <c r="T136" s="9">
        <v>40</v>
      </c>
      <c r="U136" s="9">
        <v>116</v>
      </c>
      <c r="V136" s="8">
        <v>1404</v>
      </c>
      <c r="W136" s="8">
        <v>13</v>
      </c>
      <c r="X136" s="8">
        <v>0</v>
      </c>
      <c r="Y136" s="7">
        <v>-0.4</v>
      </c>
      <c r="Z136" s="7">
        <v>112.4</v>
      </c>
      <c r="AA136" s="7">
        <v>113.3</v>
      </c>
      <c r="AB136" s="7">
        <v>-0.9</v>
      </c>
      <c r="AC136" s="7">
        <v>10.5</v>
      </c>
      <c r="AD136" s="7">
        <v>0.78</v>
      </c>
      <c r="AE136" s="7">
        <v>10.199999999999999</v>
      </c>
      <c r="AF136" s="7">
        <v>7.3</v>
      </c>
      <c r="AG136" s="7">
        <v>17.899999999999999</v>
      </c>
      <c r="AH136" s="7">
        <v>12.8</v>
      </c>
      <c r="AI136" s="7">
        <v>13.2</v>
      </c>
      <c r="AJ136" s="7">
        <v>58.3</v>
      </c>
      <c r="AK136" s="7">
        <v>62.8</v>
      </c>
      <c r="AL136" s="7">
        <v>23.4</v>
      </c>
      <c r="AM136" s="7">
        <v>101.72</v>
      </c>
      <c r="AN136" s="7">
        <v>12.9</v>
      </c>
      <c r="AO136" s="7">
        <v>2590</v>
      </c>
    </row>
    <row r="137" spans="1:41">
      <c r="A137" s="6" t="s">
        <v>313</v>
      </c>
      <c r="B137" s="6" t="s">
        <v>44</v>
      </c>
      <c r="C137" s="41">
        <f t="shared" si="5"/>
        <v>0.61788005761424636</v>
      </c>
      <c r="D137" s="42">
        <f t="shared" si="4"/>
        <v>3.189189189189189</v>
      </c>
      <c r="E137" s="31">
        <v>755</v>
      </c>
      <c r="F137" s="24">
        <v>259</v>
      </c>
      <c r="G137" s="24">
        <v>585</v>
      </c>
      <c r="H137" s="8">
        <v>44</v>
      </c>
      <c r="I137" s="9">
        <v>466</v>
      </c>
      <c r="J137" s="8">
        <v>41.2</v>
      </c>
      <c r="K137" s="8">
        <v>44</v>
      </c>
      <c r="L137" s="25">
        <v>59</v>
      </c>
      <c r="M137" s="8">
        <v>82.1</v>
      </c>
      <c r="N137" s="9">
        <v>44</v>
      </c>
      <c r="O137" s="9">
        <v>155</v>
      </c>
      <c r="P137" s="9">
        <v>192</v>
      </c>
      <c r="Q137" s="24">
        <v>118</v>
      </c>
      <c r="R137" s="24">
        <v>37</v>
      </c>
      <c r="S137" s="9">
        <v>44</v>
      </c>
      <c r="T137" s="9">
        <v>7</v>
      </c>
      <c r="U137" s="9">
        <v>111</v>
      </c>
      <c r="V137" s="8">
        <v>1302</v>
      </c>
      <c r="W137" s="8">
        <v>0</v>
      </c>
      <c r="X137" s="8">
        <v>0</v>
      </c>
      <c r="Y137" s="7">
        <v>7.4</v>
      </c>
      <c r="Z137" s="7">
        <v>119.9</v>
      </c>
      <c r="AA137" s="7">
        <v>104.1</v>
      </c>
      <c r="AB137" s="7">
        <v>15.8</v>
      </c>
      <c r="AC137" s="7">
        <v>9.6</v>
      </c>
      <c r="AD137" s="7">
        <v>3.13</v>
      </c>
      <c r="AE137" s="7">
        <v>15.6</v>
      </c>
      <c r="AF137" s="7">
        <v>2.5</v>
      </c>
      <c r="AG137" s="7">
        <v>8.9</v>
      </c>
      <c r="AH137" s="7">
        <v>5.8</v>
      </c>
      <c r="AI137" s="7">
        <v>5</v>
      </c>
      <c r="AJ137" s="7">
        <v>60.4</v>
      </c>
      <c r="AK137" s="7">
        <v>61.7</v>
      </c>
      <c r="AL137" s="7">
        <v>16.600000000000001</v>
      </c>
      <c r="AM137" s="7">
        <v>102.23</v>
      </c>
      <c r="AN137" s="7">
        <v>8.9</v>
      </c>
      <c r="AO137" s="7">
        <v>3420</v>
      </c>
    </row>
    <row r="138" spans="1:41">
      <c r="A138" s="6" t="s">
        <v>315</v>
      </c>
      <c r="B138" s="6" t="s">
        <v>196</v>
      </c>
      <c r="C138" s="41">
        <f t="shared" si="5"/>
        <v>0.54496110530593289</v>
      </c>
      <c r="D138" s="42">
        <f t="shared" si="4"/>
        <v>1.7974683544303798</v>
      </c>
      <c r="E138" s="31">
        <v>751</v>
      </c>
      <c r="F138" s="24">
        <v>245</v>
      </c>
      <c r="G138" s="24">
        <v>616</v>
      </c>
      <c r="H138" s="8">
        <v>39.700000000000003</v>
      </c>
      <c r="I138" s="9">
        <v>363</v>
      </c>
      <c r="J138" s="8">
        <v>33.700000000000003</v>
      </c>
      <c r="K138" s="8">
        <v>134</v>
      </c>
      <c r="L138" s="25">
        <v>166</v>
      </c>
      <c r="M138" s="8">
        <v>81.8</v>
      </c>
      <c r="N138" s="9">
        <v>71</v>
      </c>
      <c r="O138" s="9">
        <v>198</v>
      </c>
      <c r="P138" s="9">
        <v>269</v>
      </c>
      <c r="Q138" s="24">
        <v>142</v>
      </c>
      <c r="R138" s="24">
        <v>79</v>
      </c>
      <c r="S138" s="9">
        <v>40</v>
      </c>
      <c r="T138" s="9">
        <v>8</v>
      </c>
      <c r="U138" s="9">
        <v>166</v>
      </c>
      <c r="V138" s="8">
        <v>1343</v>
      </c>
      <c r="W138" s="8">
        <v>0</v>
      </c>
      <c r="X138" s="8">
        <v>0</v>
      </c>
      <c r="Y138" s="7">
        <v>-3.3</v>
      </c>
      <c r="Z138" s="7">
        <v>106.9</v>
      </c>
      <c r="AA138" s="7">
        <v>113.7</v>
      </c>
      <c r="AB138" s="7">
        <v>-6.7</v>
      </c>
      <c r="AC138" s="7">
        <v>11</v>
      </c>
      <c r="AD138" s="7">
        <v>1.84</v>
      </c>
      <c r="AE138" s="7">
        <v>15.9</v>
      </c>
      <c r="AF138" s="7">
        <v>3.5</v>
      </c>
      <c r="AG138" s="7">
        <v>10.199999999999999</v>
      </c>
      <c r="AH138" s="7">
        <v>6.7</v>
      </c>
      <c r="AI138" s="7">
        <v>8.6</v>
      </c>
      <c r="AJ138" s="7">
        <v>49.5</v>
      </c>
      <c r="AK138" s="7">
        <v>54.1</v>
      </c>
      <c r="AL138" s="7">
        <v>16.100000000000001</v>
      </c>
      <c r="AM138" s="7">
        <v>97.23</v>
      </c>
      <c r="AN138" s="7">
        <v>6.5</v>
      </c>
      <c r="AO138" s="7">
        <v>4122</v>
      </c>
    </row>
    <row r="139" spans="1:41">
      <c r="A139" s="6" t="s">
        <v>317</v>
      </c>
      <c r="B139" s="6" t="s">
        <v>48</v>
      </c>
      <c r="C139" s="41">
        <f t="shared" si="5"/>
        <v>0.65358337981037373</v>
      </c>
      <c r="D139" s="42">
        <f t="shared" si="4"/>
        <v>2.295774647887324</v>
      </c>
      <c r="E139" s="31">
        <v>750</v>
      </c>
      <c r="F139" s="24">
        <v>265</v>
      </c>
      <c r="G139" s="24">
        <v>495</v>
      </c>
      <c r="H139" s="8">
        <v>53.1</v>
      </c>
      <c r="I139" s="9">
        <v>173</v>
      </c>
      <c r="J139" s="8">
        <v>43.6</v>
      </c>
      <c r="K139" s="8">
        <v>143</v>
      </c>
      <c r="L139" s="25">
        <v>179</v>
      </c>
      <c r="M139" s="8">
        <v>81</v>
      </c>
      <c r="N139" s="9">
        <v>82</v>
      </c>
      <c r="O139" s="9">
        <v>168</v>
      </c>
      <c r="P139" s="9">
        <v>245</v>
      </c>
      <c r="Q139" s="24">
        <v>163</v>
      </c>
      <c r="R139" s="24">
        <v>71</v>
      </c>
      <c r="S139" s="9">
        <v>26</v>
      </c>
      <c r="T139" s="9">
        <v>15</v>
      </c>
      <c r="U139" s="9">
        <v>82</v>
      </c>
      <c r="V139" s="8">
        <v>1326</v>
      </c>
      <c r="W139" s="8">
        <v>3</v>
      </c>
      <c r="X139" s="8">
        <v>0</v>
      </c>
      <c r="Y139" s="7">
        <v>5.9</v>
      </c>
      <c r="Z139" s="7">
        <v>122.5</v>
      </c>
      <c r="AA139" s="7">
        <v>113</v>
      </c>
      <c r="AB139" s="7">
        <v>9.5</v>
      </c>
      <c r="AC139" s="7">
        <v>14.3</v>
      </c>
      <c r="AD139" s="7">
        <v>2.25</v>
      </c>
      <c r="AE139" s="7">
        <v>20.100000000000001</v>
      </c>
      <c r="AF139" s="7">
        <v>6</v>
      </c>
      <c r="AG139" s="7">
        <v>10.9</v>
      </c>
      <c r="AH139" s="7">
        <v>8.6</v>
      </c>
      <c r="AI139" s="7">
        <v>9</v>
      </c>
      <c r="AJ139" s="7">
        <v>60.7</v>
      </c>
      <c r="AK139" s="7">
        <v>65</v>
      </c>
      <c r="AL139" s="7">
        <v>18.600000000000001</v>
      </c>
      <c r="AM139" s="7">
        <v>101.64</v>
      </c>
      <c r="AN139" s="7">
        <v>10.4</v>
      </c>
      <c r="AO139" s="7">
        <v>3068</v>
      </c>
    </row>
    <row r="140" spans="1:41">
      <c r="A140" s="6" t="s">
        <v>319</v>
      </c>
      <c r="B140" s="6" t="s">
        <v>144</v>
      </c>
      <c r="C140" s="41">
        <f t="shared" si="5"/>
        <v>0.56904515893757979</v>
      </c>
      <c r="D140" s="42">
        <f t="shared" si="4"/>
        <v>1.7209302325581395</v>
      </c>
      <c r="E140" s="31">
        <v>749</v>
      </c>
      <c r="F140" s="24">
        <v>250</v>
      </c>
      <c r="G140" s="24">
        <v>593</v>
      </c>
      <c r="H140" s="8">
        <v>42.7</v>
      </c>
      <c r="I140" s="9">
        <v>312</v>
      </c>
      <c r="J140" s="8">
        <v>36.6</v>
      </c>
      <c r="K140" s="8">
        <v>133</v>
      </c>
      <c r="L140" s="25">
        <v>148</v>
      </c>
      <c r="M140" s="8">
        <v>85.5</v>
      </c>
      <c r="N140" s="9">
        <v>39</v>
      </c>
      <c r="O140" s="9">
        <v>218</v>
      </c>
      <c r="P140" s="9">
        <v>257</v>
      </c>
      <c r="Q140" s="24">
        <v>148</v>
      </c>
      <c r="R140" s="24">
        <v>86</v>
      </c>
      <c r="S140" s="9">
        <v>62</v>
      </c>
      <c r="T140" s="9">
        <v>31</v>
      </c>
      <c r="U140" s="9">
        <v>117</v>
      </c>
      <c r="V140" s="8">
        <v>1474</v>
      </c>
      <c r="W140" s="8">
        <v>0</v>
      </c>
      <c r="X140" s="8">
        <v>0</v>
      </c>
      <c r="Y140" s="7">
        <v>-1.1000000000000001</v>
      </c>
      <c r="Z140" s="7">
        <v>112.6</v>
      </c>
      <c r="AA140" s="7">
        <v>114.3</v>
      </c>
      <c r="AB140" s="7">
        <v>-1.7</v>
      </c>
      <c r="AC140" s="7">
        <v>9.3000000000000007</v>
      </c>
      <c r="AD140" s="7">
        <v>1.66</v>
      </c>
      <c r="AE140" s="7">
        <v>16.399999999999999</v>
      </c>
      <c r="AF140" s="7">
        <v>1.9</v>
      </c>
      <c r="AG140" s="7">
        <v>10.199999999999999</v>
      </c>
      <c r="AH140" s="7">
        <v>6.1</v>
      </c>
      <c r="AI140" s="7">
        <v>9.9</v>
      </c>
      <c r="AJ140" s="7">
        <v>52.5</v>
      </c>
      <c r="AK140" s="7">
        <v>57</v>
      </c>
      <c r="AL140" s="7">
        <v>15</v>
      </c>
      <c r="AM140" s="7">
        <v>100.27</v>
      </c>
      <c r="AN140" s="7">
        <v>6.9</v>
      </c>
      <c r="AO140" s="7">
        <v>4440</v>
      </c>
    </row>
    <row r="141" spans="1:41">
      <c r="A141" s="6" t="s">
        <v>321</v>
      </c>
      <c r="B141" s="6" t="s">
        <v>70</v>
      </c>
      <c r="C141" s="41">
        <f t="shared" si="5"/>
        <v>0.55958998266690574</v>
      </c>
      <c r="D141" s="42">
        <f t="shared" si="4"/>
        <v>2.831168831168831</v>
      </c>
      <c r="E141" s="31">
        <v>749</v>
      </c>
      <c r="F141" s="24">
        <v>282</v>
      </c>
      <c r="G141" s="24">
        <v>627</v>
      </c>
      <c r="H141" s="8">
        <v>44.5</v>
      </c>
      <c r="I141" s="9">
        <v>307</v>
      </c>
      <c r="J141" s="8">
        <v>37.200000000000003</v>
      </c>
      <c r="K141" s="8">
        <v>70</v>
      </c>
      <c r="L141" s="25">
        <v>96</v>
      </c>
      <c r="M141" s="8">
        <v>75.8</v>
      </c>
      <c r="N141" s="9">
        <v>64</v>
      </c>
      <c r="O141" s="9">
        <v>262</v>
      </c>
      <c r="P141" s="9">
        <v>326</v>
      </c>
      <c r="Q141" s="24">
        <v>218</v>
      </c>
      <c r="R141" s="24">
        <v>77</v>
      </c>
      <c r="S141" s="9">
        <v>70</v>
      </c>
      <c r="T141" s="9">
        <v>13</v>
      </c>
      <c r="U141" s="9">
        <v>96</v>
      </c>
      <c r="V141" s="8">
        <v>1638</v>
      </c>
      <c r="W141" s="8">
        <v>2</v>
      </c>
      <c r="X141" s="8">
        <v>0</v>
      </c>
      <c r="Y141" s="7">
        <v>4.0999999999999996</v>
      </c>
      <c r="Z141" s="7">
        <v>111.6</v>
      </c>
      <c r="AA141" s="7">
        <v>105.1</v>
      </c>
      <c r="AB141" s="7">
        <v>6.6</v>
      </c>
      <c r="AC141" s="7">
        <v>19.399999999999999</v>
      </c>
      <c r="AD141" s="7">
        <v>2.93</v>
      </c>
      <c r="AE141" s="7">
        <v>22.8</v>
      </c>
      <c r="AF141" s="7">
        <v>3.4</v>
      </c>
      <c r="AG141" s="7">
        <v>15.1</v>
      </c>
      <c r="AH141" s="7">
        <v>8.9</v>
      </c>
      <c r="AI141" s="7">
        <v>7.8</v>
      </c>
      <c r="AJ141" s="7">
        <v>53.7</v>
      </c>
      <c r="AK141" s="7">
        <v>55.7</v>
      </c>
      <c r="AL141" s="7">
        <v>17.7</v>
      </c>
      <c r="AM141" s="7">
        <v>100.36</v>
      </c>
      <c r="AN141" s="7">
        <v>11.4</v>
      </c>
      <c r="AO141" s="7">
        <v>3600</v>
      </c>
    </row>
    <row r="142" spans="1:41">
      <c r="A142" s="6" t="s">
        <v>323</v>
      </c>
      <c r="B142" s="6" t="s">
        <v>164</v>
      </c>
      <c r="C142" s="41">
        <f t="shared" si="5"/>
        <v>0.60235063663075417</v>
      </c>
      <c r="D142" s="42">
        <f t="shared" si="4"/>
        <v>1.7666666666666666</v>
      </c>
      <c r="E142" s="31">
        <v>738</v>
      </c>
      <c r="F142" s="24">
        <v>288</v>
      </c>
      <c r="G142" s="24">
        <v>507</v>
      </c>
      <c r="H142" s="8">
        <v>56.7</v>
      </c>
      <c r="I142" s="9">
        <v>12</v>
      </c>
      <c r="J142" s="8">
        <v>23.1</v>
      </c>
      <c r="K142" s="8">
        <v>159</v>
      </c>
      <c r="L142" s="25">
        <v>240</v>
      </c>
      <c r="M142" s="8">
        <v>65.599999999999994</v>
      </c>
      <c r="N142" s="9">
        <v>75</v>
      </c>
      <c r="O142" s="9">
        <v>141</v>
      </c>
      <c r="P142" s="9">
        <v>216</v>
      </c>
      <c r="Q142" s="24">
        <v>159</v>
      </c>
      <c r="R142" s="24">
        <v>90</v>
      </c>
      <c r="S142" s="9">
        <v>36</v>
      </c>
      <c r="T142" s="9">
        <v>27</v>
      </c>
      <c r="U142" s="9">
        <v>81</v>
      </c>
      <c r="V142" s="8">
        <v>1338</v>
      </c>
      <c r="W142" s="8">
        <v>8</v>
      </c>
      <c r="X142" s="8">
        <v>2</v>
      </c>
      <c r="Y142" s="7">
        <v>-1.4</v>
      </c>
      <c r="Z142" s="7">
        <v>113.7</v>
      </c>
      <c r="AA142" s="7">
        <v>115.5</v>
      </c>
      <c r="AB142" s="7">
        <v>-1.8</v>
      </c>
      <c r="AC142" s="7">
        <v>32.5</v>
      </c>
      <c r="AD142" s="7">
        <v>1.77</v>
      </c>
      <c r="AE142" s="7">
        <v>18.5</v>
      </c>
      <c r="AF142" s="7">
        <v>8</v>
      </c>
      <c r="AG142" s="7">
        <v>15.2</v>
      </c>
      <c r="AH142" s="7">
        <v>11.6</v>
      </c>
      <c r="AI142" s="7">
        <v>10.5</v>
      </c>
      <c r="AJ142" s="7">
        <v>57</v>
      </c>
      <c r="AK142" s="7">
        <v>60</v>
      </c>
      <c r="AL142" s="7">
        <v>32.5</v>
      </c>
      <c r="AM142" s="7">
        <v>103.3</v>
      </c>
      <c r="AN142" s="7">
        <v>16.7</v>
      </c>
      <c r="AO142" s="7">
        <v>1841</v>
      </c>
    </row>
    <row r="143" spans="1:41">
      <c r="A143" s="6" t="s">
        <v>325</v>
      </c>
      <c r="B143" s="6" t="s">
        <v>98</v>
      </c>
      <c r="C143" s="41">
        <f t="shared" si="5"/>
        <v>0.52222855514391564</v>
      </c>
      <c r="D143" s="42">
        <f t="shared" si="4"/>
        <v>1.7285714285714286</v>
      </c>
      <c r="E143" s="31">
        <v>733</v>
      </c>
      <c r="F143" s="24">
        <v>265</v>
      </c>
      <c r="G143" s="24">
        <v>616</v>
      </c>
      <c r="H143" s="8">
        <v>42.3</v>
      </c>
      <c r="I143" s="9">
        <v>195</v>
      </c>
      <c r="J143" s="8">
        <v>31.8</v>
      </c>
      <c r="K143" s="8">
        <v>148</v>
      </c>
      <c r="L143" s="25">
        <v>195</v>
      </c>
      <c r="M143" s="8">
        <v>76.099999999999994</v>
      </c>
      <c r="N143" s="9">
        <v>55</v>
      </c>
      <c r="O143" s="9">
        <v>179</v>
      </c>
      <c r="P143" s="9">
        <v>226</v>
      </c>
      <c r="Q143" s="24">
        <v>242</v>
      </c>
      <c r="R143" s="24">
        <v>140</v>
      </c>
      <c r="S143" s="9">
        <v>86</v>
      </c>
      <c r="T143" s="9">
        <v>47</v>
      </c>
      <c r="U143" s="9">
        <v>164</v>
      </c>
      <c r="V143" s="8">
        <v>1638</v>
      </c>
      <c r="W143" s="8">
        <v>1</v>
      </c>
      <c r="X143" s="8">
        <v>0</v>
      </c>
      <c r="Y143" s="7">
        <v>-0.5</v>
      </c>
      <c r="Z143" s="7">
        <v>106.2</v>
      </c>
      <c r="AA143" s="7">
        <v>107.1</v>
      </c>
      <c r="AB143" s="7">
        <v>-0.9</v>
      </c>
      <c r="AC143" s="7">
        <v>20.100000000000001</v>
      </c>
      <c r="AD143" s="7">
        <v>1.73</v>
      </c>
      <c r="AE143" s="7">
        <v>22.2</v>
      </c>
      <c r="AF143" s="7">
        <v>2.6</v>
      </c>
      <c r="AG143" s="7">
        <v>10</v>
      </c>
      <c r="AH143" s="7">
        <v>6.1</v>
      </c>
      <c r="AI143" s="7">
        <v>12.8</v>
      </c>
      <c r="AJ143" s="7">
        <v>47.3</v>
      </c>
      <c r="AK143" s="7">
        <v>52.1</v>
      </c>
      <c r="AL143" s="7">
        <v>19</v>
      </c>
      <c r="AM143" s="7">
        <v>97.83</v>
      </c>
      <c r="AN143" s="7">
        <v>8.4</v>
      </c>
      <c r="AO143" s="7">
        <v>3844</v>
      </c>
    </row>
    <row r="144" spans="1:41">
      <c r="A144" s="6" t="s">
        <v>327</v>
      </c>
      <c r="B144" s="6" t="s">
        <v>196</v>
      </c>
      <c r="C144" s="41">
        <f t="shared" si="5"/>
        <v>0.52080364776289545</v>
      </c>
      <c r="D144" s="42">
        <f t="shared" si="4"/>
        <v>2.6909090909090909</v>
      </c>
      <c r="E144" s="31">
        <v>731</v>
      </c>
      <c r="F144" s="24">
        <v>249</v>
      </c>
      <c r="G144" s="24">
        <v>638</v>
      </c>
      <c r="H144" s="8">
        <v>39</v>
      </c>
      <c r="I144" s="9">
        <v>360</v>
      </c>
      <c r="J144" s="8">
        <v>31.4</v>
      </c>
      <c r="K144" s="8">
        <v>122</v>
      </c>
      <c r="L144" s="25">
        <v>145</v>
      </c>
      <c r="M144" s="8">
        <v>83.4</v>
      </c>
      <c r="N144" s="9">
        <v>17</v>
      </c>
      <c r="O144" s="9">
        <v>139</v>
      </c>
      <c r="P144" s="9">
        <v>162</v>
      </c>
      <c r="Q144" s="24">
        <v>296</v>
      </c>
      <c r="R144" s="24">
        <v>110</v>
      </c>
      <c r="S144" s="9">
        <v>58</v>
      </c>
      <c r="T144" s="9">
        <v>23</v>
      </c>
      <c r="U144" s="9">
        <v>116</v>
      </c>
      <c r="V144" s="8">
        <v>1502</v>
      </c>
      <c r="W144" s="8">
        <v>4</v>
      </c>
      <c r="X144" s="8">
        <v>0</v>
      </c>
      <c r="Y144" s="7">
        <v>0</v>
      </c>
      <c r="Z144" s="7">
        <v>110.1</v>
      </c>
      <c r="AA144" s="7">
        <v>111.6</v>
      </c>
      <c r="AB144" s="7">
        <v>-1.5</v>
      </c>
      <c r="AC144" s="7">
        <v>30.2</v>
      </c>
      <c r="AD144" s="7">
        <v>2.75</v>
      </c>
      <c r="AE144" s="7">
        <v>26.9</v>
      </c>
      <c r="AF144" s="7">
        <v>1.3</v>
      </c>
      <c r="AG144" s="7">
        <v>9.3000000000000007</v>
      </c>
      <c r="AH144" s="7">
        <v>5.3</v>
      </c>
      <c r="AI144" s="7">
        <v>9.8000000000000007</v>
      </c>
      <c r="AJ144" s="7">
        <v>47.9</v>
      </c>
      <c r="AK144" s="7">
        <v>52.2</v>
      </c>
      <c r="AL144" s="7">
        <v>22.8</v>
      </c>
      <c r="AM144" s="7">
        <v>99.59</v>
      </c>
      <c r="AN144" s="7">
        <v>9.8000000000000007</v>
      </c>
      <c r="AO144" s="7">
        <v>3092</v>
      </c>
    </row>
    <row r="145" spans="1:41">
      <c r="A145" s="6" t="s">
        <v>329</v>
      </c>
      <c r="B145" s="6" t="s">
        <v>114</v>
      </c>
      <c r="C145" s="41">
        <f t="shared" si="5"/>
        <v>0.51451411724685336</v>
      </c>
      <c r="D145" s="42">
        <f t="shared" si="4"/>
        <v>1.6209677419354838</v>
      </c>
      <c r="E145" s="31">
        <v>726</v>
      </c>
      <c r="F145" s="24">
        <v>266</v>
      </c>
      <c r="G145" s="24">
        <v>625</v>
      </c>
      <c r="H145" s="8">
        <v>42.1</v>
      </c>
      <c r="I145" s="9">
        <v>224</v>
      </c>
      <c r="J145" s="8">
        <v>28.1</v>
      </c>
      <c r="K145" s="8">
        <v>136</v>
      </c>
      <c r="L145" s="25">
        <v>183</v>
      </c>
      <c r="M145" s="8">
        <v>74.599999999999994</v>
      </c>
      <c r="N145" s="9">
        <v>89</v>
      </c>
      <c r="O145" s="9">
        <v>201</v>
      </c>
      <c r="P145" s="9">
        <v>295</v>
      </c>
      <c r="Q145" s="24">
        <v>201</v>
      </c>
      <c r="R145" s="24">
        <v>124</v>
      </c>
      <c r="S145" s="9">
        <v>77</v>
      </c>
      <c r="T145" s="9">
        <v>41</v>
      </c>
      <c r="U145" s="9">
        <v>142</v>
      </c>
      <c r="V145" s="8">
        <v>1611</v>
      </c>
      <c r="W145" s="8">
        <v>3</v>
      </c>
      <c r="X145" s="8">
        <v>1</v>
      </c>
      <c r="Y145" s="7">
        <v>-9.9</v>
      </c>
      <c r="Z145" s="7">
        <v>104.5</v>
      </c>
      <c r="AA145" s="7">
        <v>118.3</v>
      </c>
      <c r="AB145" s="7">
        <v>-13.8</v>
      </c>
      <c r="AC145" s="7">
        <v>15</v>
      </c>
      <c r="AD145" s="7">
        <v>1.59</v>
      </c>
      <c r="AE145" s="7">
        <v>19.399999999999999</v>
      </c>
      <c r="AF145" s="7">
        <v>4.3</v>
      </c>
      <c r="AG145" s="7">
        <v>9.8000000000000007</v>
      </c>
      <c r="AH145" s="7">
        <v>7</v>
      </c>
      <c r="AI145" s="7">
        <v>12.2</v>
      </c>
      <c r="AJ145" s="7">
        <v>47.2</v>
      </c>
      <c r="AK145" s="7">
        <v>51.5</v>
      </c>
      <c r="AL145" s="7">
        <v>17.5</v>
      </c>
      <c r="AM145" s="7">
        <v>103.22</v>
      </c>
      <c r="AN145" s="7">
        <v>7</v>
      </c>
      <c r="AO145" s="7">
        <v>4183</v>
      </c>
    </row>
    <row r="146" spans="1:41">
      <c r="A146" s="6" t="s">
        <v>331</v>
      </c>
      <c r="B146" s="6" t="s">
        <v>70</v>
      </c>
      <c r="C146" s="41">
        <f t="shared" si="5"/>
        <v>0.57675173423280091</v>
      </c>
      <c r="D146" s="42">
        <f t="shared" si="4"/>
        <v>1.8461538461538463</v>
      </c>
      <c r="E146" s="31">
        <v>725</v>
      </c>
      <c r="F146" s="24">
        <v>244</v>
      </c>
      <c r="G146" s="24">
        <v>570</v>
      </c>
      <c r="H146" s="8">
        <v>43.3</v>
      </c>
      <c r="I146" s="9">
        <v>340</v>
      </c>
      <c r="J146" s="8">
        <v>37.4</v>
      </c>
      <c r="K146" s="8">
        <v>104</v>
      </c>
      <c r="L146" s="25">
        <v>133</v>
      </c>
      <c r="M146" s="8">
        <v>79.7</v>
      </c>
      <c r="N146" s="9">
        <v>52</v>
      </c>
      <c r="O146" s="9">
        <v>141</v>
      </c>
      <c r="P146" s="9">
        <v>192</v>
      </c>
      <c r="Q146" s="24">
        <v>96</v>
      </c>
      <c r="R146" s="24">
        <v>52</v>
      </c>
      <c r="S146" s="9">
        <v>59</v>
      </c>
      <c r="T146" s="9">
        <v>30</v>
      </c>
      <c r="U146" s="9">
        <v>118</v>
      </c>
      <c r="V146" s="8">
        <v>1310</v>
      </c>
      <c r="W146" s="8">
        <v>0</v>
      </c>
      <c r="X146" s="8">
        <v>0</v>
      </c>
      <c r="Y146" s="7">
        <v>1.8</v>
      </c>
      <c r="Z146" s="7">
        <v>113.2</v>
      </c>
      <c r="AA146" s="7">
        <v>108.9</v>
      </c>
      <c r="AB146" s="7">
        <v>4.3</v>
      </c>
      <c r="AC146" s="7">
        <v>8.4</v>
      </c>
      <c r="AD146" s="7">
        <v>1.78</v>
      </c>
      <c r="AE146" s="7">
        <v>12.4</v>
      </c>
      <c r="AF146" s="7">
        <v>2.9</v>
      </c>
      <c r="AG146" s="7">
        <v>8.4</v>
      </c>
      <c r="AH146" s="7">
        <v>5.6</v>
      </c>
      <c r="AI146" s="7">
        <v>7</v>
      </c>
      <c r="AJ146" s="7">
        <v>54.4</v>
      </c>
      <c r="AK146" s="7">
        <v>57.8</v>
      </c>
      <c r="AL146" s="7">
        <v>17</v>
      </c>
      <c r="AM146" s="7">
        <v>100.74</v>
      </c>
      <c r="AN146" s="7">
        <v>7.6</v>
      </c>
      <c r="AO146" s="7">
        <v>3454</v>
      </c>
    </row>
    <row r="147" spans="1:41">
      <c r="A147" s="6" t="s">
        <v>333</v>
      </c>
      <c r="B147" s="6" t="s">
        <v>46</v>
      </c>
      <c r="C147" s="41">
        <f t="shared" si="5"/>
        <v>0.58253519316063507</v>
      </c>
      <c r="D147" s="42">
        <f t="shared" si="4"/>
        <v>2.2525252525252526</v>
      </c>
      <c r="E147" s="31">
        <v>725</v>
      </c>
      <c r="F147" s="24">
        <v>248</v>
      </c>
      <c r="G147" s="24">
        <v>595</v>
      </c>
      <c r="H147" s="8">
        <v>42.2</v>
      </c>
      <c r="I147" s="9">
        <v>440</v>
      </c>
      <c r="J147" s="8">
        <v>39.700000000000003</v>
      </c>
      <c r="K147" s="8">
        <v>50</v>
      </c>
      <c r="L147" s="25">
        <v>62</v>
      </c>
      <c r="M147" s="8">
        <v>77.8</v>
      </c>
      <c r="N147" s="9">
        <v>31</v>
      </c>
      <c r="O147" s="9">
        <v>198</v>
      </c>
      <c r="P147" s="9">
        <v>229</v>
      </c>
      <c r="Q147" s="24">
        <v>223</v>
      </c>
      <c r="R147" s="24">
        <v>99</v>
      </c>
      <c r="S147" s="9">
        <v>74</v>
      </c>
      <c r="T147" s="9">
        <v>19</v>
      </c>
      <c r="U147" s="9">
        <v>112</v>
      </c>
      <c r="V147" s="8">
        <v>1507</v>
      </c>
      <c r="W147" s="8">
        <v>1</v>
      </c>
      <c r="X147" s="8">
        <v>0</v>
      </c>
      <c r="Y147" s="7">
        <v>2.8</v>
      </c>
      <c r="Z147" s="7">
        <v>114.2</v>
      </c>
      <c r="AA147" s="7">
        <v>109.1</v>
      </c>
      <c r="AB147" s="7">
        <v>5.0999999999999996</v>
      </c>
      <c r="AC147" s="7">
        <v>20.3</v>
      </c>
      <c r="AD147" s="7">
        <v>2.27</v>
      </c>
      <c r="AE147" s="7">
        <v>23.8</v>
      </c>
      <c r="AF147" s="7">
        <v>2</v>
      </c>
      <c r="AG147" s="7">
        <v>11.5</v>
      </c>
      <c r="AH147" s="7">
        <v>6.8</v>
      </c>
      <c r="AI147" s="7">
        <v>10.5</v>
      </c>
      <c r="AJ147" s="7">
        <v>56.8</v>
      </c>
      <c r="AK147" s="7">
        <v>58.2</v>
      </c>
      <c r="AL147" s="7">
        <v>18.8</v>
      </c>
      <c r="AM147" s="7">
        <v>100.17</v>
      </c>
      <c r="AN147" s="7">
        <v>10</v>
      </c>
      <c r="AO147" s="7">
        <v>3352</v>
      </c>
    </row>
    <row r="148" spans="1:41">
      <c r="A148" s="6" t="s">
        <v>335</v>
      </c>
      <c r="B148" s="6" t="s">
        <v>94</v>
      </c>
      <c r="C148" s="41">
        <f t="shared" si="5"/>
        <v>0.58075933075933073</v>
      </c>
      <c r="D148" s="42">
        <f t="shared" si="4"/>
        <v>4.6335877862595423</v>
      </c>
      <c r="E148" s="31">
        <v>722</v>
      </c>
      <c r="F148" s="24">
        <v>246</v>
      </c>
      <c r="G148" s="24">
        <v>582</v>
      </c>
      <c r="H148" s="8">
        <v>42.7</v>
      </c>
      <c r="I148" s="9">
        <v>369</v>
      </c>
      <c r="J148" s="8">
        <v>37.700000000000003</v>
      </c>
      <c r="K148" s="8">
        <v>82</v>
      </c>
      <c r="L148" s="25">
        <v>90</v>
      </c>
      <c r="M148" s="8">
        <v>92.4</v>
      </c>
      <c r="N148" s="9">
        <v>33</v>
      </c>
      <c r="O148" s="9">
        <v>262</v>
      </c>
      <c r="P148" s="9">
        <v>295</v>
      </c>
      <c r="Q148" s="24">
        <v>607</v>
      </c>
      <c r="R148" s="24">
        <v>131</v>
      </c>
      <c r="S148" s="9">
        <v>107</v>
      </c>
      <c r="T148" s="9">
        <v>25</v>
      </c>
      <c r="U148" s="9">
        <v>148</v>
      </c>
      <c r="V148" s="8">
        <v>2230</v>
      </c>
      <c r="W148" s="8">
        <v>12</v>
      </c>
      <c r="X148" s="8">
        <v>0</v>
      </c>
      <c r="Y148" s="7">
        <v>0</v>
      </c>
      <c r="Z148" s="7">
        <v>114.2</v>
      </c>
      <c r="AA148" s="7">
        <v>115</v>
      </c>
      <c r="AB148" s="7">
        <v>-0.8</v>
      </c>
      <c r="AC148" s="7">
        <v>34.200000000000003</v>
      </c>
      <c r="AD148" s="7">
        <v>4.6900000000000004</v>
      </c>
      <c r="AE148" s="7">
        <v>45</v>
      </c>
      <c r="AF148" s="7">
        <v>1.4</v>
      </c>
      <c r="AG148" s="7">
        <v>11</v>
      </c>
      <c r="AH148" s="7">
        <v>6.2</v>
      </c>
      <c r="AI148" s="7">
        <v>9.6</v>
      </c>
      <c r="AJ148" s="7">
        <v>54.7</v>
      </c>
      <c r="AK148" s="7">
        <v>58</v>
      </c>
      <c r="AL148" s="7">
        <v>13.7</v>
      </c>
      <c r="AM148" s="7">
        <v>100.48</v>
      </c>
      <c r="AN148" s="7">
        <v>10.199999999999999</v>
      </c>
      <c r="AO148" s="7">
        <v>4817</v>
      </c>
    </row>
    <row r="149" spans="1:41">
      <c r="A149" s="6" t="s">
        <v>337</v>
      </c>
      <c r="B149" s="6" t="s">
        <v>196</v>
      </c>
      <c r="C149" s="41">
        <f t="shared" si="5"/>
        <v>0.56793118659020736</v>
      </c>
      <c r="D149" s="42">
        <f t="shared" si="4"/>
        <v>1.8333333333333333</v>
      </c>
      <c r="E149" s="31">
        <v>721</v>
      </c>
      <c r="F149" s="24">
        <v>322</v>
      </c>
      <c r="G149" s="24">
        <v>567</v>
      </c>
      <c r="H149" s="8">
        <v>56.3</v>
      </c>
      <c r="I149" s="9">
        <v>21</v>
      </c>
      <c r="J149" s="8">
        <v>23.8</v>
      </c>
      <c r="K149" s="8">
        <v>77</v>
      </c>
      <c r="L149" s="25">
        <v>154</v>
      </c>
      <c r="M149" s="8">
        <v>51.3</v>
      </c>
      <c r="N149" s="9">
        <v>154</v>
      </c>
      <c r="O149" s="9">
        <v>357</v>
      </c>
      <c r="P149" s="9">
        <v>518</v>
      </c>
      <c r="Q149" s="24">
        <v>154</v>
      </c>
      <c r="R149" s="24">
        <v>84</v>
      </c>
      <c r="S149" s="9">
        <v>63</v>
      </c>
      <c r="T149" s="9">
        <v>98</v>
      </c>
      <c r="U149" s="9">
        <v>147</v>
      </c>
      <c r="V149" s="8">
        <v>1974</v>
      </c>
      <c r="W149" s="8">
        <v>13</v>
      </c>
      <c r="X149" s="8">
        <v>0</v>
      </c>
      <c r="Y149" s="7">
        <v>-7.1</v>
      </c>
      <c r="Z149" s="7">
        <v>103.6</v>
      </c>
      <c r="AA149" s="7">
        <v>116.2</v>
      </c>
      <c r="AB149" s="7">
        <v>-12.6</v>
      </c>
      <c r="AC149" s="7">
        <v>14</v>
      </c>
      <c r="AD149" s="7">
        <v>1.8</v>
      </c>
      <c r="AE149" s="7">
        <v>17.899999999999999</v>
      </c>
      <c r="AF149" s="7">
        <v>8</v>
      </c>
      <c r="AG149" s="7">
        <v>19.8</v>
      </c>
      <c r="AH149" s="7">
        <v>13.7</v>
      </c>
      <c r="AI149" s="7">
        <v>9.9</v>
      </c>
      <c r="AJ149" s="7">
        <v>56.8</v>
      </c>
      <c r="AK149" s="7">
        <v>56.9</v>
      </c>
      <c r="AL149" s="7">
        <v>16.600000000000001</v>
      </c>
      <c r="AM149" s="7">
        <v>97.38</v>
      </c>
      <c r="AN149" s="7">
        <v>11.5</v>
      </c>
      <c r="AO149" s="7">
        <v>3811</v>
      </c>
    </row>
    <row r="150" spans="1:41">
      <c r="A150" s="6" t="s">
        <v>339</v>
      </c>
      <c r="B150" s="6" t="s">
        <v>70</v>
      </c>
      <c r="C150" s="41">
        <f t="shared" si="5"/>
        <v>0.53465199286139209</v>
      </c>
      <c r="D150" s="42">
        <f t="shared" si="4"/>
        <v>1.4507042253521127</v>
      </c>
      <c r="E150" s="31">
        <v>719</v>
      </c>
      <c r="F150" s="24">
        <v>259</v>
      </c>
      <c r="G150" s="24">
        <v>569</v>
      </c>
      <c r="H150" s="8">
        <v>45.4</v>
      </c>
      <c r="I150" s="9">
        <v>150</v>
      </c>
      <c r="J150" s="8">
        <v>30.5</v>
      </c>
      <c r="K150" s="8">
        <v>155</v>
      </c>
      <c r="L150" s="25">
        <v>235</v>
      </c>
      <c r="M150" s="8">
        <v>66.8</v>
      </c>
      <c r="N150" s="9">
        <v>56</v>
      </c>
      <c r="O150" s="9">
        <v>160</v>
      </c>
      <c r="P150" s="9">
        <v>216</v>
      </c>
      <c r="Q150" s="24">
        <v>103</v>
      </c>
      <c r="R150" s="24">
        <v>71</v>
      </c>
      <c r="S150" s="9">
        <v>38</v>
      </c>
      <c r="T150" s="9">
        <v>19</v>
      </c>
      <c r="U150" s="9">
        <v>89</v>
      </c>
      <c r="V150" s="8">
        <v>1241</v>
      </c>
      <c r="W150" s="8">
        <v>2</v>
      </c>
      <c r="X150" s="8">
        <v>0</v>
      </c>
      <c r="Y150" s="7">
        <v>0.2</v>
      </c>
      <c r="Z150" s="7">
        <v>110</v>
      </c>
      <c r="AA150" s="7">
        <v>108.9</v>
      </c>
      <c r="AB150" s="7">
        <v>1</v>
      </c>
      <c r="AC150" s="7">
        <v>15.1</v>
      </c>
      <c r="AD150" s="7">
        <v>1.46</v>
      </c>
      <c r="AE150" s="7">
        <v>12.2</v>
      </c>
      <c r="AF150" s="7">
        <v>4.5</v>
      </c>
      <c r="AG150" s="7">
        <v>13.4</v>
      </c>
      <c r="AH150" s="7">
        <v>8.8000000000000007</v>
      </c>
      <c r="AI150" s="7">
        <v>8.3000000000000007</v>
      </c>
      <c r="AJ150" s="7">
        <v>49.5</v>
      </c>
      <c r="AK150" s="7">
        <v>53.5</v>
      </c>
      <c r="AL150" s="7">
        <v>27.1</v>
      </c>
      <c r="AM150" s="7">
        <v>100.21</v>
      </c>
      <c r="AN150" s="7">
        <v>11</v>
      </c>
      <c r="AO150" s="7">
        <v>2381</v>
      </c>
    </row>
    <row r="151" spans="1:41">
      <c r="A151" s="13" t="s">
        <v>341</v>
      </c>
      <c r="B151" s="6" t="s">
        <v>84</v>
      </c>
      <c r="C151" s="41">
        <f t="shared" si="5"/>
        <v>0.54572226607565733</v>
      </c>
      <c r="D151" s="42">
        <f t="shared" si="4"/>
        <v>3.1351351351351351</v>
      </c>
      <c r="E151" s="31">
        <v>719</v>
      </c>
      <c r="F151" s="24">
        <v>324</v>
      </c>
      <c r="G151" s="24">
        <v>624</v>
      </c>
      <c r="H151" s="8">
        <v>51.9</v>
      </c>
      <c r="I151" s="9">
        <v>47</v>
      </c>
      <c r="J151" s="8">
        <v>30.6</v>
      </c>
      <c r="K151" s="8">
        <v>55</v>
      </c>
      <c r="L151" s="25">
        <v>79</v>
      </c>
      <c r="M151" s="8">
        <v>74</v>
      </c>
      <c r="N151" s="9">
        <v>47</v>
      </c>
      <c r="O151" s="9">
        <v>150</v>
      </c>
      <c r="P151" s="9">
        <v>190</v>
      </c>
      <c r="Q151" s="24">
        <v>348</v>
      </c>
      <c r="R151" s="24">
        <v>111</v>
      </c>
      <c r="S151" s="9">
        <v>87</v>
      </c>
      <c r="T151" s="9">
        <v>24</v>
      </c>
      <c r="U151" s="9">
        <v>79</v>
      </c>
      <c r="V151" s="8">
        <v>1683</v>
      </c>
      <c r="W151" s="8">
        <v>2</v>
      </c>
      <c r="X151" s="8">
        <v>0</v>
      </c>
      <c r="Y151" s="7">
        <v>-0.7</v>
      </c>
      <c r="Z151" s="7">
        <v>111.1</v>
      </c>
      <c r="AA151" s="7">
        <v>113.8</v>
      </c>
      <c r="AB151" s="7">
        <v>-2.7</v>
      </c>
      <c r="AC151" s="7">
        <v>35.9</v>
      </c>
      <c r="AD151" s="7">
        <v>3.22</v>
      </c>
      <c r="AE151" s="7">
        <v>31.3</v>
      </c>
      <c r="AF151" s="7">
        <v>3.2</v>
      </c>
      <c r="AG151" s="7">
        <v>10.4</v>
      </c>
      <c r="AH151" s="7">
        <v>6.9</v>
      </c>
      <c r="AI151" s="7">
        <v>9.6999999999999993</v>
      </c>
      <c r="AJ151" s="7">
        <v>53.1</v>
      </c>
      <c r="AK151" s="7">
        <v>54.7</v>
      </c>
      <c r="AL151" s="7">
        <v>22.6</v>
      </c>
      <c r="AM151" s="7">
        <v>103.69</v>
      </c>
      <c r="AN151" s="7">
        <v>12.9</v>
      </c>
      <c r="AO151" s="7">
        <v>3069</v>
      </c>
    </row>
    <row r="152" spans="1:41">
      <c r="A152" s="6" t="s">
        <v>343</v>
      </c>
      <c r="B152" s="6" t="s">
        <v>44</v>
      </c>
      <c r="C152" s="41">
        <f t="shared" si="5"/>
        <v>0.58300266701359527</v>
      </c>
      <c r="D152" s="42">
        <f t="shared" si="4"/>
        <v>2.2799999999999998</v>
      </c>
      <c r="E152" s="31">
        <v>717</v>
      </c>
      <c r="F152" s="24">
        <v>256</v>
      </c>
      <c r="G152" s="24">
        <v>596</v>
      </c>
      <c r="H152" s="8">
        <v>43.5</v>
      </c>
      <c r="I152" s="9">
        <v>412</v>
      </c>
      <c r="J152" s="8">
        <v>41.2</v>
      </c>
      <c r="K152" s="8">
        <v>36</v>
      </c>
      <c r="L152" s="25">
        <v>43</v>
      </c>
      <c r="M152" s="8">
        <v>71.7</v>
      </c>
      <c r="N152" s="9">
        <v>92</v>
      </c>
      <c r="O152" s="9">
        <v>206</v>
      </c>
      <c r="P152" s="9">
        <v>291</v>
      </c>
      <c r="Q152" s="24">
        <v>114</v>
      </c>
      <c r="R152" s="24">
        <v>50</v>
      </c>
      <c r="S152" s="9">
        <v>78</v>
      </c>
      <c r="T152" s="9">
        <v>36</v>
      </c>
      <c r="U152" s="9">
        <v>206</v>
      </c>
      <c r="V152" s="8">
        <v>1548</v>
      </c>
      <c r="W152" s="8">
        <v>0</v>
      </c>
      <c r="X152" s="8">
        <v>0</v>
      </c>
      <c r="Y152" s="7">
        <v>7.7</v>
      </c>
      <c r="Z152" s="7">
        <v>120.4</v>
      </c>
      <c r="AA152" s="7">
        <v>107.3</v>
      </c>
      <c r="AB152" s="7">
        <v>13.1</v>
      </c>
      <c r="AC152" s="7">
        <v>6.7</v>
      </c>
      <c r="AD152" s="7">
        <v>2.25</v>
      </c>
      <c r="AE152" s="7">
        <v>14.8</v>
      </c>
      <c r="AF152" s="7">
        <v>4.0999999999999996</v>
      </c>
      <c r="AG152" s="7">
        <v>9.3000000000000007</v>
      </c>
      <c r="AH152" s="7">
        <v>6.7</v>
      </c>
      <c r="AI152" s="7">
        <v>6.6</v>
      </c>
      <c r="AJ152" s="7">
        <v>57.8</v>
      </c>
      <c r="AK152" s="7">
        <v>58.6</v>
      </c>
      <c r="AL152" s="7">
        <v>13.3</v>
      </c>
      <c r="AM152" s="7">
        <v>101.75</v>
      </c>
      <c r="AN152" s="7">
        <v>6.3</v>
      </c>
      <c r="AO152" s="7">
        <v>4383</v>
      </c>
    </row>
    <row r="153" spans="1:41">
      <c r="A153" s="6" t="s">
        <v>345</v>
      </c>
      <c r="B153" s="6" t="s">
        <v>74</v>
      </c>
      <c r="C153" s="41">
        <f t="shared" si="5"/>
        <v>0.59982427683157602</v>
      </c>
      <c r="D153" s="42">
        <f t="shared" si="4"/>
        <v>1.5897435897435896</v>
      </c>
      <c r="E153" s="31">
        <v>710</v>
      </c>
      <c r="F153" s="24">
        <v>257</v>
      </c>
      <c r="G153" s="24">
        <v>554</v>
      </c>
      <c r="H153" s="8">
        <v>46.1</v>
      </c>
      <c r="I153" s="9">
        <v>343</v>
      </c>
      <c r="J153" s="8">
        <v>37.6</v>
      </c>
      <c r="K153" s="8">
        <v>62</v>
      </c>
      <c r="L153" s="25">
        <v>86</v>
      </c>
      <c r="M153" s="8">
        <v>76.2</v>
      </c>
      <c r="N153" s="9">
        <v>39</v>
      </c>
      <c r="O153" s="9">
        <v>179</v>
      </c>
      <c r="P153" s="9">
        <v>218</v>
      </c>
      <c r="Q153" s="24">
        <v>62</v>
      </c>
      <c r="R153" s="24">
        <v>39</v>
      </c>
      <c r="S153" s="9">
        <v>23</v>
      </c>
      <c r="T153" s="9">
        <v>8</v>
      </c>
      <c r="U153" s="9">
        <v>94</v>
      </c>
      <c r="V153" s="8">
        <v>1123</v>
      </c>
      <c r="W153" s="8">
        <v>0</v>
      </c>
      <c r="X153" s="8">
        <v>0</v>
      </c>
      <c r="Y153" s="7">
        <v>-0.9</v>
      </c>
      <c r="Z153" s="7">
        <v>112.2</v>
      </c>
      <c r="AA153" s="7">
        <v>114.9</v>
      </c>
      <c r="AB153" s="7">
        <v>-2.8</v>
      </c>
      <c r="AC153" s="7">
        <v>6.7</v>
      </c>
      <c r="AD153" s="7">
        <v>1.78</v>
      </c>
      <c r="AE153" s="7">
        <v>9.5</v>
      </c>
      <c r="AF153" s="7">
        <v>2.6</v>
      </c>
      <c r="AG153" s="7">
        <v>11.6</v>
      </c>
      <c r="AH153" s="7">
        <v>7.3</v>
      </c>
      <c r="AI153" s="7">
        <v>5.3</v>
      </c>
      <c r="AJ153" s="7">
        <v>57.6</v>
      </c>
      <c r="AK153" s="7">
        <v>59.4</v>
      </c>
      <c r="AL153" s="7">
        <v>18.100000000000001</v>
      </c>
      <c r="AM153" s="7">
        <v>98.26</v>
      </c>
      <c r="AN153" s="7">
        <v>8.6999999999999993</v>
      </c>
      <c r="AO153" s="7">
        <v>3063</v>
      </c>
    </row>
    <row r="154" spans="1:41">
      <c r="A154" s="6" t="s">
        <v>347</v>
      </c>
      <c r="B154" s="6" t="s">
        <v>114</v>
      </c>
      <c r="C154" s="41">
        <f t="shared" si="5"/>
        <v>0.58570483123759098</v>
      </c>
      <c r="D154" s="42">
        <f t="shared" si="4"/>
        <v>1.7049180327868851</v>
      </c>
      <c r="E154" s="31">
        <v>708</v>
      </c>
      <c r="F154" s="24">
        <v>256</v>
      </c>
      <c r="G154" s="24">
        <v>567</v>
      </c>
      <c r="H154" s="8">
        <v>45.1</v>
      </c>
      <c r="I154" s="9">
        <v>329</v>
      </c>
      <c r="J154" s="8">
        <v>36.4</v>
      </c>
      <c r="K154" s="8">
        <v>73</v>
      </c>
      <c r="L154" s="25">
        <v>85</v>
      </c>
      <c r="M154" s="8">
        <v>85.2</v>
      </c>
      <c r="N154" s="9">
        <v>37</v>
      </c>
      <c r="O154" s="9">
        <v>146</v>
      </c>
      <c r="P154" s="9">
        <v>183</v>
      </c>
      <c r="Q154" s="24">
        <v>104</v>
      </c>
      <c r="R154" s="24">
        <v>61</v>
      </c>
      <c r="S154" s="9">
        <v>24</v>
      </c>
      <c r="T154" s="9">
        <v>12</v>
      </c>
      <c r="U154" s="9">
        <v>98</v>
      </c>
      <c r="V154" s="8">
        <v>1135</v>
      </c>
      <c r="W154" s="8">
        <v>0</v>
      </c>
      <c r="X154" s="8">
        <v>0</v>
      </c>
      <c r="Y154" s="7">
        <v>-4.5</v>
      </c>
      <c r="Z154" s="7">
        <v>108.7</v>
      </c>
      <c r="AA154" s="7">
        <v>117.1</v>
      </c>
      <c r="AB154" s="7">
        <v>-8.5</v>
      </c>
      <c r="AC154" s="7">
        <v>9.4</v>
      </c>
      <c r="AD154" s="7">
        <v>1.61</v>
      </c>
      <c r="AE154" s="7">
        <v>13.4</v>
      </c>
      <c r="AF154" s="7">
        <v>2.1</v>
      </c>
      <c r="AG154" s="7">
        <v>8.4</v>
      </c>
      <c r="AH154" s="7">
        <v>5.3</v>
      </c>
      <c r="AI154" s="7">
        <v>8.3000000000000007</v>
      </c>
      <c r="AJ154" s="7">
        <v>55.8</v>
      </c>
      <c r="AK154" s="7">
        <v>58.4</v>
      </c>
      <c r="AL154" s="7">
        <v>16.899999999999999</v>
      </c>
      <c r="AM154" s="7">
        <v>102.68</v>
      </c>
      <c r="AN154" s="7">
        <v>7.4</v>
      </c>
      <c r="AO154" s="7">
        <v>3433</v>
      </c>
    </row>
    <row r="155" spans="1:41">
      <c r="A155" s="6" t="s">
        <v>349</v>
      </c>
      <c r="B155" s="6" t="s">
        <v>144</v>
      </c>
      <c r="C155" s="41">
        <f t="shared" si="5"/>
        <v>0.71478097724121048</v>
      </c>
      <c r="D155" s="42">
        <f t="shared" si="4"/>
        <v>1.1764705882352942</v>
      </c>
      <c r="E155" s="31">
        <v>701</v>
      </c>
      <c r="F155" s="24">
        <v>285</v>
      </c>
      <c r="G155" s="24">
        <v>405</v>
      </c>
      <c r="H155" s="8">
        <v>70.2</v>
      </c>
      <c r="I155" s="8">
        <v>0</v>
      </c>
      <c r="J155" s="8">
        <v>0</v>
      </c>
      <c r="K155" s="8">
        <v>137</v>
      </c>
      <c r="L155" s="25">
        <v>194</v>
      </c>
      <c r="M155" s="8">
        <v>68.900000000000006</v>
      </c>
      <c r="N155" s="9">
        <v>154</v>
      </c>
      <c r="O155" s="9">
        <v>234</v>
      </c>
      <c r="P155" s="9">
        <v>388</v>
      </c>
      <c r="Q155" s="24">
        <v>80</v>
      </c>
      <c r="R155" s="24">
        <v>68</v>
      </c>
      <c r="S155" s="9">
        <v>23</v>
      </c>
      <c r="T155" s="9">
        <v>103</v>
      </c>
      <c r="U155" s="9">
        <v>154</v>
      </c>
      <c r="V155" s="8">
        <v>1596</v>
      </c>
      <c r="W155" s="8">
        <v>8</v>
      </c>
      <c r="X155" s="8">
        <v>0</v>
      </c>
      <c r="Y155" s="7">
        <v>0.6</v>
      </c>
      <c r="Z155" s="7">
        <v>114.9</v>
      </c>
      <c r="AA155" s="7">
        <v>113.4</v>
      </c>
      <c r="AB155" s="7">
        <v>1.5</v>
      </c>
      <c r="AC155" s="7">
        <v>9.6999999999999993</v>
      </c>
      <c r="AD155" s="7">
        <v>1.21</v>
      </c>
      <c r="AE155" s="7">
        <v>12.7</v>
      </c>
      <c r="AF155" s="7">
        <v>12.7</v>
      </c>
      <c r="AG155" s="7">
        <v>16.8</v>
      </c>
      <c r="AH155" s="7">
        <v>14.9</v>
      </c>
      <c r="AI155" s="7">
        <v>10.4</v>
      </c>
      <c r="AJ155" s="7">
        <v>70.2</v>
      </c>
      <c r="AK155" s="7">
        <v>71.599999999999994</v>
      </c>
      <c r="AL155" s="7">
        <v>18.600000000000001</v>
      </c>
      <c r="AM155" s="7">
        <v>101.73</v>
      </c>
      <c r="AN155" s="7">
        <v>14.1</v>
      </c>
      <c r="AO155" s="7">
        <v>2597</v>
      </c>
    </row>
    <row r="156" spans="1:41">
      <c r="A156" s="6" t="s">
        <v>351</v>
      </c>
      <c r="B156" s="6" t="s">
        <v>62</v>
      </c>
      <c r="C156" s="41">
        <f t="shared" si="5"/>
        <v>0.61422034494896161</v>
      </c>
      <c r="D156" s="42">
        <f t="shared" si="4"/>
        <v>1.8372093023255813</v>
      </c>
      <c r="E156" s="31">
        <v>698</v>
      </c>
      <c r="F156" s="24">
        <v>238</v>
      </c>
      <c r="G156" s="24">
        <v>511</v>
      </c>
      <c r="H156" s="8">
        <v>47.1</v>
      </c>
      <c r="I156" s="9">
        <v>245</v>
      </c>
      <c r="J156" s="8">
        <v>40.9</v>
      </c>
      <c r="K156" s="8">
        <v>115</v>
      </c>
      <c r="L156" s="25">
        <v>130</v>
      </c>
      <c r="M156" s="8">
        <v>89.1</v>
      </c>
      <c r="N156" s="9">
        <v>29</v>
      </c>
      <c r="O156" s="9">
        <v>130</v>
      </c>
      <c r="P156" s="9">
        <v>158</v>
      </c>
      <c r="Q156" s="24">
        <v>79</v>
      </c>
      <c r="R156" s="24">
        <v>43</v>
      </c>
      <c r="S156" s="9">
        <v>43</v>
      </c>
      <c r="T156" s="9">
        <v>7</v>
      </c>
      <c r="U156" s="9">
        <v>122</v>
      </c>
      <c r="V156" s="8">
        <v>1102</v>
      </c>
      <c r="W156" s="8">
        <v>0</v>
      </c>
      <c r="X156" s="8">
        <v>0</v>
      </c>
      <c r="Y156" s="7">
        <v>-0.9</v>
      </c>
      <c r="Z156" s="7">
        <v>109.1</v>
      </c>
      <c r="AA156" s="7">
        <v>110.6</v>
      </c>
      <c r="AB156" s="7">
        <v>-1.4</v>
      </c>
      <c r="AC156" s="7">
        <v>6.5</v>
      </c>
      <c r="AD156" s="7">
        <v>1.71</v>
      </c>
      <c r="AE156" s="7">
        <v>11.2</v>
      </c>
      <c r="AF156" s="7">
        <v>1.9</v>
      </c>
      <c r="AG156" s="7">
        <v>7.2</v>
      </c>
      <c r="AH156" s="7">
        <v>4.5999999999999996</v>
      </c>
      <c r="AI156" s="7">
        <v>6.6</v>
      </c>
      <c r="AJ156" s="7">
        <v>57</v>
      </c>
      <c r="AK156" s="7">
        <v>61.4</v>
      </c>
      <c r="AL156" s="7">
        <v>15</v>
      </c>
      <c r="AM156" s="7">
        <v>99.23</v>
      </c>
      <c r="AN156" s="7">
        <v>7.2</v>
      </c>
      <c r="AO156" s="7">
        <v>3606</v>
      </c>
    </row>
    <row r="157" spans="1:41">
      <c r="A157" s="13" t="s">
        <v>353</v>
      </c>
      <c r="B157" s="6" t="s">
        <v>68</v>
      </c>
      <c r="C157" s="41">
        <f t="shared" si="5"/>
        <v>0.56138933764135701</v>
      </c>
      <c r="D157" s="42">
        <f t="shared" si="4"/>
        <v>1</v>
      </c>
      <c r="E157" s="31">
        <v>695</v>
      </c>
      <c r="F157" s="24">
        <v>251</v>
      </c>
      <c r="G157" s="24">
        <v>564</v>
      </c>
      <c r="H157" s="8">
        <v>43.8</v>
      </c>
      <c r="I157" s="9">
        <v>279</v>
      </c>
      <c r="J157" s="8">
        <v>35.4</v>
      </c>
      <c r="K157" s="8">
        <v>103</v>
      </c>
      <c r="L157" s="25">
        <v>125</v>
      </c>
      <c r="M157" s="8">
        <v>82.5</v>
      </c>
      <c r="N157" s="9">
        <v>103</v>
      </c>
      <c r="O157" s="9">
        <v>296</v>
      </c>
      <c r="P157" s="9">
        <v>399</v>
      </c>
      <c r="Q157" s="24">
        <v>63</v>
      </c>
      <c r="R157" s="24">
        <v>63</v>
      </c>
      <c r="S157" s="9">
        <v>23</v>
      </c>
      <c r="T157" s="9">
        <v>40</v>
      </c>
      <c r="U157" s="9">
        <v>125</v>
      </c>
      <c r="V157" s="8">
        <v>1402</v>
      </c>
      <c r="W157" s="8">
        <v>8</v>
      </c>
      <c r="X157" s="8">
        <v>0</v>
      </c>
      <c r="Y157" s="7">
        <v>4.4000000000000004</v>
      </c>
      <c r="Z157" s="7">
        <v>113.4</v>
      </c>
      <c r="AA157" s="7">
        <v>106.1</v>
      </c>
      <c r="AB157" s="7">
        <v>7.3</v>
      </c>
      <c r="AC157" s="7">
        <v>4.8</v>
      </c>
      <c r="AD157" s="7">
        <v>0.98</v>
      </c>
      <c r="AE157" s="7">
        <v>8.1</v>
      </c>
      <c r="AF157" s="7">
        <v>5.5</v>
      </c>
      <c r="AG157" s="7">
        <v>16.2</v>
      </c>
      <c r="AH157" s="7">
        <v>10.7</v>
      </c>
      <c r="AI157" s="7">
        <v>8.1999999999999993</v>
      </c>
      <c r="AJ157" s="7">
        <v>52.5</v>
      </c>
      <c r="AK157" s="7">
        <v>56.2</v>
      </c>
      <c r="AL157" s="7">
        <v>16</v>
      </c>
      <c r="AM157" s="7">
        <v>100</v>
      </c>
      <c r="AN157" s="7">
        <v>9.3000000000000007</v>
      </c>
      <c r="AO157" s="7">
        <v>3569</v>
      </c>
    </row>
    <row r="158" spans="1:41">
      <c r="A158" s="6" t="s">
        <v>355</v>
      </c>
      <c r="B158" s="6" t="s">
        <v>170</v>
      </c>
      <c r="C158" s="41">
        <f t="shared" si="5"/>
        <v>0.59429613320489882</v>
      </c>
      <c r="D158" s="42">
        <f t="shared" si="4"/>
        <v>1.3564356435643565</v>
      </c>
      <c r="E158" s="31">
        <v>691</v>
      </c>
      <c r="F158" s="24">
        <v>259</v>
      </c>
      <c r="G158" s="24">
        <v>518</v>
      </c>
      <c r="H158" s="8">
        <v>50.2</v>
      </c>
      <c r="I158" s="9">
        <v>223</v>
      </c>
      <c r="J158" s="8">
        <v>35</v>
      </c>
      <c r="K158" s="8">
        <v>94</v>
      </c>
      <c r="L158" s="25">
        <v>144</v>
      </c>
      <c r="M158" s="8">
        <v>65</v>
      </c>
      <c r="N158" s="9">
        <v>115</v>
      </c>
      <c r="O158" s="9">
        <v>331</v>
      </c>
      <c r="P158" s="9">
        <v>439</v>
      </c>
      <c r="Q158" s="24">
        <v>137</v>
      </c>
      <c r="R158" s="24">
        <v>101</v>
      </c>
      <c r="S158" s="9">
        <v>50</v>
      </c>
      <c r="T158" s="9">
        <v>22</v>
      </c>
      <c r="U158" s="9">
        <v>173</v>
      </c>
      <c r="V158" s="8">
        <v>1534</v>
      </c>
      <c r="W158" s="8">
        <v>13</v>
      </c>
      <c r="X158" s="8">
        <v>0</v>
      </c>
      <c r="Y158" s="7">
        <v>-5.0999999999999996</v>
      </c>
      <c r="Z158" s="7">
        <v>107.7</v>
      </c>
      <c r="AA158" s="7">
        <v>118.9</v>
      </c>
      <c r="AB158" s="7">
        <v>-11.3</v>
      </c>
      <c r="AC158" s="7">
        <v>14</v>
      </c>
      <c r="AD158" s="7">
        <v>1.37</v>
      </c>
      <c r="AE158" s="7">
        <v>17</v>
      </c>
      <c r="AF158" s="7">
        <v>7</v>
      </c>
      <c r="AG158" s="7">
        <v>21.3</v>
      </c>
      <c r="AH158" s="7">
        <v>14</v>
      </c>
      <c r="AI158" s="7">
        <v>12.4</v>
      </c>
      <c r="AJ158" s="7">
        <v>57.6</v>
      </c>
      <c r="AK158" s="7">
        <v>59.4</v>
      </c>
      <c r="AL158" s="7">
        <v>18.399999999999999</v>
      </c>
      <c r="AM158" s="7">
        <v>102.46</v>
      </c>
      <c r="AN158" s="7">
        <v>10.3</v>
      </c>
      <c r="AO158" s="7">
        <v>3248</v>
      </c>
    </row>
    <row r="159" spans="1:41">
      <c r="A159" s="6" t="s">
        <v>357</v>
      </c>
      <c r="B159" s="6" t="s">
        <v>52</v>
      </c>
      <c r="C159" s="41">
        <f t="shared" si="5"/>
        <v>0.57089750398300587</v>
      </c>
      <c r="D159" s="42">
        <f t="shared" si="4"/>
        <v>3.2702702702702702</v>
      </c>
      <c r="E159" s="31">
        <v>688</v>
      </c>
      <c r="F159" s="24">
        <v>254</v>
      </c>
      <c r="G159" s="24">
        <v>570</v>
      </c>
      <c r="H159" s="8">
        <v>44.3</v>
      </c>
      <c r="I159" s="9">
        <v>304</v>
      </c>
      <c r="J159" s="8">
        <v>35.299999999999997</v>
      </c>
      <c r="K159" s="8">
        <v>68</v>
      </c>
      <c r="L159" s="25">
        <v>74</v>
      </c>
      <c r="M159" s="8">
        <v>90.9</v>
      </c>
      <c r="N159" s="9">
        <v>74</v>
      </c>
      <c r="O159" s="9">
        <v>186</v>
      </c>
      <c r="P159" s="9">
        <v>267</v>
      </c>
      <c r="Q159" s="24">
        <v>242</v>
      </c>
      <c r="R159" s="24">
        <v>74</v>
      </c>
      <c r="S159" s="9">
        <v>68</v>
      </c>
      <c r="T159" s="9">
        <v>25</v>
      </c>
      <c r="U159" s="9">
        <v>99</v>
      </c>
      <c r="V159" s="8">
        <v>1562</v>
      </c>
      <c r="W159" s="8">
        <v>1</v>
      </c>
      <c r="X159" s="8">
        <v>0</v>
      </c>
      <c r="Y159" s="7">
        <v>5.5</v>
      </c>
      <c r="Z159" s="7">
        <v>116.6</v>
      </c>
      <c r="AA159" s="7">
        <v>107.7</v>
      </c>
      <c r="AB159" s="7">
        <v>8.9</v>
      </c>
      <c r="AC159" s="7">
        <v>17.399999999999999</v>
      </c>
      <c r="AD159" s="7">
        <v>3.1</v>
      </c>
      <c r="AE159" s="7">
        <v>25.9</v>
      </c>
      <c r="AF159" s="7">
        <v>3.8</v>
      </c>
      <c r="AG159" s="7">
        <v>9.1</v>
      </c>
      <c r="AH159" s="7">
        <v>6.5</v>
      </c>
      <c r="AI159" s="7">
        <v>8.3000000000000007</v>
      </c>
      <c r="AJ159" s="7">
        <v>53.8</v>
      </c>
      <c r="AK159" s="7">
        <v>56.5</v>
      </c>
      <c r="AL159" s="7">
        <v>15.6</v>
      </c>
      <c r="AM159" s="7">
        <v>99.38</v>
      </c>
      <c r="AN159" s="7">
        <v>8.8000000000000007</v>
      </c>
      <c r="AO159" s="7">
        <v>3921</v>
      </c>
    </row>
    <row r="160" spans="1:41">
      <c r="A160" s="6" t="s">
        <v>359</v>
      </c>
      <c r="B160" s="6" t="s">
        <v>88</v>
      </c>
      <c r="C160" s="41">
        <f t="shared" si="5"/>
        <v>0.57211282597126134</v>
      </c>
      <c r="D160" s="42">
        <f t="shared" si="4"/>
        <v>1.1111111111111112</v>
      </c>
      <c r="E160" s="31">
        <v>688</v>
      </c>
      <c r="F160" s="24">
        <v>256</v>
      </c>
      <c r="G160" s="24">
        <v>552</v>
      </c>
      <c r="H160" s="8">
        <v>45.4</v>
      </c>
      <c r="I160" s="9">
        <v>264</v>
      </c>
      <c r="J160" s="8">
        <v>36.1</v>
      </c>
      <c r="K160" s="8">
        <v>88</v>
      </c>
      <c r="L160" s="25">
        <v>112</v>
      </c>
      <c r="M160" s="8">
        <v>81.5</v>
      </c>
      <c r="N160" s="9">
        <v>56</v>
      </c>
      <c r="O160" s="9">
        <v>224</v>
      </c>
      <c r="P160" s="9">
        <v>280</v>
      </c>
      <c r="Q160" s="24">
        <v>80</v>
      </c>
      <c r="R160" s="24">
        <v>72</v>
      </c>
      <c r="S160" s="9">
        <v>32</v>
      </c>
      <c r="T160" s="9">
        <v>72</v>
      </c>
      <c r="U160" s="9">
        <v>128</v>
      </c>
      <c r="V160" s="8">
        <v>1376</v>
      </c>
      <c r="W160" s="8">
        <v>1</v>
      </c>
      <c r="X160" s="8">
        <v>0</v>
      </c>
      <c r="Y160" s="7">
        <v>-0.4</v>
      </c>
      <c r="Z160" s="7">
        <v>110.4</v>
      </c>
      <c r="AA160" s="7">
        <v>112.1</v>
      </c>
      <c r="AB160" s="7">
        <v>-1.7</v>
      </c>
      <c r="AC160" s="7">
        <v>7.2</v>
      </c>
      <c r="AD160" s="7">
        <v>1.07</v>
      </c>
      <c r="AE160" s="7">
        <v>10.4</v>
      </c>
      <c r="AF160" s="7">
        <v>3.5</v>
      </c>
      <c r="AG160" s="7">
        <v>13.3</v>
      </c>
      <c r="AH160" s="7">
        <v>8.5</v>
      </c>
      <c r="AI160" s="7">
        <v>9.8000000000000007</v>
      </c>
      <c r="AJ160" s="7">
        <v>54.1</v>
      </c>
      <c r="AK160" s="7">
        <v>57.1</v>
      </c>
      <c r="AL160" s="7">
        <v>18.100000000000001</v>
      </c>
      <c r="AM160" s="7">
        <v>105.38</v>
      </c>
      <c r="AN160" s="7">
        <v>7.9</v>
      </c>
      <c r="AO160" s="7">
        <v>3328</v>
      </c>
    </row>
    <row r="161" spans="1:41">
      <c r="A161" s="6" t="s">
        <v>361</v>
      </c>
      <c r="B161" s="6" t="s">
        <v>68</v>
      </c>
      <c r="C161" s="41">
        <f t="shared" si="5"/>
        <v>0.56592533756949959</v>
      </c>
      <c r="D161" s="42">
        <f t="shared" si="4"/>
        <v>1.3650793650793651</v>
      </c>
      <c r="E161" s="31">
        <v>684</v>
      </c>
      <c r="F161" s="24">
        <v>274</v>
      </c>
      <c r="G161" s="24">
        <v>559</v>
      </c>
      <c r="H161" s="8">
        <v>48.7</v>
      </c>
      <c r="I161" s="9">
        <v>182</v>
      </c>
      <c r="J161" s="8">
        <v>34.200000000000003</v>
      </c>
      <c r="K161" s="8">
        <v>80</v>
      </c>
      <c r="L161" s="25">
        <v>103</v>
      </c>
      <c r="M161" s="8">
        <v>76</v>
      </c>
      <c r="N161" s="9">
        <v>125</v>
      </c>
      <c r="O161" s="9">
        <v>234</v>
      </c>
      <c r="P161" s="9">
        <v>365</v>
      </c>
      <c r="Q161" s="24">
        <v>86</v>
      </c>
      <c r="R161" s="24">
        <v>63</v>
      </c>
      <c r="S161" s="9">
        <v>97</v>
      </c>
      <c r="T161" s="9">
        <v>51</v>
      </c>
      <c r="U161" s="9">
        <v>137</v>
      </c>
      <c r="V161" s="8">
        <v>1619</v>
      </c>
      <c r="W161" s="8">
        <v>6</v>
      </c>
      <c r="X161" s="8">
        <v>0</v>
      </c>
      <c r="Y161" s="7">
        <v>2.5</v>
      </c>
      <c r="Z161" s="7">
        <v>114.8</v>
      </c>
      <c r="AA161" s="7">
        <v>109.2</v>
      </c>
      <c r="AB161" s="7">
        <v>5.6</v>
      </c>
      <c r="AC161" s="7">
        <v>8.1999999999999993</v>
      </c>
      <c r="AD161" s="7">
        <v>1.28</v>
      </c>
      <c r="AE161" s="7">
        <v>11</v>
      </c>
      <c r="AF161" s="7">
        <v>8.1</v>
      </c>
      <c r="AG161" s="7">
        <v>15.8</v>
      </c>
      <c r="AH161" s="7">
        <v>11.8</v>
      </c>
      <c r="AI161" s="7">
        <v>8.6</v>
      </c>
      <c r="AJ161" s="7">
        <v>54.3</v>
      </c>
      <c r="AK161" s="7">
        <v>56.7</v>
      </c>
      <c r="AL161" s="7">
        <v>18.5</v>
      </c>
      <c r="AM161" s="7">
        <v>101.55</v>
      </c>
      <c r="AN161" s="7">
        <v>11.7</v>
      </c>
      <c r="AO161" s="7">
        <v>2994</v>
      </c>
    </row>
    <row r="162" spans="1:41">
      <c r="A162" s="6" t="s">
        <v>363</v>
      </c>
      <c r="B162" s="6" t="s">
        <v>88</v>
      </c>
      <c r="C162" s="41">
        <f t="shared" si="5"/>
        <v>0.54368591988791948</v>
      </c>
      <c r="D162" s="42">
        <f t="shared" si="4"/>
        <v>2.3043478260869565</v>
      </c>
      <c r="E162" s="31">
        <v>683</v>
      </c>
      <c r="F162" s="24">
        <v>255</v>
      </c>
      <c r="G162" s="24">
        <v>607</v>
      </c>
      <c r="H162" s="8">
        <v>42.5</v>
      </c>
      <c r="I162" s="9">
        <v>393</v>
      </c>
      <c r="J162" s="8">
        <v>33.799999999999997</v>
      </c>
      <c r="K162" s="8">
        <v>35</v>
      </c>
      <c r="L162" s="25">
        <v>48</v>
      </c>
      <c r="M162" s="8">
        <v>71.400000000000006</v>
      </c>
      <c r="N162" s="9">
        <v>28</v>
      </c>
      <c r="O162" s="9">
        <v>173</v>
      </c>
      <c r="P162" s="9">
        <v>207</v>
      </c>
      <c r="Q162" s="24">
        <v>159</v>
      </c>
      <c r="R162" s="24">
        <v>69</v>
      </c>
      <c r="S162" s="9">
        <v>69</v>
      </c>
      <c r="T162" s="9">
        <v>21</v>
      </c>
      <c r="U162" s="9">
        <v>124</v>
      </c>
      <c r="V162" s="8">
        <v>1359</v>
      </c>
      <c r="W162" s="8">
        <v>0</v>
      </c>
      <c r="X162" s="8">
        <v>0</v>
      </c>
      <c r="Y162" s="7">
        <v>1.5</v>
      </c>
      <c r="Z162" s="7">
        <v>114.5</v>
      </c>
      <c r="AA162" s="7">
        <v>111.7</v>
      </c>
      <c r="AB162" s="7">
        <v>2.8</v>
      </c>
      <c r="AC162" s="7">
        <v>12.4</v>
      </c>
      <c r="AD162" s="7">
        <v>2.33</v>
      </c>
      <c r="AE162" s="7">
        <v>18.399999999999999</v>
      </c>
      <c r="AF162" s="7">
        <v>1.7</v>
      </c>
      <c r="AG162" s="7">
        <v>9.8000000000000007</v>
      </c>
      <c r="AH162" s="7">
        <v>5.8</v>
      </c>
      <c r="AI162" s="7">
        <v>7.9</v>
      </c>
      <c r="AJ162" s="7">
        <v>53.5</v>
      </c>
      <c r="AK162" s="7">
        <v>54.4</v>
      </c>
      <c r="AL162" s="7">
        <v>17.100000000000001</v>
      </c>
      <c r="AM162" s="7">
        <v>102.32</v>
      </c>
      <c r="AN162" s="7">
        <v>7.3</v>
      </c>
      <c r="AO162" s="7">
        <v>3581</v>
      </c>
    </row>
    <row r="163" spans="1:41">
      <c r="A163" s="6" t="s">
        <v>365</v>
      </c>
      <c r="B163" s="6" t="s">
        <v>54</v>
      </c>
      <c r="C163" s="41">
        <f t="shared" si="5"/>
        <v>0.58867130938426537</v>
      </c>
      <c r="D163" s="42">
        <f t="shared" si="4"/>
        <v>2.4264705882352939</v>
      </c>
      <c r="E163" s="31">
        <v>683</v>
      </c>
      <c r="F163" s="24">
        <v>240</v>
      </c>
      <c r="G163" s="24">
        <v>570</v>
      </c>
      <c r="H163" s="8">
        <v>42.3</v>
      </c>
      <c r="I163" s="9">
        <v>443</v>
      </c>
      <c r="J163" s="8">
        <v>40.6</v>
      </c>
      <c r="K163" s="8">
        <v>23</v>
      </c>
      <c r="L163" s="25">
        <v>23</v>
      </c>
      <c r="M163" s="8">
        <v>73.099999999999994</v>
      </c>
      <c r="N163" s="9">
        <v>53</v>
      </c>
      <c r="O163" s="9">
        <v>293</v>
      </c>
      <c r="P163" s="9">
        <v>353</v>
      </c>
      <c r="Q163" s="24">
        <v>165</v>
      </c>
      <c r="R163" s="24">
        <v>68</v>
      </c>
      <c r="S163" s="9">
        <v>68</v>
      </c>
      <c r="T163" s="9">
        <v>38</v>
      </c>
      <c r="U163" s="9">
        <v>150</v>
      </c>
      <c r="V163" s="8">
        <v>1583</v>
      </c>
      <c r="W163" s="8">
        <v>1</v>
      </c>
      <c r="X163" s="8">
        <v>0</v>
      </c>
      <c r="Y163" s="7">
        <v>-2.1</v>
      </c>
      <c r="Z163" s="7">
        <v>112.1</v>
      </c>
      <c r="AA163" s="7">
        <v>116.4</v>
      </c>
      <c r="AB163" s="7">
        <v>-4.2</v>
      </c>
      <c r="AC163" s="7">
        <v>12.8</v>
      </c>
      <c r="AD163" s="7">
        <v>2.5099999999999998</v>
      </c>
      <c r="AE163" s="7">
        <v>20.100000000000001</v>
      </c>
      <c r="AF163" s="7">
        <v>2.9</v>
      </c>
      <c r="AG163" s="7">
        <v>15.7</v>
      </c>
      <c r="AH163" s="7">
        <v>9.4</v>
      </c>
      <c r="AI163" s="7">
        <v>8</v>
      </c>
      <c r="AJ163" s="7">
        <v>58</v>
      </c>
      <c r="AK163" s="7">
        <v>58.5</v>
      </c>
      <c r="AL163" s="7">
        <v>15.1</v>
      </c>
      <c r="AM163" s="7">
        <v>100.27</v>
      </c>
      <c r="AN163" s="7">
        <v>8.5</v>
      </c>
      <c r="AO163" s="7">
        <v>3840</v>
      </c>
    </row>
    <row r="164" spans="1:41">
      <c r="A164" s="6" t="s">
        <v>367</v>
      </c>
      <c r="B164" s="6" t="s">
        <v>50</v>
      </c>
      <c r="C164" s="41">
        <f t="shared" si="5"/>
        <v>0.54431229618262045</v>
      </c>
      <c r="D164" s="42">
        <f t="shared" si="4"/>
        <v>1.7457627118644068</v>
      </c>
      <c r="E164" s="31">
        <v>681</v>
      </c>
      <c r="F164" s="24">
        <v>279</v>
      </c>
      <c r="G164" s="24">
        <v>593</v>
      </c>
      <c r="H164" s="8">
        <v>46.6</v>
      </c>
      <c r="I164" s="9">
        <v>176</v>
      </c>
      <c r="J164" s="8">
        <v>36.5</v>
      </c>
      <c r="K164" s="8">
        <v>59</v>
      </c>
      <c r="L164" s="25">
        <v>74</v>
      </c>
      <c r="M164" s="8">
        <v>83.6</v>
      </c>
      <c r="N164" s="9">
        <v>88</v>
      </c>
      <c r="O164" s="9">
        <v>323</v>
      </c>
      <c r="P164" s="9">
        <v>412</v>
      </c>
      <c r="Q164" s="24">
        <v>103</v>
      </c>
      <c r="R164" s="24">
        <v>59</v>
      </c>
      <c r="S164" s="9">
        <v>34</v>
      </c>
      <c r="T164" s="9">
        <v>25</v>
      </c>
      <c r="U164" s="9">
        <v>93</v>
      </c>
      <c r="V164" s="8">
        <v>1455</v>
      </c>
      <c r="W164" s="8">
        <v>11</v>
      </c>
      <c r="X164" s="8">
        <v>0</v>
      </c>
      <c r="Y164" s="7">
        <v>1.9</v>
      </c>
      <c r="Z164" s="7">
        <v>114.1</v>
      </c>
      <c r="AA164" s="7">
        <v>110.8</v>
      </c>
      <c r="AB164" s="7">
        <v>3.4</v>
      </c>
      <c r="AC164" s="7">
        <v>12.6</v>
      </c>
      <c r="AD164" s="7">
        <v>1.82</v>
      </c>
      <c r="AE164" s="7">
        <v>13.2</v>
      </c>
      <c r="AF164" s="7">
        <v>7.1</v>
      </c>
      <c r="AG164" s="7">
        <v>23.5</v>
      </c>
      <c r="AH164" s="7">
        <v>15.6</v>
      </c>
      <c r="AI164" s="7">
        <v>7.2</v>
      </c>
      <c r="AJ164" s="7">
        <v>52</v>
      </c>
      <c r="AK164" s="7">
        <v>54.2</v>
      </c>
      <c r="AL164" s="7">
        <v>23.4</v>
      </c>
      <c r="AM164" s="7">
        <v>101.2</v>
      </c>
      <c r="AN164" s="7">
        <v>13.1</v>
      </c>
      <c r="AO164" s="7">
        <v>2625</v>
      </c>
    </row>
    <row r="165" spans="1:41">
      <c r="A165" s="6" t="s">
        <v>369</v>
      </c>
      <c r="B165" s="6" t="s">
        <v>58</v>
      </c>
      <c r="C165" s="41">
        <f t="shared" si="5"/>
        <v>0.56719604964633652</v>
      </c>
      <c r="D165" s="42">
        <f t="shared" si="4"/>
        <v>1.7307692307692308</v>
      </c>
      <c r="E165" s="31">
        <v>680</v>
      </c>
      <c r="F165" s="24">
        <v>270</v>
      </c>
      <c r="G165" s="24">
        <v>544</v>
      </c>
      <c r="H165" s="8">
        <v>50</v>
      </c>
      <c r="I165" s="9">
        <v>140</v>
      </c>
      <c r="J165" s="8">
        <v>31.2</v>
      </c>
      <c r="K165" s="8">
        <v>94</v>
      </c>
      <c r="L165" s="25">
        <v>126</v>
      </c>
      <c r="M165" s="8">
        <v>74.599999999999994</v>
      </c>
      <c r="N165" s="9">
        <v>61</v>
      </c>
      <c r="O165" s="9">
        <v>299</v>
      </c>
      <c r="P165" s="9">
        <v>360</v>
      </c>
      <c r="Q165" s="24">
        <v>180</v>
      </c>
      <c r="R165" s="24">
        <v>104</v>
      </c>
      <c r="S165" s="9">
        <v>58</v>
      </c>
      <c r="T165" s="9">
        <v>36</v>
      </c>
      <c r="U165" s="9">
        <v>68</v>
      </c>
      <c r="V165" s="8">
        <v>1552</v>
      </c>
      <c r="W165" s="8">
        <v>20</v>
      </c>
      <c r="X165" s="8">
        <v>1</v>
      </c>
      <c r="Y165" s="7">
        <v>1.5</v>
      </c>
      <c r="Z165" s="7">
        <v>111.8</v>
      </c>
      <c r="AA165" s="7">
        <v>110.2</v>
      </c>
      <c r="AB165" s="7">
        <v>1.6</v>
      </c>
      <c r="AC165" s="7">
        <v>20.3</v>
      </c>
      <c r="AD165" s="7">
        <v>1.71</v>
      </c>
      <c r="AE165" s="7">
        <v>20.5</v>
      </c>
      <c r="AF165" s="7">
        <v>4.5999999999999996</v>
      </c>
      <c r="AG165" s="7">
        <v>21.6</v>
      </c>
      <c r="AH165" s="7">
        <v>13.2</v>
      </c>
      <c r="AI165" s="7">
        <v>12</v>
      </c>
      <c r="AJ165" s="7">
        <v>54.1</v>
      </c>
      <c r="AK165" s="7">
        <v>56.9</v>
      </c>
      <c r="AL165" s="7">
        <v>21.4</v>
      </c>
      <c r="AM165" s="7">
        <v>106.68</v>
      </c>
      <c r="AN165" s="7">
        <v>13.5</v>
      </c>
      <c r="AO165" s="7">
        <v>2858</v>
      </c>
    </row>
    <row r="166" spans="1:41">
      <c r="A166" s="6" t="s">
        <v>371</v>
      </c>
      <c r="B166" s="6" t="s">
        <v>56</v>
      </c>
      <c r="C166" s="41">
        <f t="shared" si="5"/>
        <v>0.49709660390638744</v>
      </c>
      <c r="D166" s="42">
        <f t="shared" si="4"/>
        <v>2.1558441558441559</v>
      </c>
      <c r="E166" s="31">
        <v>678</v>
      </c>
      <c r="F166" s="24">
        <v>250</v>
      </c>
      <c r="G166" s="24">
        <v>634</v>
      </c>
      <c r="H166" s="8">
        <v>39.1</v>
      </c>
      <c r="I166" s="9">
        <v>307</v>
      </c>
      <c r="J166" s="8">
        <v>29.5</v>
      </c>
      <c r="K166" s="8">
        <v>90</v>
      </c>
      <c r="L166" s="25">
        <v>109</v>
      </c>
      <c r="M166" s="8">
        <v>85.2</v>
      </c>
      <c r="N166" s="9">
        <v>45</v>
      </c>
      <c r="O166" s="9">
        <v>192</v>
      </c>
      <c r="P166" s="9">
        <v>237</v>
      </c>
      <c r="Q166" s="24">
        <v>166</v>
      </c>
      <c r="R166" s="24">
        <v>77</v>
      </c>
      <c r="S166" s="9">
        <v>38</v>
      </c>
      <c r="T166" s="9">
        <v>13</v>
      </c>
      <c r="U166" s="9">
        <v>70</v>
      </c>
      <c r="V166" s="8">
        <v>1293</v>
      </c>
      <c r="W166" s="8">
        <v>0</v>
      </c>
      <c r="X166" s="8">
        <v>0</v>
      </c>
      <c r="Y166" s="7">
        <v>-2.2000000000000002</v>
      </c>
      <c r="Z166" s="7">
        <v>107.3</v>
      </c>
      <c r="AA166" s="7">
        <v>112.3</v>
      </c>
      <c r="AB166" s="7">
        <v>-4.9000000000000004</v>
      </c>
      <c r="AC166" s="7">
        <v>15.2</v>
      </c>
      <c r="AD166" s="7">
        <v>2.14</v>
      </c>
      <c r="AE166" s="7">
        <v>18.100000000000001</v>
      </c>
      <c r="AF166" s="7">
        <v>2.5</v>
      </c>
      <c r="AG166" s="7">
        <v>11.3</v>
      </c>
      <c r="AH166" s="7">
        <v>6.8</v>
      </c>
      <c r="AI166" s="7">
        <v>8.4</v>
      </c>
      <c r="AJ166" s="7">
        <v>46.2</v>
      </c>
      <c r="AK166" s="7">
        <v>49.7</v>
      </c>
      <c r="AL166" s="7">
        <v>19.5</v>
      </c>
      <c r="AM166" s="7">
        <v>99.13</v>
      </c>
      <c r="AN166" s="7">
        <v>7.8</v>
      </c>
      <c r="AO166" s="7">
        <v>3437</v>
      </c>
    </row>
    <row r="167" spans="1:41">
      <c r="A167" s="6" t="s">
        <v>373</v>
      </c>
      <c r="B167" s="6" t="s">
        <v>54</v>
      </c>
      <c r="C167" s="41">
        <f t="shared" si="5"/>
        <v>0.63175549757733873</v>
      </c>
      <c r="D167" s="42">
        <f t="shared" si="4"/>
        <v>1.7402597402597402</v>
      </c>
      <c r="E167" s="31">
        <v>678</v>
      </c>
      <c r="F167" s="24">
        <v>218</v>
      </c>
      <c r="G167" s="24">
        <v>486</v>
      </c>
      <c r="H167" s="8">
        <v>44.8</v>
      </c>
      <c r="I167" s="9">
        <v>352</v>
      </c>
      <c r="J167" s="8">
        <v>42.6</v>
      </c>
      <c r="K167" s="8">
        <v>96</v>
      </c>
      <c r="L167" s="25">
        <v>115</v>
      </c>
      <c r="M167" s="8">
        <v>81.599999999999994</v>
      </c>
      <c r="N167" s="9">
        <v>32</v>
      </c>
      <c r="O167" s="9">
        <v>160</v>
      </c>
      <c r="P167" s="9">
        <v>192</v>
      </c>
      <c r="Q167" s="24">
        <v>134</v>
      </c>
      <c r="R167" s="24">
        <v>77</v>
      </c>
      <c r="S167" s="9">
        <v>51</v>
      </c>
      <c r="T167" s="9">
        <v>19</v>
      </c>
      <c r="U167" s="9">
        <v>96</v>
      </c>
      <c r="V167" s="8">
        <v>1261</v>
      </c>
      <c r="W167" s="8">
        <v>1</v>
      </c>
      <c r="X167" s="8">
        <v>0</v>
      </c>
      <c r="Y167" s="7">
        <v>-1.2</v>
      </c>
      <c r="Z167" s="7">
        <v>114.7</v>
      </c>
      <c r="AA167" s="7">
        <v>118</v>
      </c>
      <c r="AB167" s="7">
        <v>-3.3</v>
      </c>
      <c r="AC167" s="7">
        <v>12.5</v>
      </c>
      <c r="AD167" s="7">
        <v>1.83</v>
      </c>
      <c r="AE167" s="7">
        <v>18.2</v>
      </c>
      <c r="AF167" s="7">
        <v>2.2999999999999998</v>
      </c>
      <c r="AG167" s="7">
        <v>10.3</v>
      </c>
      <c r="AH167" s="7">
        <v>6.4</v>
      </c>
      <c r="AI167" s="7">
        <v>10</v>
      </c>
      <c r="AJ167" s="7">
        <v>60</v>
      </c>
      <c r="AK167" s="7">
        <v>63.1</v>
      </c>
      <c r="AL167" s="7">
        <v>16.899999999999999</v>
      </c>
      <c r="AM167" s="7">
        <v>100.84</v>
      </c>
      <c r="AN167" s="7">
        <v>8.4</v>
      </c>
      <c r="AO167" s="7">
        <v>3255</v>
      </c>
    </row>
    <row r="168" spans="1:41">
      <c r="A168" s="6" t="s">
        <v>375</v>
      </c>
      <c r="B168" s="6" t="s">
        <v>122</v>
      </c>
      <c r="C168" s="41">
        <f t="shared" si="5"/>
        <v>0.52431846344485744</v>
      </c>
      <c r="D168" s="42">
        <f t="shared" si="4"/>
        <v>1.5</v>
      </c>
      <c r="E168" s="31">
        <v>677</v>
      </c>
      <c r="F168" s="24">
        <v>216</v>
      </c>
      <c r="G168" s="24">
        <v>573</v>
      </c>
      <c r="H168" s="8">
        <v>37.299999999999997</v>
      </c>
      <c r="I168" s="9">
        <v>296</v>
      </c>
      <c r="J168" s="8">
        <v>36.5</v>
      </c>
      <c r="K168" s="8">
        <v>141</v>
      </c>
      <c r="L168" s="25">
        <v>165</v>
      </c>
      <c r="M168" s="8">
        <v>84.9</v>
      </c>
      <c r="N168" s="9">
        <v>28</v>
      </c>
      <c r="O168" s="9">
        <v>136</v>
      </c>
      <c r="P168" s="9">
        <v>165</v>
      </c>
      <c r="Q168" s="24">
        <v>99</v>
      </c>
      <c r="R168" s="24">
        <v>66</v>
      </c>
      <c r="S168" s="9">
        <v>42</v>
      </c>
      <c r="T168" s="9">
        <v>47</v>
      </c>
      <c r="U168" s="9">
        <v>108</v>
      </c>
      <c r="V168" s="8">
        <v>1222</v>
      </c>
      <c r="W168" s="8">
        <v>0</v>
      </c>
      <c r="X168" s="8">
        <v>0</v>
      </c>
      <c r="Y168" s="7">
        <v>-4.3</v>
      </c>
      <c r="Z168" s="7">
        <v>107.4</v>
      </c>
      <c r="AA168" s="7">
        <v>113.4</v>
      </c>
      <c r="AB168" s="7">
        <v>-6.1</v>
      </c>
      <c r="AC168" s="7">
        <v>9.9</v>
      </c>
      <c r="AD168" s="7">
        <v>1.55</v>
      </c>
      <c r="AE168" s="7">
        <v>12.5</v>
      </c>
      <c r="AF168" s="7">
        <v>1.5</v>
      </c>
      <c r="AG168" s="7">
        <v>8.8000000000000007</v>
      </c>
      <c r="AH168" s="7">
        <v>5</v>
      </c>
      <c r="AI168" s="7">
        <v>8</v>
      </c>
      <c r="AJ168" s="7">
        <v>46.7</v>
      </c>
      <c r="AK168" s="7">
        <v>52.3</v>
      </c>
      <c r="AL168" s="7">
        <v>19.2</v>
      </c>
      <c r="AM168" s="7">
        <v>100.41</v>
      </c>
      <c r="AN168" s="7">
        <v>7</v>
      </c>
      <c r="AO168" s="7">
        <v>3183</v>
      </c>
    </row>
    <row r="169" spans="1:41">
      <c r="A169" s="6" t="s">
        <v>377</v>
      </c>
      <c r="B169" s="6" t="s">
        <v>140</v>
      </c>
      <c r="C169" s="41">
        <f t="shared" si="5"/>
        <v>0.64622061760639116</v>
      </c>
      <c r="D169" s="42">
        <f t="shared" si="4"/>
        <v>1.5714285714285714</v>
      </c>
      <c r="E169" s="31">
        <v>673</v>
      </c>
      <c r="F169" s="24">
        <v>268</v>
      </c>
      <c r="G169" s="24">
        <v>449</v>
      </c>
      <c r="H169" s="8">
        <v>60.4</v>
      </c>
      <c r="I169" s="9">
        <v>4</v>
      </c>
      <c r="J169" s="8">
        <v>0</v>
      </c>
      <c r="K169" s="8">
        <v>132</v>
      </c>
      <c r="L169" s="25">
        <v>163</v>
      </c>
      <c r="M169" s="8">
        <v>80.400000000000006</v>
      </c>
      <c r="N169" s="9">
        <v>132</v>
      </c>
      <c r="O169" s="9">
        <v>317</v>
      </c>
      <c r="P169" s="9">
        <v>449</v>
      </c>
      <c r="Q169" s="24">
        <v>110</v>
      </c>
      <c r="R169" s="24">
        <v>70</v>
      </c>
      <c r="S169" s="9">
        <v>31</v>
      </c>
      <c r="T169" s="9">
        <v>53</v>
      </c>
      <c r="U169" s="9">
        <v>106</v>
      </c>
      <c r="V169" s="8">
        <v>1558</v>
      </c>
      <c r="W169" s="8">
        <v>21</v>
      </c>
      <c r="X169" s="8">
        <v>0</v>
      </c>
      <c r="Y169" s="7">
        <v>-6.8</v>
      </c>
      <c r="Z169" s="7">
        <v>106.3</v>
      </c>
      <c r="AA169" s="7">
        <v>118.9</v>
      </c>
      <c r="AB169" s="7">
        <v>-12.7</v>
      </c>
      <c r="AC169" s="7">
        <v>15.4</v>
      </c>
      <c r="AD169" s="7">
        <v>1.54</v>
      </c>
      <c r="AE169" s="7">
        <v>15.7</v>
      </c>
      <c r="AF169" s="7">
        <v>10.3</v>
      </c>
      <c r="AG169" s="7">
        <v>25.5</v>
      </c>
      <c r="AH169" s="7">
        <v>17.8</v>
      </c>
      <c r="AI169" s="7">
        <v>10.199999999999999</v>
      </c>
      <c r="AJ169" s="7">
        <v>60.4</v>
      </c>
      <c r="AK169" s="7">
        <v>64.7</v>
      </c>
      <c r="AL169" s="7">
        <v>21</v>
      </c>
      <c r="AM169" s="7">
        <v>100.77</v>
      </c>
      <c r="AN169" s="7">
        <v>15.6</v>
      </c>
      <c r="AO169" s="7">
        <v>2463</v>
      </c>
    </row>
    <row r="170" spans="1:41">
      <c r="A170" s="6" t="s">
        <v>379</v>
      </c>
      <c r="B170" s="6" t="s">
        <v>98</v>
      </c>
      <c r="C170" s="41">
        <f t="shared" si="5"/>
        <v>0.57023217811670179</v>
      </c>
      <c r="D170" s="42">
        <f t="shared" si="4"/>
        <v>2.2419354838709675</v>
      </c>
      <c r="E170" s="31">
        <v>670</v>
      </c>
      <c r="F170" s="24">
        <v>239</v>
      </c>
      <c r="G170" s="24">
        <v>547</v>
      </c>
      <c r="H170" s="8">
        <v>43.9</v>
      </c>
      <c r="I170" s="9">
        <v>331</v>
      </c>
      <c r="J170" s="8">
        <v>34.200000000000003</v>
      </c>
      <c r="K170" s="8">
        <v>85</v>
      </c>
      <c r="L170" s="25">
        <v>92</v>
      </c>
      <c r="M170" s="8">
        <v>86.3</v>
      </c>
      <c r="N170" s="9">
        <v>31</v>
      </c>
      <c r="O170" s="9">
        <v>139</v>
      </c>
      <c r="P170" s="9">
        <v>169</v>
      </c>
      <c r="Q170" s="24">
        <v>139</v>
      </c>
      <c r="R170" s="24">
        <v>62</v>
      </c>
      <c r="S170" s="9">
        <v>100</v>
      </c>
      <c r="T170" s="9">
        <v>31</v>
      </c>
      <c r="U170" s="9">
        <v>139</v>
      </c>
      <c r="V170" s="8">
        <v>1417</v>
      </c>
      <c r="W170" s="8">
        <v>0</v>
      </c>
      <c r="X170" s="8">
        <v>0</v>
      </c>
      <c r="Y170" s="7">
        <v>0.1</v>
      </c>
      <c r="Z170" s="7">
        <v>109.1</v>
      </c>
      <c r="AA170" s="7">
        <v>108.6</v>
      </c>
      <c r="AB170" s="7">
        <v>0.5</v>
      </c>
      <c r="AC170" s="7">
        <v>8.6</v>
      </c>
      <c r="AD170" s="7">
        <v>2.19</v>
      </c>
      <c r="AE170" s="7">
        <v>17.7</v>
      </c>
      <c r="AF170" s="7">
        <v>1.4</v>
      </c>
      <c r="AG170" s="7">
        <v>6.4</v>
      </c>
      <c r="AH170" s="7">
        <v>3.8</v>
      </c>
      <c r="AI170" s="7">
        <v>8.1</v>
      </c>
      <c r="AJ170" s="7">
        <v>54.3</v>
      </c>
      <c r="AK170" s="7">
        <v>57.4</v>
      </c>
      <c r="AL170" s="7">
        <v>12.1</v>
      </c>
      <c r="AM170" s="7">
        <v>96.52</v>
      </c>
      <c r="AN170" s="7">
        <v>6.5</v>
      </c>
      <c r="AO170" s="7">
        <v>4577</v>
      </c>
    </row>
    <row r="171" spans="1:41">
      <c r="A171" s="6" t="s">
        <v>381</v>
      </c>
      <c r="B171" s="6" t="s">
        <v>146</v>
      </c>
      <c r="C171" s="41">
        <f t="shared" si="5"/>
        <v>0.6016912402428447</v>
      </c>
      <c r="D171" s="42">
        <f t="shared" si="4"/>
        <v>1.8823529411764706</v>
      </c>
      <c r="E171" s="31">
        <v>666</v>
      </c>
      <c r="F171" s="24">
        <v>269</v>
      </c>
      <c r="G171" s="24">
        <v>531</v>
      </c>
      <c r="H171" s="8">
        <v>49.8</v>
      </c>
      <c r="I171" s="9">
        <v>256</v>
      </c>
      <c r="J171" s="8">
        <v>39.9</v>
      </c>
      <c r="K171" s="8">
        <v>32</v>
      </c>
      <c r="L171" s="25">
        <v>51</v>
      </c>
      <c r="M171" s="8">
        <v>70.8</v>
      </c>
      <c r="N171" s="9">
        <v>64</v>
      </c>
      <c r="O171" s="9">
        <v>179</v>
      </c>
      <c r="P171" s="9">
        <v>243</v>
      </c>
      <c r="Q171" s="24">
        <v>96</v>
      </c>
      <c r="R171" s="24">
        <v>51</v>
      </c>
      <c r="S171" s="9">
        <v>58</v>
      </c>
      <c r="T171" s="9">
        <v>32</v>
      </c>
      <c r="U171" s="9">
        <v>128</v>
      </c>
      <c r="V171" s="8">
        <v>1312</v>
      </c>
      <c r="W171" s="8">
        <v>0</v>
      </c>
      <c r="X171" s="8">
        <v>0</v>
      </c>
      <c r="Y171" s="7">
        <v>-3.3</v>
      </c>
      <c r="Z171" s="7">
        <v>106.4</v>
      </c>
      <c r="AA171" s="7">
        <v>112.2</v>
      </c>
      <c r="AB171" s="7">
        <v>-5.7</v>
      </c>
      <c r="AC171" s="7">
        <v>8.1</v>
      </c>
      <c r="AD171" s="7">
        <v>1.81</v>
      </c>
      <c r="AE171" s="7">
        <v>13.9</v>
      </c>
      <c r="AF171" s="7">
        <v>3.3</v>
      </c>
      <c r="AG171" s="7">
        <v>9.8000000000000007</v>
      </c>
      <c r="AH171" s="7">
        <v>6.6</v>
      </c>
      <c r="AI171" s="7">
        <v>7.6</v>
      </c>
      <c r="AJ171" s="7">
        <v>59.3</v>
      </c>
      <c r="AK171" s="7">
        <v>60.1</v>
      </c>
      <c r="AL171" s="7">
        <v>14.4</v>
      </c>
      <c r="AM171" s="7">
        <v>101.93</v>
      </c>
      <c r="AN171" s="7">
        <v>8.1</v>
      </c>
      <c r="AO171" s="7">
        <v>3691</v>
      </c>
    </row>
    <row r="172" spans="1:41">
      <c r="A172" s="6" t="s">
        <v>383</v>
      </c>
      <c r="B172" s="6" t="s">
        <v>164</v>
      </c>
      <c r="C172" s="41">
        <f t="shared" si="5"/>
        <v>0.57364019628170571</v>
      </c>
      <c r="D172" s="42">
        <f t="shared" si="4"/>
        <v>1.2749999999999999</v>
      </c>
      <c r="E172" s="31">
        <v>664</v>
      </c>
      <c r="F172" s="24">
        <v>270</v>
      </c>
      <c r="G172" s="24">
        <v>489</v>
      </c>
      <c r="H172" s="8">
        <v>54.7</v>
      </c>
      <c r="I172" s="8">
        <v>0</v>
      </c>
      <c r="J172" s="8">
        <v>0</v>
      </c>
      <c r="K172" s="8">
        <v>124</v>
      </c>
      <c r="L172" s="25">
        <v>204</v>
      </c>
      <c r="M172" s="8">
        <v>62.3</v>
      </c>
      <c r="N172" s="9">
        <v>256</v>
      </c>
      <c r="O172" s="9">
        <v>343</v>
      </c>
      <c r="P172" s="9">
        <v>599</v>
      </c>
      <c r="Q172" s="24">
        <v>102</v>
      </c>
      <c r="R172" s="24">
        <v>80</v>
      </c>
      <c r="S172" s="9">
        <v>37</v>
      </c>
      <c r="T172" s="9">
        <v>95</v>
      </c>
      <c r="U172" s="9">
        <v>146</v>
      </c>
      <c r="V172" s="8">
        <v>1854</v>
      </c>
      <c r="W172" s="8">
        <v>14</v>
      </c>
      <c r="X172" s="8">
        <v>0</v>
      </c>
      <c r="Y172" s="7">
        <v>-7</v>
      </c>
      <c r="Z172" s="7">
        <v>107.8</v>
      </c>
      <c r="AA172" s="7">
        <v>120.5</v>
      </c>
      <c r="AB172" s="7">
        <v>-12.7</v>
      </c>
      <c r="AC172" s="7">
        <v>7.2</v>
      </c>
      <c r="AD172" s="7">
        <v>1.21</v>
      </c>
      <c r="AE172" s="7">
        <v>12.9</v>
      </c>
      <c r="AF172" s="7">
        <v>12.2</v>
      </c>
      <c r="AG172" s="7">
        <v>17.7</v>
      </c>
      <c r="AH172" s="7">
        <v>14.9</v>
      </c>
      <c r="AI172" s="7">
        <v>10.7</v>
      </c>
      <c r="AJ172" s="7">
        <v>54.7</v>
      </c>
      <c r="AK172" s="7">
        <v>57.2</v>
      </c>
      <c r="AL172" s="7">
        <v>14.1</v>
      </c>
      <c r="AM172" s="7">
        <v>99.85</v>
      </c>
      <c r="AN172" s="7">
        <v>9</v>
      </c>
      <c r="AO172" s="7">
        <v>4069</v>
      </c>
    </row>
    <row r="173" spans="1:41">
      <c r="A173" s="6" t="s">
        <v>385</v>
      </c>
      <c r="B173" s="6" t="s">
        <v>116</v>
      </c>
      <c r="C173" s="41">
        <f t="shared" si="5"/>
        <v>0.54149269311064718</v>
      </c>
      <c r="D173" s="42">
        <f t="shared" si="4"/>
        <v>1.6448598130841121</v>
      </c>
      <c r="E173" s="31">
        <v>664</v>
      </c>
      <c r="F173" s="24">
        <v>246</v>
      </c>
      <c r="G173" s="24">
        <v>570</v>
      </c>
      <c r="H173" s="8">
        <v>43</v>
      </c>
      <c r="I173" s="9">
        <v>267</v>
      </c>
      <c r="J173" s="8">
        <v>35.799999999999997</v>
      </c>
      <c r="K173" s="8">
        <v>78</v>
      </c>
      <c r="L173" s="25">
        <v>98</v>
      </c>
      <c r="M173" s="8">
        <v>81.400000000000006</v>
      </c>
      <c r="N173" s="9">
        <v>25</v>
      </c>
      <c r="O173" s="9">
        <v>197</v>
      </c>
      <c r="P173" s="9">
        <v>217</v>
      </c>
      <c r="Q173" s="24">
        <v>176</v>
      </c>
      <c r="R173" s="24">
        <v>107</v>
      </c>
      <c r="S173" s="9">
        <v>74</v>
      </c>
      <c r="T173" s="9">
        <v>21</v>
      </c>
      <c r="U173" s="9">
        <v>103</v>
      </c>
      <c r="V173" s="8">
        <v>1374</v>
      </c>
      <c r="W173" s="8">
        <v>3</v>
      </c>
      <c r="X173" s="8">
        <v>0</v>
      </c>
      <c r="Y173" s="7">
        <v>-2</v>
      </c>
      <c r="Z173" s="7">
        <v>108.3</v>
      </c>
      <c r="AA173" s="7">
        <v>112.2</v>
      </c>
      <c r="AB173" s="7">
        <v>-3.8</v>
      </c>
      <c r="AC173" s="7">
        <v>21.7</v>
      </c>
      <c r="AD173" s="7">
        <v>1.68</v>
      </c>
      <c r="AE173" s="7">
        <v>19.899999999999999</v>
      </c>
      <c r="AF173" s="7">
        <v>1.8</v>
      </c>
      <c r="AG173" s="7">
        <v>15.3</v>
      </c>
      <c r="AH173" s="7">
        <v>8.3000000000000007</v>
      </c>
      <c r="AI173" s="7">
        <v>11.8</v>
      </c>
      <c r="AJ173" s="7">
        <v>51.4</v>
      </c>
      <c r="AK173" s="7">
        <v>54.3</v>
      </c>
      <c r="AL173" s="7">
        <v>23.3</v>
      </c>
      <c r="AM173" s="7">
        <v>98.87</v>
      </c>
      <c r="AN173" s="7">
        <v>10.6</v>
      </c>
      <c r="AO173" s="7">
        <v>2757</v>
      </c>
    </row>
    <row r="174" spans="1:41">
      <c r="A174" s="6" t="s">
        <v>387</v>
      </c>
      <c r="B174" s="6" t="s">
        <v>66</v>
      </c>
      <c r="C174" s="41">
        <f t="shared" si="5"/>
        <v>0.66040738383195419</v>
      </c>
      <c r="D174" s="42">
        <f t="shared" si="4"/>
        <v>1.6666666666666667</v>
      </c>
      <c r="E174" s="31">
        <v>664</v>
      </c>
      <c r="F174" s="24">
        <v>224</v>
      </c>
      <c r="G174" s="24">
        <v>464</v>
      </c>
      <c r="H174" s="8">
        <v>48.9</v>
      </c>
      <c r="I174" s="9">
        <v>320</v>
      </c>
      <c r="J174" s="8">
        <v>43.3</v>
      </c>
      <c r="K174" s="8">
        <v>72</v>
      </c>
      <c r="L174" s="25">
        <v>88</v>
      </c>
      <c r="M174" s="8">
        <v>84.9</v>
      </c>
      <c r="N174" s="9">
        <v>64</v>
      </c>
      <c r="O174" s="9">
        <v>152</v>
      </c>
      <c r="P174" s="9">
        <v>216</v>
      </c>
      <c r="Q174" s="24">
        <v>120</v>
      </c>
      <c r="R174" s="24">
        <v>72</v>
      </c>
      <c r="S174" s="9">
        <v>120</v>
      </c>
      <c r="T174" s="9">
        <v>64</v>
      </c>
      <c r="U174" s="9">
        <v>176</v>
      </c>
      <c r="V174" s="8">
        <v>1584</v>
      </c>
      <c r="W174" s="8">
        <v>0</v>
      </c>
      <c r="X174" s="8">
        <v>0</v>
      </c>
      <c r="Y174" s="7">
        <v>0.8</v>
      </c>
      <c r="Z174" s="7">
        <v>116.1</v>
      </c>
      <c r="AA174" s="7">
        <v>113.2</v>
      </c>
      <c r="AB174" s="7">
        <v>3</v>
      </c>
      <c r="AC174" s="7">
        <v>8</v>
      </c>
      <c r="AD174" s="7">
        <v>1.69</v>
      </c>
      <c r="AE174" s="7">
        <v>17.399999999999999</v>
      </c>
      <c r="AF174" s="7">
        <v>3.1</v>
      </c>
      <c r="AG174" s="7">
        <v>7.9</v>
      </c>
      <c r="AH174" s="7">
        <v>5.5</v>
      </c>
      <c r="AI174" s="7">
        <v>10.3</v>
      </c>
      <c r="AJ174" s="7">
        <v>63.9</v>
      </c>
      <c r="AK174" s="7">
        <v>66.400000000000006</v>
      </c>
      <c r="AL174" s="7">
        <v>12.5</v>
      </c>
      <c r="AM174" s="7">
        <v>99.07</v>
      </c>
      <c r="AN174" s="7">
        <v>7.3</v>
      </c>
      <c r="AO174" s="7">
        <v>3997</v>
      </c>
    </row>
    <row r="175" spans="1:41">
      <c r="A175" s="6" t="s">
        <v>389</v>
      </c>
      <c r="B175" s="6" t="s">
        <v>50</v>
      </c>
      <c r="C175" s="41">
        <f t="shared" si="5"/>
        <v>0.61524609843937572</v>
      </c>
      <c r="D175" s="42">
        <f t="shared" si="4"/>
        <v>1.9</v>
      </c>
      <c r="E175" s="31">
        <v>656</v>
      </c>
      <c r="F175" s="24">
        <v>232</v>
      </c>
      <c r="G175" s="24">
        <v>512</v>
      </c>
      <c r="H175" s="8">
        <v>45.7</v>
      </c>
      <c r="I175" s="9">
        <v>336</v>
      </c>
      <c r="J175" s="8">
        <v>43.9</v>
      </c>
      <c r="K175" s="8">
        <v>40</v>
      </c>
      <c r="L175" s="25">
        <v>48</v>
      </c>
      <c r="M175" s="8">
        <v>81.3</v>
      </c>
      <c r="N175" s="9">
        <v>32</v>
      </c>
      <c r="O175" s="9">
        <v>256</v>
      </c>
      <c r="P175" s="9">
        <v>288</v>
      </c>
      <c r="Q175" s="24">
        <v>152</v>
      </c>
      <c r="R175" s="24">
        <v>80</v>
      </c>
      <c r="S175" s="9">
        <v>80</v>
      </c>
      <c r="T175" s="9">
        <v>16</v>
      </c>
      <c r="U175" s="9">
        <v>168</v>
      </c>
      <c r="V175" s="8">
        <v>1424</v>
      </c>
      <c r="W175" s="8">
        <v>1</v>
      </c>
      <c r="X175" s="8">
        <v>0</v>
      </c>
      <c r="Y175" s="7">
        <v>-0.3</v>
      </c>
      <c r="Z175" s="7">
        <v>114</v>
      </c>
      <c r="AA175" s="7">
        <v>114.5</v>
      </c>
      <c r="AB175" s="7">
        <v>-0.4</v>
      </c>
      <c r="AC175" s="7">
        <v>9.3000000000000007</v>
      </c>
      <c r="AD175" s="7">
        <v>1.89</v>
      </c>
      <c r="AE175" s="7">
        <v>20.100000000000001</v>
      </c>
      <c r="AF175" s="7">
        <v>1.6</v>
      </c>
      <c r="AG175" s="7">
        <v>11</v>
      </c>
      <c r="AH175" s="7">
        <v>6.5</v>
      </c>
      <c r="AI175" s="7">
        <v>10.6</v>
      </c>
      <c r="AJ175" s="7">
        <v>60</v>
      </c>
      <c r="AK175" s="7">
        <v>61.3</v>
      </c>
      <c r="AL175" s="7">
        <v>12.3</v>
      </c>
      <c r="AM175" s="7">
        <v>100.95</v>
      </c>
      <c r="AN175" s="7">
        <v>6.4</v>
      </c>
      <c r="AO175" s="7">
        <v>4554</v>
      </c>
    </row>
    <row r="176" spans="1:41">
      <c r="A176" s="6" t="s">
        <v>391</v>
      </c>
      <c r="B176" s="6" t="s">
        <v>84</v>
      </c>
      <c r="C176" s="41">
        <f t="shared" si="5"/>
        <v>0.54141400679682816</v>
      </c>
      <c r="D176" s="42">
        <f t="shared" si="4"/>
        <v>2.9279279279279278</v>
      </c>
      <c r="E176" s="31">
        <v>650</v>
      </c>
      <c r="F176" s="24">
        <v>247</v>
      </c>
      <c r="G176" s="24">
        <v>540</v>
      </c>
      <c r="H176" s="8">
        <v>45.8</v>
      </c>
      <c r="I176" s="9">
        <v>176</v>
      </c>
      <c r="J176" s="8">
        <v>29.1</v>
      </c>
      <c r="K176" s="8">
        <v>111</v>
      </c>
      <c r="L176" s="25">
        <v>137</v>
      </c>
      <c r="M176" s="8">
        <v>79.400000000000006</v>
      </c>
      <c r="N176" s="9">
        <v>33</v>
      </c>
      <c r="O176" s="9">
        <v>182</v>
      </c>
      <c r="P176" s="9">
        <v>215</v>
      </c>
      <c r="Q176" s="24">
        <v>325</v>
      </c>
      <c r="R176" s="24">
        <v>111</v>
      </c>
      <c r="S176" s="9">
        <v>78</v>
      </c>
      <c r="T176" s="9">
        <v>13</v>
      </c>
      <c r="U176" s="9">
        <v>150</v>
      </c>
      <c r="V176" s="8">
        <v>1560</v>
      </c>
      <c r="W176" s="8">
        <v>2</v>
      </c>
      <c r="X176" s="8">
        <v>0</v>
      </c>
      <c r="Y176" s="7">
        <v>3.1</v>
      </c>
      <c r="Z176" s="7">
        <v>115.5</v>
      </c>
      <c r="AA176" s="7">
        <v>110.2</v>
      </c>
      <c r="AB176" s="7">
        <v>5.3</v>
      </c>
      <c r="AC176" s="7">
        <v>22.5</v>
      </c>
      <c r="AD176" s="7">
        <v>2.91</v>
      </c>
      <c r="AE176" s="7">
        <v>31.4</v>
      </c>
      <c r="AF176" s="7">
        <v>1.8</v>
      </c>
      <c r="AG176" s="7">
        <v>9.3000000000000007</v>
      </c>
      <c r="AH176" s="7">
        <v>5.7</v>
      </c>
      <c r="AI176" s="7">
        <v>10.8</v>
      </c>
      <c r="AJ176" s="7">
        <v>50.6</v>
      </c>
      <c r="AK176" s="7">
        <v>54.5</v>
      </c>
      <c r="AL176" s="7">
        <v>16.3</v>
      </c>
      <c r="AM176" s="7">
        <v>101.31</v>
      </c>
      <c r="AN176" s="7">
        <v>8.1</v>
      </c>
      <c r="AO176" s="7">
        <v>3967</v>
      </c>
    </row>
    <row r="177" spans="1:41">
      <c r="A177" s="6" t="s">
        <v>393</v>
      </c>
      <c r="B177" s="6" t="s">
        <v>170</v>
      </c>
      <c r="C177" s="41">
        <f t="shared" si="5"/>
        <v>0.66468499711006523</v>
      </c>
      <c r="D177" s="42">
        <f t="shared" si="4"/>
        <v>1.1379310344827587</v>
      </c>
      <c r="E177" s="31">
        <v>644</v>
      </c>
      <c r="F177" s="24">
        <v>278</v>
      </c>
      <c r="G177" s="24">
        <v>418</v>
      </c>
      <c r="H177" s="8">
        <v>66.3</v>
      </c>
      <c r="I177" s="9">
        <v>35</v>
      </c>
      <c r="J177" s="8">
        <v>17.600000000000001</v>
      </c>
      <c r="K177" s="8">
        <v>81</v>
      </c>
      <c r="L177" s="25">
        <v>151</v>
      </c>
      <c r="M177" s="8">
        <v>52</v>
      </c>
      <c r="N177" s="9">
        <v>267</v>
      </c>
      <c r="O177" s="9">
        <v>441</v>
      </c>
      <c r="P177" s="9">
        <v>708</v>
      </c>
      <c r="Q177" s="24">
        <v>99</v>
      </c>
      <c r="R177" s="24">
        <v>87</v>
      </c>
      <c r="S177" s="9">
        <v>35</v>
      </c>
      <c r="T177" s="9">
        <v>139</v>
      </c>
      <c r="U177" s="9">
        <v>128</v>
      </c>
      <c r="V177" s="8">
        <v>2071</v>
      </c>
      <c r="W177" s="8">
        <v>28</v>
      </c>
      <c r="X177" s="8">
        <v>0</v>
      </c>
      <c r="Y177" s="7">
        <v>-5.7</v>
      </c>
      <c r="Z177" s="7">
        <v>109.2</v>
      </c>
      <c r="AA177" s="7">
        <v>118.3</v>
      </c>
      <c r="AB177" s="7">
        <v>-9.1</v>
      </c>
      <c r="AC177" s="7">
        <v>8.3000000000000007</v>
      </c>
      <c r="AD177" s="7">
        <v>1.1299999999999999</v>
      </c>
      <c r="AE177" s="7">
        <v>14.6</v>
      </c>
      <c r="AF177" s="7">
        <v>14.5</v>
      </c>
      <c r="AG177" s="7">
        <v>23.5</v>
      </c>
      <c r="AH177" s="7">
        <v>19</v>
      </c>
      <c r="AI177" s="7">
        <v>13</v>
      </c>
      <c r="AJ177" s="7">
        <v>67.099999999999994</v>
      </c>
      <c r="AK177" s="7">
        <v>66</v>
      </c>
      <c r="AL177" s="7">
        <v>13.3</v>
      </c>
      <c r="AM177" s="7">
        <v>100.8</v>
      </c>
      <c r="AN177" s="7">
        <v>12.7</v>
      </c>
      <c r="AO177" s="7">
        <v>3656</v>
      </c>
    </row>
    <row r="178" spans="1:41">
      <c r="A178" s="6" t="s">
        <v>395</v>
      </c>
      <c r="B178" s="6" t="s">
        <v>44</v>
      </c>
      <c r="C178" s="41">
        <f t="shared" si="5"/>
        <v>0.59984956750658147</v>
      </c>
      <c r="D178" s="42">
        <f t="shared" si="4"/>
        <v>2.2371134020618557</v>
      </c>
      <c r="E178" s="31">
        <v>638</v>
      </c>
      <c r="F178" s="24">
        <v>279</v>
      </c>
      <c r="G178" s="24">
        <v>479</v>
      </c>
      <c r="H178" s="8">
        <v>58.1</v>
      </c>
      <c r="I178" s="9">
        <v>17</v>
      </c>
      <c r="J178" s="8">
        <v>0</v>
      </c>
      <c r="K178" s="8">
        <v>80</v>
      </c>
      <c r="L178" s="25">
        <v>120</v>
      </c>
      <c r="M178" s="8">
        <v>67.5</v>
      </c>
      <c r="N178" s="9">
        <v>165</v>
      </c>
      <c r="O178" s="9">
        <v>450</v>
      </c>
      <c r="P178" s="9">
        <v>610</v>
      </c>
      <c r="Q178" s="24">
        <v>217</v>
      </c>
      <c r="R178" s="24">
        <v>97</v>
      </c>
      <c r="S178" s="9">
        <v>46</v>
      </c>
      <c r="T178" s="9">
        <v>63</v>
      </c>
      <c r="U178" s="9">
        <v>171</v>
      </c>
      <c r="V178" s="8">
        <v>1927</v>
      </c>
      <c r="W178" s="8">
        <v>28</v>
      </c>
      <c r="X178" s="8">
        <v>0</v>
      </c>
      <c r="Y178" s="7">
        <v>7.3</v>
      </c>
      <c r="Z178" s="7">
        <v>118.3</v>
      </c>
      <c r="AA178" s="7">
        <v>105.3</v>
      </c>
      <c r="AB178" s="7">
        <v>13</v>
      </c>
      <c r="AC178" s="7">
        <v>17.7</v>
      </c>
      <c r="AD178" s="7">
        <v>2.27</v>
      </c>
      <c r="AE178" s="7">
        <v>25.8</v>
      </c>
      <c r="AF178" s="7">
        <v>10.3</v>
      </c>
      <c r="AG178" s="7">
        <v>26.2</v>
      </c>
      <c r="AH178" s="7">
        <v>18.5</v>
      </c>
      <c r="AI178" s="7">
        <v>11.3</v>
      </c>
      <c r="AJ178" s="7">
        <v>58.1</v>
      </c>
      <c r="AK178" s="7">
        <v>59.9</v>
      </c>
      <c r="AL178" s="7">
        <v>16.5</v>
      </c>
      <c r="AM178" s="7">
        <v>101.56</v>
      </c>
      <c r="AN178" s="7">
        <v>13.8</v>
      </c>
      <c r="AO178" s="7">
        <v>3355</v>
      </c>
    </row>
    <row r="179" spans="1:41">
      <c r="A179" s="6" t="s">
        <v>397</v>
      </c>
      <c r="B179" s="6" t="s">
        <v>196</v>
      </c>
      <c r="C179" s="41">
        <f t="shared" si="5"/>
        <v>0.54456814881405158</v>
      </c>
      <c r="D179" s="42">
        <f t="shared" si="4"/>
        <v>1.1884057971014492</v>
      </c>
      <c r="E179" s="31">
        <v>630</v>
      </c>
      <c r="F179" s="24">
        <v>214</v>
      </c>
      <c r="G179" s="24">
        <v>523</v>
      </c>
      <c r="H179" s="8">
        <v>41.2</v>
      </c>
      <c r="I179" s="9">
        <v>302</v>
      </c>
      <c r="J179" s="8">
        <v>34.1</v>
      </c>
      <c r="K179" s="8">
        <v>101</v>
      </c>
      <c r="L179" s="25">
        <v>126</v>
      </c>
      <c r="M179" s="8">
        <v>82.1</v>
      </c>
      <c r="N179" s="9">
        <v>63</v>
      </c>
      <c r="O179" s="9">
        <v>227</v>
      </c>
      <c r="P179" s="9">
        <v>290</v>
      </c>
      <c r="Q179" s="24">
        <v>82</v>
      </c>
      <c r="R179" s="24">
        <v>69</v>
      </c>
      <c r="S179" s="9">
        <v>63</v>
      </c>
      <c r="T179" s="9">
        <v>25</v>
      </c>
      <c r="U179" s="9">
        <v>151</v>
      </c>
      <c r="V179" s="8">
        <v>1304</v>
      </c>
      <c r="W179" s="8">
        <v>2</v>
      </c>
      <c r="X179" s="8">
        <v>0</v>
      </c>
      <c r="Y179" s="7">
        <v>-5.2</v>
      </c>
      <c r="Z179" s="7">
        <v>106.5</v>
      </c>
      <c r="AA179" s="7">
        <v>116.2</v>
      </c>
      <c r="AB179" s="7">
        <v>-9.6999999999999993</v>
      </c>
      <c r="AC179" s="7">
        <v>8.6</v>
      </c>
      <c r="AD179" s="7">
        <v>1.25</v>
      </c>
      <c r="AE179" s="7">
        <v>11.6</v>
      </c>
      <c r="AF179" s="7">
        <v>3.7</v>
      </c>
      <c r="AG179" s="7">
        <v>15.4</v>
      </c>
      <c r="AH179" s="7">
        <v>9.3000000000000007</v>
      </c>
      <c r="AI179" s="7">
        <v>9.3000000000000007</v>
      </c>
      <c r="AJ179" s="7">
        <v>51.1</v>
      </c>
      <c r="AK179" s="7">
        <v>55</v>
      </c>
      <c r="AL179" s="7">
        <v>17.899999999999999</v>
      </c>
      <c r="AM179" s="7">
        <v>97.77</v>
      </c>
      <c r="AN179" s="7">
        <v>8.1</v>
      </c>
      <c r="AO179" s="7">
        <v>3128</v>
      </c>
    </row>
    <row r="180" spans="1:41">
      <c r="A180" s="6" t="s">
        <v>399</v>
      </c>
      <c r="B180" s="6" t="s">
        <v>98</v>
      </c>
      <c r="C180" s="41">
        <f t="shared" si="5"/>
        <v>0.53105401577989075</v>
      </c>
      <c r="D180" s="42">
        <f t="shared" si="4"/>
        <v>1.9207920792079207</v>
      </c>
      <c r="E180" s="31">
        <v>630</v>
      </c>
      <c r="F180" s="24">
        <v>228</v>
      </c>
      <c r="G180" s="24">
        <v>543</v>
      </c>
      <c r="H180" s="8">
        <v>42.4</v>
      </c>
      <c r="I180" s="9">
        <v>221</v>
      </c>
      <c r="J180" s="8">
        <v>35.299999999999997</v>
      </c>
      <c r="K180" s="8">
        <v>94</v>
      </c>
      <c r="L180" s="25">
        <v>114</v>
      </c>
      <c r="M180" s="8">
        <v>82.3</v>
      </c>
      <c r="N180" s="9">
        <v>47</v>
      </c>
      <c r="O180" s="9">
        <v>161</v>
      </c>
      <c r="P180" s="9">
        <v>201</v>
      </c>
      <c r="Q180" s="24">
        <v>194</v>
      </c>
      <c r="R180" s="24">
        <v>101</v>
      </c>
      <c r="S180" s="9">
        <v>47</v>
      </c>
      <c r="T180" s="9">
        <v>34</v>
      </c>
      <c r="U180" s="9">
        <v>154</v>
      </c>
      <c r="V180" s="8">
        <v>1286</v>
      </c>
      <c r="W180" s="8">
        <v>0</v>
      </c>
      <c r="X180" s="8">
        <v>0</v>
      </c>
      <c r="Y180" s="7">
        <v>-0.2</v>
      </c>
      <c r="Z180" s="7">
        <v>107.7</v>
      </c>
      <c r="AA180" s="7">
        <v>109</v>
      </c>
      <c r="AB180" s="7">
        <v>-1.2</v>
      </c>
      <c r="AC180" s="7">
        <v>25.3</v>
      </c>
      <c r="AD180" s="7">
        <v>1.85</v>
      </c>
      <c r="AE180" s="7">
        <v>21.6</v>
      </c>
      <c r="AF180" s="7">
        <v>3.4</v>
      </c>
      <c r="AG180" s="7">
        <v>13.1</v>
      </c>
      <c r="AH180" s="7">
        <v>8</v>
      </c>
      <c r="AI180" s="7">
        <v>11.6</v>
      </c>
      <c r="AJ180" s="7">
        <v>49.4</v>
      </c>
      <c r="AK180" s="7">
        <v>53.1</v>
      </c>
      <c r="AL180" s="7">
        <v>23.8</v>
      </c>
      <c r="AM180" s="7">
        <v>97.7</v>
      </c>
      <c r="AN180" s="7">
        <v>10.5</v>
      </c>
      <c r="AO180" s="7">
        <v>2519</v>
      </c>
    </row>
    <row r="181" spans="1:41">
      <c r="A181" s="13" t="s">
        <v>401</v>
      </c>
      <c r="B181" s="6" t="s">
        <v>98</v>
      </c>
      <c r="C181" s="41">
        <f t="shared" si="5"/>
        <v>0.54500950905120804</v>
      </c>
      <c r="D181" s="42">
        <f t="shared" si="4"/>
        <v>1.8133333333333332</v>
      </c>
      <c r="E181" s="31">
        <v>619</v>
      </c>
      <c r="F181" s="24">
        <v>224</v>
      </c>
      <c r="G181" s="24">
        <v>490</v>
      </c>
      <c r="H181" s="8">
        <v>46</v>
      </c>
      <c r="I181" s="9">
        <v>156</v>
      </c>
      <c r="J181" s="8">
        <v>23.4</v>
      </c>
      <c r="K181" s="8">
        <v>129</v>
      </c>
      <c r="L181" s="25">
        <v>177</v>
      </c>
      <c r="M181" s="8">
        <v>73.7</v>
      </c>
      <c r="N181" s="9">
        <v>150</v>
      </c>
      <c r="O181" s="9">
        <v>340</v>
      </c>
      <c r="P181" s="9">
        <v>490</v>
      </c>
      <c r="Q181" s="24">
        <v>136</v>
      </c>
      <c r="R181" s="24">
        <v>75</v>
      </c>
      <c r="S181" s="9">
        <v>54</v>
      </c>
      <c r="T181" s="9">
        <v>41</v>
      </c>
      <c r="U181" s="9">
        <v>197</v>
      </c>
      <c r="V181" s="8">
        <v>1612</v>
      </c>
      <c r="W181" s="8">
        <v>10</v>
      </c>
      <c r="X181" s="8">
        <v>0</v>
      </c>
      <c r="Y181" s="7">
        <v>-0.2</v>
      </c>
      <c r="Z181" s="7">
        <v>107.8</v>
      </c>
      <c r="AA181" s="7">
        <v>107.8</v>
      </c>
      <c r="AB181" s="7">
        <v>0</v>
      </c>
      <c r="AC181" s="7">
        <v>11.7</v>
      </c>
      <c r="AD181" s="7">
        <v>1.74</v>
      </c>
      <c r="AE181" s="7">
        <v>17.2</v>
      </c>
      <c r="AF181" s="7">
        <v>8.3000000000000007</v>
      </c>
      <c r="AG181" s="7">
        <v>20.2</v>
      </c>
      <c r="AH181" s="7">
        <v>14</v>
      </c>
      <c r="AI181" s="7">
        <v>9.9</v>
      </c>
      <c r="AJ181" s="7">
        <v>49.8</v>
      </c>
      <c r="AK181" s="7">
        <v>54.4</v>
      </c>
      <c r="AL181" s="7">
        <v>15.9</v>
      </c>
      <c r="AM181" s="7">
        <v>97.19</v>
      </c>
      <c r="AN181" s="7">
        <v>9.9</v>
      </c>
      <c r="AO181" s="7">
        <v>3554</v>
      </c>
    </row>
    <row r="182" spans="1:41">
      <c r="A182" s="6" t="s">
        <v>403</v>
      </c>
      <c r="B182" s="6" t="s">
        <v>170</v>
      </c>
      <c r="C182" s="41">
        <f t="shared" si="5"/>
        <v>0.49627393036104334</v>
      </c>
      <c r="D182" s="42">
        <f t="shared" si="4"/>
        <v>2.1699029126213594</v>
      </c>
      <c r="E182" s="31">
        <v>618</v>
      </c>
      <c r="F182" s="24">
        <v>234</v>
      </c>
      <c r="G182" s="24">
        <v>554</v>
      </c>
      <c r="H182" s="8">
        <v>42.2</v>
      </c>
      <c r="I182" s="9">
        <v>170</v>
      </c>
      <c r="J182" s="8">
        <v>24.9</v>
      </c>
      <c r="K182" s="8">
        <v>107</v>
      </c>
      <c r="L182" s="25">
        <v>156</v>
      </c>
      <c r="M182" s="8">
        <v>68.2</v>
      </c>
      <c r="N182" s="9">
        <v>36</v>
      </c>
      <c r="O182" s="9">
        <v>206</v>
      </c>
      <c r="P182" s="9">
        <v>234</v>
      </c>
      <c r="Q182" s="24">
        <v>447</v>
      </c>
      <c r="R182" s="24">
        <v>206</v>
      </c>
      <c r="S182" s="9">
        <v>64</v>
      </c>
      <c r="T182" s="9">
        <v>14</v>
      </c>
      <c r="U182" s="9">
        <v>149</v>
      </c>
      <c r="V182" s="8">
        <v>1605</v>
      </c>
      <c r="W182" s="8">
        <v>11</v>
      </c>
      <c r="X182" s="8">
        <v>0</v>
      </c>
      <c r="Y182" s="7">
        <v>-5.7</v>
      </c>
      <c r="Z182" s="7">
        <v>108.3</v>
      </c>
      <c r="AA182" s="7">
        <v>118.6</v>
      </c>
      <c r="AB182" s="7">
        <v>-10.4</v>
      </c>
      <c r="AC182" s="7">
        <v>34.200000000000003</v>
      </c>
      <c r="AD182" s="7">
        <v>2.14</v>
      </c>
      <c r="AE182" s="7">
        <v>34.9</v>
      </c>
      <c r="AF182" s="7">
        <v>1.7</v>
      </c>
      <c r="AG182" s="7">
        <v>10.4</v>
      </c>
      <c r="AH182" s="7">
        <v>6.1</v>
      </c>
      <c r="AI182" s="7">
        <v>16.3</v>
      </c>
      <c r="AJ182" s="7">
        <v>45.9</v>
      </c>
      <c r="AK182" s="7">
        <v>49.4</v>
      </c>
      <c r="AL182" s="7">
        <v>18.600000000000001</v>
      </c>
      <c r="AM182" s="7">
        <v>102.44</v>
      </c>
      <c r="AN182" s="7">
        <v>7.7</v>
      </c>
      <c r="AO182" s="7">
        <v>3927</v>
      </c>
    </row>
    <row r="183" spans="1:41">
      <c r="A183" s="6" t="s">
        <v>405</v>
      </c>
      <c r="B183" s="6" t="s">
        <v>94</v>
      </c>
      <c r="C183" s="41">
        <f t="shared" si="5"/>
        <v>0.58715876162879377</v>
      </c>
      <c r="D183" s="42">
        <f t="shared" si="4"/>
        <v>1.5116279069767442</v>
      </c>
      <c r="E183" s="31">
        <v>616</v>
      </c>
      <c r="F183" s="24">
        <v>248</v>
      </c>
      <c r="G183" s="24">
        <v>470</v>
      </c>
      <c r="H183" s="8">
        <v>53.5</v>
      </c>
      <c r="I183" s="9">
        <v>92</v>
      </c>
      <c r="J183" s="8">
        <v>30.8</v>
      </c>
      <c r="K183" s="8">
        <v>86</v>
      </c>
      <c r="L183" s="25">
        <v>124</v>
      </c>
      <c r="M183" s="8">
        <v>69.599999999999994</v>
      </c>
      <c r="N183" s="9">
        <v>130</v>
      </c>
      <c r="O183" s="9">
        <v>227</v>
      </c>
      <c r="P183" s="9">
        <v>351</v>
      </c>
      <c r="Q183" s="24">
        <v>130</v>
      </c>
      <c r="R183" s="24">
        <v>86</v>
      </c>
      <c r="S183" s="9">
        <v>43</v>
      </c>
      <c r="T183" s="9">
        <v>27</v>
      </c>
      <c r="U183" s="9">
        <v>130</v>
      </c>
      <c r="V183" s="8">
        <v>1361</v>
      </c>
      <c r="W183" s="8">
        <v>8</v>
      </c>
      <c r="X183" s="8">
        <v>0</v>
      </c>
      <c r="Y183" s="7">
        <v>-1.6</v>
      </c>
      <c r="Z183" s="7">
        <v>111.9</v>
      </c>
      <c r="AA183" s="7">
        <v>114.5</v>
      </c>
      <c r="AB183" s="7">
        <v>-2.7</v>
      </c>
      <c r="AC183" s="7">
        <v>13.8</v>
      </c>
      <c r="AD183" s="7">
        <v>1.52</v>
      </c>
      <c r="AE183" s="7">
        <v>17.399999999999999</v>
      </c>
      <c r="AF183" s="7">
        <v>8.8000000000000007</v>
      </c>
      <c r="AG183" s="7">
        <v>15.4</v>
      </c>
      <c r="AH183" s="7">
        <v>12.1</v>
      </c>
      <c r="AI183" s="7">
        <v>11.4</v>
      </c>
      <c r="AJ183" s="7">
        <v>56.5</v>
      </c>
      <c r="AK183" s="7">
        <v>58.9</v>
      </c>
      <c r="AL183" s="7">
        <v>18.399999999999999</v>
      </c>
      <c r="AM183" s="7">
        <v>101.53</v>
      </c>
      <c r="AN183" s="7">
        <v>10.1</v>
      </c>
      <c r="AO183" s="7">
        <v>2880</v>
      </c>
    </row>
    <row r="184" spans="1:41">
      <c r="A184" s="6" t="s">
        <v>407</v>
      </c>
      <c r="B184" s="6" t="s">
        <v>70</v>
      </c>
      <c r="C184" s="41">
        <f t="shared" si="5"/>
        <v>0.53125</v>
      </c>
      <c r="D184" s="42">
        <f t="shared" si="4"/>
        <v>2.152542372881356</v>
      </c>
      <c r="E184" s="31">
        <v>612</v>
      </c>
      <c r="F184" s="24">
        <v>218</v>
      </c>
      <c r="G184" s="24">
        <v>510</v>
      </c>
      <c r="H184" s="8">
        <v>42.4</v>
      </c>
      <c r="I184" s="9">
        <v>245</v>
      </c>
      <c r="J184" s="8">
        <v>32.5</v>
      </c>
      <c r="K184" s="8">
        <v>102</v>
      </c>
      <c r="L184" s="25">
        <v>150</v>
      </c>
      <c r="M184" s="8">
        <v>68.7</v>
      </c>
      <c r="N184" s="9">
        <v>75</v>
      </c>
      <c r="O184" s="9">
        <v>340</v>
      </c>
      <c r="P184" s="9">
        <v>415</v>
      </c>
      <c r="Q184" s="24">
        <v>381</v>
      </c>
      <c r="R184" s="24">
        <v>177</v>
      </c>
      <c r="S184" s="9">
        <v>102</v>
      </c>
      <c r="T184" s="9">
        <v>68</v>
      </c>
      <c r="U184" s="9">
        <v>218</v>
      </c>
      <c r="V184" s="8">
        <v>2020</v>
      </c>
      <c r="W184" s="8">
        <v>6</v>
      </c>
      <c r="X184" s="8">
        <v>1</v>
      </c>
      <c r="Y184" s="7">
        <v>4</v>
      </c>
      <c r="Z184" s="7">
        <v>115.4</v>
      </c>
      <c r="AA184" s="7">
        <v>108.8</v>
      </c>
      <c r="AB184" s="7">
        <v>6.6</v>
      </c>
      <c r="AC184" s="7">
        <v>25.5</v>
      </c>
      <c r="AD184" s="7">
        <v>2.2000000000000002</v>
      </c>
      <c r="AE184" s="7">
        <v>33.9</v>
      </c>
      <c r="AF184" s="7">
        <v>3.6</v>
      </c>
      <c r="AG184" s="7">
        <v>16.8</v>
      </c>
      <c r="AH184" s="7">
        <v>10.199999999999999</v>
      </c>
      <c r="AI184" s="7">
        <v>15.4</v>
      </c>
      <c r="AJ184" s="7">
        <v>50.3</v>
      </c>
      <c r="AK184" s="7">
        <v>53.4</v>
      </c>
      <c r="AL184" s="7">
        <v>15.7</v>
      </c>
      <c r="AM184" s="7">
        <v>101.35</v>
      </c>
      <c r="AN184" s="7">
        <v>8.8000000000000007</v>
      </c>
      <c r="AO184" s="7">
        <v>4186</v>
      </c>
    </row>
    <row r="185" spans="1:41">
      <c r="A185" s="6" t="s">
        <v>409</v>
      </c>
      <c r="B185" s="6" t="s">
        <v>64</v>
      </c>
      <c r="C185" s="41">
        <f t="shared" si="5"/>
        <v>0.53131991051454142</v>
      </c>
      <c r="D185" s="42">
        <f t="shared" si="4"/>
        <v>4.8947368421052628</v>
      </c>
      <c r="E185" s="31">
        <v>608</v>
      </c>
      <c r="F185" s="24">
        <v>224</v>
      </c>
      <c r="G185" s="24">
        <v>544</v>
      </c>
      <c r="H185" s="8">
        <v>40.6</v>
      </c>
      <c r="I185" s="9">
        <v>314</v>
      </c>
      <c r="J185" s="8">
        <v>36.9</v>
      </c>
      <c r="K185" s="8">
        <v>51</v>
      </c>
      <c r="L185" s="25">
        <v>64</v>
      </c>
      <c r="M185" s="8">
        <v>81.3</v>
      </c>
      <c r="N185" s="9">
        <v>45</v>
      </c>
      <c r="O185" s="9">
        <v>115</v>
      </c>
      <c r="P185" s="9">
        <v>160</v>
      </c>
      <c r="Q185" s="24">
        <v>186</v>
      </c>
      <c r="R185" s="24">
        <v>38</v>
      </c>
      <c r="S185" s="9">
        <v>64</v>
      </c>
      <c r="T185" s="9">
        <v>19</v>
      </c>
      <c r="U185" s="9">
        <v>109</v>
      </c>
      <c r="V185" s="8">
        <v>1293</v>
      </c>
      <c r="W185" s="8">
        <v>0</v>
      </c>
      <c r="X185" s="8">
        <v>0</v>
      </c>
      <c r="Y185" s="7">
        <v>3.3</v>
      </c>
      <c r="Z185" s="7">
        <v>116.8</v>
      </c>
      <c r="AA185" s="7">
        <v>109.7</v>
      </c>
      <c r="AB185" s="7">
        <v>7.1</v>
      </c>
      <c r="AC185" s="7">
        <v>15.5</v>
      </c>
      <c r="AD185" s="7">
        <v>4.5599999999999996</v>
      </c>
      <c r="AE185" s="7">
        <v>23.3</v>
      </c>
      <c r="AF185" s="7">
        <v>2.8</v>
      </c>
      <c r="AG185" s="7">
        <v>6.9</v>
      </c>
      <c r="AH185" s="7">
        <v>4.9000000000000004</v>
      </c>
      <c r="AI185" s="7">
        <v>5.0999999999999996</v>
      </c>
      <c r="AJ185" s="7">
        <v>51.1</v>
      </c>
      <c r="AK185" s="7">
        <v>53.1</v>
      </c>
      <c r="AL185" s="7">
        <v>16.2</v>
      </c>
      <c r="AM185" s="7">
        <v>99.2</v>
      </c>
      <c r="AN185" s="7">
        <v>7.7</v>
      </c>
      <c r="AO185" s="7">
        <v>3283</v>
      </c>
    </row>
    <row r="186" spans="1:41">
      <c r="A186" s="6" t="s">
        <v>411</v>
      </c>
      <c r="B186" s="6" t="s">
        <v>82</v>
      </c>
      <c r="C186" s="41">
        <f t="shared" si="5"/>
        <v>0.61812627291242361</v>
      </c>
      <c r="D186" s="42">
        <f t="shared" si="4"/>
        <v>0.76744186046511631</v>
      </c>
      <c r="E186" s="31">
        <v>607</v>
      </c>
      <c r="F186" s="24">
        <v>251</v>
      </c>
      <c r="G186" s="24">
        <v>436</v>
      </c>
      <c r="H186" s="8">
        <v>58</v>
      </c>
      <c r="I186" s="9">
        <v>53</v>
      </c>
      <c r="J186" s="8">
        <v>34.6</v>
      </c>
      <c r="K186" s="8">
        <v>92</v>
      </c>
      <c r="L186" s="25">
        <v>125</v>
      </c>
      <c r="M186" s="8">
        <v>70.900000000000006</v>
      </c>
      <c r="N186" s="9">
        <v>231</v>
      </c>
      <c r="O186" s="9">
        <v>317</v>
      </c>
      <c r="P186" s="9">
        <v>548</v>
      </c>
      <c r="Q186" s="24">
        <v>66</v>
      </c>
      <c r="R186" s="24">
        <v>86</v>
      </c>
      <c r="S186" s="9">
        <v>33</v>
      </c>
      <c r="T186" s="9">
        <v>86</v>
      </c>
      <c r="U186" s="9">
        <v>185</v>
      </c>
      <c r="V186" s="8">
        <v>1643</v>
      </c>
      <c r="W186" s="8">
        <v>12</v>
      </c>
      <c r="X186" s="8">
        <v>0</v>
      </c>
      <c r="Y186" s="7">
        <v>2.5</v>
      </c>
      <c r="Z186" s="7">
        <v>116.8</v>
      </c>
      <c r="AA186" s="7">
        <v>111.5</v>
      </c>
      <c r="AB186" s="7">
        <v>5.3</v>
      </c>
      <c r="AC186" s="7">
        <v>5.9</v>
      </c>
      <c r="AD186" s="7">
        <v>0.74</v>
      </c>
      <c r="AE186" s="7">
        <v>10.199999999999999</v>
      </c>
      <c r="AF186" s="7">
        <v>15.3</v>
      </c>
      <c r="AG186" s="7">
        <v>20.399999999999999</v>
      </c>
      <c r="AH186" s="7">
        <v>17.899999999999999</v>
      </c>
      <c r="AI186" s="7">
        <v>13.9</v>
      </c>
      <c r="AJ186" s="7">
        <v>60</v>
      </c>
      <c r="AK186" s="7">
        <v>62.4</v>
      </c>
      <c r="AL186" s="7">
        <v>15.6</v>
      </c>
      <c r="AM186" s="7">
        <v>104.2</v>
      </c>
      <c r="AN186" s="7">
        <v>11.1</v>
      </c>
      <c r="AO186" s="7">
        <v>3074</v>
      </c>
    </row>
    <row r="187" spans="1:41">
      <c r="A187" s="6" t="s">
        <v>413</v>
      </c>
      <c r="B187" s="6" t="s">
        <v>164</v>
      </c>
      <c r="C187" s="41">
        <f t="shared" si="5"/>
        <v>0.50548091705099918</v>
      </c>
      <c r="D187" s="42">
        <f t="shared" si="4"/>
        <v>1.1964285714285714</v>
      </c>
      <c r="E187" s="31">
        <v>605</v>
      </c>
      <c r="F187" s="24">
        <v>207</v>
      </c>
      <c r="G187" s="24">
        <v>554</v>
      </c>
      <c r="H187" s="8">
        <v>37.200000000000003</v>
      </c>
      <c r="I187" s="9">
        <v>330</v>
      </c>
      <c r="J187" s="8">
        <v>33.1</v>
      </c>
      <c r="K187" s="8">
        <v>78</v>
      </c>
      <c r="L187" s="25">
        <v>101</v>
      </c>
      <c r="M187" s="8">
        <v>81.599999999999994</v>
      </c>
      <c r="N187" s="9">
        <v>22</v>
      </c>
      <c r="O187" s="9">
        <v>134</v>
      </c>
      <c r="P187" s="9">
        <v>157</v>
      </c>
      <c r="Q187" s="24">
        <v>67</v>
      </c>
      <c r="R187" s="24">
        <v>56</v>
      </c>
      <c r="S187" s="9">
        <v>28</v>
      </c>
      <c r="T187" s="9">
        <v>22</v>
      </c>
      <c r="U187" s="9">
        <v>50</v>
      </c>
      <c r="V187" s="8">
        <v>991</v>
      </c>
      <c r="W187" s="8">
        <v>0</v>
      </c>
      <c r="X187" s="8">
        <v>0</v>
      </c>
      <c r="Y187" s="7">
        <v>-5.7</v>
      </c>
      <c r="Z187" s="7">
        <v>106.6</v>
      </c>
      <c r="AA187" s="7">
        <v>118.1</v>
      </c>
      <c r="AB187" s="7">
        <v>-11.4</v>
      </c>
      <c r="AC187" s="7">
        <v>7.6</v>
      </c>
      <c r="AD187" s="7">
        <v>1.1399999999999999</v>
      </c>
      <c r="AE187" s="7">
        <v>9.1999999999999993</v>
      </c>
      <c r="AF187" s="7">
        <v>1.7</v>
      </c>
      <c r="AG187" s="7">
        <v>9.6999999999999993</v>
      </c>
      <c r="AH187" s="7">
        <v>5.6</v>
      </c>
      <c r="AI187" s="7">
        <v>8.1</v>
      </c>
      <c r="AJ187" s="7">
        <v>47.1</v>
      </c>
      <c r="AK187" s="7">
        <v>50.4</v>
      </c>
      <c r="AL187" s="7">
        <v>20.399999999999999</v>
      </c>
      <c r="AM187" s="7">
        <v>101.14</v>
      </c>
      <c r="AN187" s="7">
        <v>6.6</v>
      </c>
      <c r="AO187" s="7">
        <v>2783</v>
      </c>
    </row>
    <row r="188" spans="1:41">
      <c r="A188" s="6" t="s">
        <v>415</v>
      </c>
      <c r="B188" s="6" t="s">
        <v>52</v>
      </c>
      <c r="C188" s="41">
        <f t="shared" si="5"/>
        <v>0.62634810021569598</v>
      </c>
      <c r="D188" s="42">
        <f t="shared" si="4"/>
        <v>3.0476190476190474</v>
      </c>
      <c r="E188" s="31">
        <v>604</v>
      </c>
      <c r="F188" s="24">
        <v>213</v>
      </c>
      <c r="G188" s="24">
        <v>476</v>
      </c>
      <c r="H188" s="8">
        <v>45.1</v>
      </c>
      <c r="I188" s="9">
        <v>398</v>
      </c>
      <c r="J188" s="8">
        <v>41.6</v>
      </c>
      <c r="K188" s="8">
        <v>14</v>
      </c>
      <c r="L188" s="25">
        <v>14</v>
      </c>
      <c r="M188" s="8">
        <v>100</v>
      </c>
      <c r="N188" s="9">
        <v>43</v>
      </c>
      <c r="O188" s="9">
        <v>178</v>
      </c>
      <c r="P188" s="9">
        <v>227</v>
      </c>
      <c r="Q188" s="24">
        <v>64</v>
      </c>
      <c r="R188" s="24">
        <v>21</v>
      </c>
      <c r="S188" s="9">
        <v>43</v>
      </c>
      <c r="T188" s="9">
        <v>14</v>
      </c>
      <c r="U188" s="9">
        <v>85</v>
      </c>
      <c r="V188" s="8">
        <v>1108</v>
      </c>
      <c r="W188" s="8">
        <v>0</v>
      </c>
      <c r="X188" s="8">
        <v>0</v>
      </c>
      <c r="Y188" s="7">
        <v>4.5999999999999996</v>
      </c>
      <c r="Z188" s="7">
        <v>119.8</v>
      </c>
      <c r="AA188" s="7">
        <v>109.8</v>
      </c>
      <c r="AB188" s="7">
        <v>10</v>
      </c>
      <c r="AC188" s="7">
        <v>5.7</v>
      </c>
      <c r="AD188" s="7">
        <v>2.78</v>
      </c>
      <c r="AE188" s="7">
        <v>11.3</v>
      </c>
      <c r="AF188" s="7">
        <v>2.7</v>
      </c>
      <c r="AG188" s="7">
        <v>11.3</v>
      </c>
      <c r="AH188" s="7">
        <v>7</v>
      </c>
      <c r="AI188" s="7">
        <v>4.0999999999999996</v>
      </c>
      <c r="AJ188" s="7">
        <v>62.7</v>
      </c>
      <c r="AK188" s="7">
        <v>63.2</v>
      </c>
      <c r="AL188" s="7">
        <v>14</v>
      </c>
      <c r="AM188" s="7">
        <v>96.4</v>
      </c>
      <c r="AN188" s="7">
        <v>8.3000000000000007</v>
      </c>
      <c r="AO188" s="7">
        <v>3102</v>
      </c>
    </row>
    <row r="189" spans="1:41">
      <c r="A189" s="6" t="s">
        <v>417</v>
      </c>
      <c r="B189" s="6" t="s">
        <v>196</v>
      </c>
      <c r="C189" s="41">
        <f t="shared" si="5"/>
        <v>0.57581573896353166</v>
      </c>
      <c r="D189" s="42">
        <f t="shared" si="4"/>
        <v>1.5079365079365079</v>
      </c>
      <c r="E189" s="31">
        <v>600</v>
      </c>
      <c r="F189" s="24">
        <v>200</v>
      </c>
      <c r="G189" s="24">
        <v>455</v>
      </c>
      <c r="H189" s="8">
        <v>43.8</v>
      </c>
      <c r="I189" s="9">
        <v>195</v>
      </c>
      <c r="J189" s="8">
        <v>34.9</v>
      </c>
      <c r="K189" s="8">
        <v>133</v>
      </c>
      <c r="L189" s="25">
        <v>150</v>
      </c>
      <c r="M189" s="8">
        <v>88.1</v>
      </c>
      <c r="N189" s="9">
        <v>15</v>
      </c>
      <c r="O189" s="9">
        <v>68</v>
      </c>
      <c r="P189" s="9">
        <v>83</v>
      </c>
      <c r="Q189" s="24">
        <v>95</v>
      </c>
      <c r="R189" s="24">
        <v>63</v>
      </c>
      <c r="S189" s="9">
        <v>15</v>
      </c>
      <c r="T189" s="9">
        <v>3</v>
      </c>
      <c r="U189" s="9">
        <v>45</v>
      </c>
      <c r="V189" s="8">
        <v>828</v>
      </c>
      <c r="W189" s="8">
        <v>1</v>
      </c>
      <c r="X189" s="8">
        <v>0</v>
      </c>
      <c r="Y189" s="7">
        <v>-3.7</v>
      </c>
      <c r="Z189" s="7">
        <v>114.9</v>
      </c>
      <c r="AA189" s="7">
        <v>120.6</v>
      </c>
      <c r="AB189" s="7">
        <v>-5.7</v>
      </c>
      <c r="AC189" s="7">
        <v>21.7</v>
      </c>
      <c r="AD189" s="7">
        <v>1.52</v>
      </c>
      <c r="AE189" s="7">
        <v>14</v>
      </c>
      <c r="AF189" s="7">
        <v>2</v>
      </c>
      <c r="AG189" s="7">
        <v>8.9</v>
      </c>
      <c r="AH189" s="7">
        <v>5.4</v>
      </c>
      <c r="AI189" s="7">
        <v>9.1999999999999993</v>
      </c>
      <c r="AJ189" s="7">
        <v>51.3</v>
      </c>
      <c r="AK189" s="7">
        <v>57.5</v>
      </c>
      <c r="AL189" s="7">
        <v>32.799999999999997</v>
      </c>
      <c r="AM189" s="7">
        <v>96.1</v>
      </c>
      <c r="AN189" s="7">
        <v>12.2</v>
      </c>
      <c r="AO189" s="7">
        <v>1563</v>
      </c>
    </row>
    <row r="190" spans="1:41">
      <c r="A190" s="6" t="s">
        <v>419</v>
      </c>
      <c r="B190" s="6" t="s">
        <v>170</v>
      </c>
      <c r="C190" s="41">
        <f t="shared" si="5"/>
        <v>0.53928983002016706</v>
      </c>
      <c r="D190" s="42">
        <f t="shared" si="4"/>
        <v>1.611764705882353</v>
      </c>
      <c r="E190" s="31">
        <v>599</v>
      </c>
      <c r="F190" s="24">
        <v>200</v>
      </c>
      <c r="G190" s="24">
        <v>492</v>
      </c>
      <c r="H190" s="8">
        <v>40.799999999999997</v>
      </c>
      <c r="I190" s="9">
        <v>233</v>
      </c>
      <c r="J190" s="8">
        <v>36.200000000000003</v>
      </c>
      <c r="K190" s="8">
        <v>115</v>
      </c>
      <c r="L190" s="25">
        <v>144</v>
      </c>
      <c r="M190" s="8">
        <v>79.7</v>
      </c>
      <c r="N190" s="9">
        <v>26</v>
      </c>
      <c r="O190" s="9">
        <v>93</v>
      </c>
      <c r="P190" s="9">
        <v>118</v>
      </c>
      <c r="Q190" s="24">
        <v>137</v>
      </c>
      <c r="R190" s="24">
        <v>85</v>
      </c>
      <c r="S190" s="9">
        <v>30</v>
      </c>
      <c r="T190" s="9">
        <v>7</v>
      </c>
      <c r="U190" s="9">
        <v>52</v>
      </c>
      <c r="V190" s="8">
        <v>984</v>
      </c>
      <c r="W190" s="8">
        <v>0</v>
      </c>
      <c r="X190" s="8">
        <v>0</v>
      </c>
      <c r="Y190" s="7">
        <v>-5.5</v>
      </c>
      <c r="Z190" s="7">
        <v>107.5</v>
      </c>
      <c r="AA190" s="7">
        <v>117.5</v>
      </c>
      <c r="AB190" s="7">
        <v>-10</v>
      </c>
      <c r="AC190" s="7">
        <v>23.8</v>
      </c>
      <c r="AD190" s="7">
        <v>1.6</v>
      </c>
      <c r="AE190" s="7">
        <v>17.8</v>
      </c>
      <c r="AF190" s="7">
        <v>2.5</v>
      </c>
      <c r="AG190" s="7">
        <v>9.1999999999999993</v>
      </c>
      <c r="AH190" s="7">
        <v>5.8</v>
      </c>
      <c r="AI190" s="7">
        <v>11.1</v>
      </c>
      <c r="AJ190" s="7">
        <v>49.3</v>
      </c>
      <c r="AK190" s="7">
        <v>54</v>
      </c>
      <c r="AL190" s="7">
        <v>26.9</v>
      </c>
      <c r="AM190" s="7">
        <v>102.16</v>
      </c>
      <c r="AN190" s="7">
        <v>10.199999999999999</v>
      </c>
      <c r="AO190" s="7">
        <v>2049</v>
      </c>
    </row>
    <row r="191" spans="1:41">
      <c r="A191" s="6" t="s">
        <v>421</v>
      </c>
      <c r="B191" s="6" t="s">
        <v>60</v>
      </c>
      <c r="C191" s="41">
        <f t="shared" si="5"/>
        <v>0.57035676006737102</v>
      </c>
      <c r="D191" s="42">
        <f t="shared" si="4"/>
        <v>1.6385542168674698</v>
      </c>
      <c r="E191" s="31">
        <v>596</v>
      </c>
      <c r="F191" s="24">
        <v>248</v>
      </c>
      <c r="G191" s="24">
        <v>460</v>
      </c>
      <c r="H191" s="8">
        <v>53.5</v>
      </c>
      <c r="I191" s="9">
        <v>47</v>
      </c>
      <c r="J191" s="8">
        <v>22.4</v>
      </c>
      <c r="K191" s="8">
        <v>89</v>
      </c>
      <c r="L191" s="25">
        <v>142</v>
      </c>
      <c r="M191" s="8">
        <v>64.099999999999994</v>
      </c>
      <c r="N191" s="9">
        <v>112</v>
      </c>
      <c r="O191" s="9">
        <v>195</v>
      </c>
      <c r="P191" s="9">
        <v>301</v>
      </c>
      <c r="Q191" s="24">
        <v>136</v>
      </c>
      <c r="R191" s="24">
        <v>83</v>
      </c>
      <c r="S191" s="9">
        <v>100</v>
      </c>
      <c r="T191" s="9">
        <v>41</v>
      </c>
      <c r="U191" s="9">
        <v>165</v>
      </c>
      <c r="V191" s="8">
        <v>1493</v>
      </c>
      <c r="W191" s="8">
        <v>3</v>
      </c>
      <c r="X191" s="8">
        <v>0</v>
      </c>
      <c r="Y191" s="7">
        <v>1.1000000000000001</v>
      </c>
      <c r="Z191" s="7">
        <v>113.1</v>
      </c>
      <c r="AA191" s="7">
        <v>109.2</v>
      </c>
      <c r="AB191" s="7">
        <v>4</v>
      </c>
      <c r="AC191" s="7">
        <v>13.9</v>
      </c>
      <c r="AD191" s="7">
        <v>1.68</v>
      </c>
      <c r="AE191" s="7">
        <v>18.2</v>
      </c>
      <c r="AF191" s="7">
        <v>8.1</v>
      </c>
      <c r="AG191" s="7">
        <v>13.9</v>
      </c>
      <c r="AH191" s="7">
        <v>11</v>
      </c>
      <c r="AI191" s="7">
        <v>10.8</v>
      </c>
      <c r="AJ191" s="7">
        <v>54.7</v>
      </c>
      <c r="AK191" s="7">
        <v>56.8</v>
      </c>
      <c r="AL191" s="7">
        <v>18.5</v>
      </c>
      <c r="AM191" s="7">
        <v>102.76</v>
      </c>
      <c r="AN191" s="7">
        <v>10.4</v>
      </c>
      <c r="AO191" s="7">
        <v>2822</v>
      </c>
    </row>
    <row r="192" spans="1:41">
      <c r="A192" s="6" t="s">
        <v>423</v>
      </c>
      <c r="B192" s="6" t="s">
        <v>56</v>
      </c>
      <c r="C192" s="41">
        <f t="shared" si="5"/>
        <v>0.60081589789159051</v>
      </c>
      <c r="D192" s="42">
        <f t="shared" si="4"/>
        <v>1</v>
      </c>
      <c r="E192" s="31">
        <v>595</v>
      </c>
      <c r="F192" s="24">
        <v>256</v>
      </c>
      <c r="G192" s="24">
        <v>467</v>
      </c>
      <c r="H192" s="8">
        <v>55.4</v>
      </c>
      <c r="I192" s="9">
        <v>109</v>
      </c>
      <c r="J192" s="8">
        <v>31.5</v>
      </c>
      <c r="K192" s="8">
        <v>45</v>
      </c>
      <c r="L192" s="25">
        <v>64</v>
      </c>
      <c r="M192" s="8">
        <v>68.7</v>
      </c>
      <c r="N192" s="9">
        <v>115</v>
      </c>
      <c r="O192" s="9">
        <v>358</v>
      </c>
      <c r="P192" s="9">
        <v>474</v>
      </c>
      <c r="Q192" s="24">
        <v>58</v>
      </c>
      <c r="R192" s="24">
        <v>58</v>
      </c>
      <c r="S192" s="9">
        <v>38</v>
      </c>
      <c r="T192" s="9">
        <v>70</v>
      </c>
      <c r="U192" s="9">
        <v>109</v>
      </c>
      <c r="V192" s="8">
        <v>1523</v>
      </c>
      <c r="W192" s="8">
        <v>15</v>
      </c>
      <c r="X192" s="8">
        <v>0</v>
      </c>
      <c r="Y192" s="7">
        <v>0.6</v>
      </c>
      <c r="Z192" s="7">
        <v>112.8</v>
      </c>
      <c r="AA192" s="7">
        <v>110.9</v>
      </c>
      <c r="AB192" s="7">
        <v>1.9</v>
      </c>
      <c r="AC192" s="7">
        <v>6.2</v>
      </c>
      <c r="AD192" s="7">
        <v>1.05</v>
      </c>
      <c r="AE192" s="7">
        <v>9.8000000000000007</v>
      </c>
      <c r="AF192" s="7">
        <v>8.6999999999999993</v>
      </c>
      <c r="AG192" s="7">
        <v>23.8</v>
      </c>
      <c r="AH192" s="7">
        <v>16.7</v>
      </c>
      <c r="AI192" s="7">
        <v>9.3000000000000007</v>
      </c>
      <c r="AJ192" s="7">
        <v>59.2</v>
      </c>
      <c r="AK192" s="7">
        <v>60.3</v>
      </c>
      <c r="AL192" s="7">
        <v>16.899999999999999</v>
      </c>
      <c r="AM192" s="7">
        <v>98.6</v>
      </c>
      <c r="AN192" s="7">
        <v>11.9</v>
      </c>
      <c r="AO192" s="7">
        <v>2914</v>
      </c>
    </row>
    <row r="193" spans="1:41">
      <c r="A193" s="13" t="s">
        <v>425</v>
      </c>
      <c r="B193" s="6" t="s">
        <v>140</v>
      </c>
      <c r="C193" s="41">
        <f t="shared" si="5"/>
        <v>0.502436053593179</v>
      </c>
      <c r="D193" s="42">
        <f t="shared" si="4"/>
        <v>1.7142857142857142</v>
      </c>
      <c r="E193" s="31">
        <v>594</v>
      </c>
      <c r="F193" s="24">
        <v>222</v>
      </c>
      <c r="G193" s="24">
        <v>570</v>
      </c>
      <c r="H193" s="8">
        <v>39.1</v>
      </c>
      <c r="I193" s="9">
        <v>306</v>
      </c>
      <c r="J193" s="8">
        <v>34</v>
      </c>
      <c r="K193" s="8">
        <v>42</v>
      </c>
      <c r="L193" s="25">
        <v>48</v>
      </c>
      <c r="M193" s="8">
        <v>93.5</v>
      </c>
      <c r="N193" s="9">
        <v>12</v>
      </c>
      <c r="O193" s="9">
        <v>114</v>
      </c>
      <c r="P193" s="9">
        <v>126</v>
      </c>
      <c r="Q193" s="24">
        <v>144</v>
      </c>
      <c r="R193" s="24">
        <v>84</v>
      </c>
      <c r="S193" s="9">
        <v>18</v>
      </c>
      <c r="T193" s="9">
        <v>6</v>
      </c>
      <c r="U193" s="9">
        <v>78</v>
      </c>
      <c r="V193" s="8">
        <v>948</v>
      </c>
      <c r="W193" s="8">
        <v>1</v>
      </c>
      <c r="X193" s="8">
        <v>0</v>
      </c>
      <c r="Y193" s="7">
        <v>-6.6</v>
      </c>
      <c r="Z193" s="7">
        <v>102.1</v>
      </c>
      <c r="AA193" s="7">
        <v>116.4</v>
      </c>
      <c r="AB193" s="7">
        <v>-14.3</v>
      </c>
      <c r="AC193" s="7">
        <v>16.899999999999999</v>
      </c>
      <c r="AD193" s="7">
        <v>1.77</v>
      </c>
      <c r="AE193" s="7">
        <v>17.8</v>
      </c>
      <c r="AF193" s="7">
        <v>0.9</v>
      </c>
      <c r="AG193" s="7">
        <v>8</v>
      </c>
      <c r="AH193" s="7">
        <v>4.3</v>
      </c>
      <c r="AI193" s="7">
        <v>10.1</v>
      </c>
      <c r="AJ193" s="7">
        <v>48.2</v>
      </c>
      <c r="AK193" s="7">
        <v>50.2</v>
      </c>
      <c r="AL193" s="7">
        <v>20.5</v>
      </c>
      <c r="AM193" s="7">
        <v>99.74</v>
      </c>
      <c r="AN193" s="7">
        <v>6.4</v>
      </c>
      <c r="AO193" s="7">
        <v>2848</v>
      </c>
    </row>
    <row r="194" spans="1:41">
      <c r="A194" s="6" t="s">
        <v>427</v>
      </c>
      <c r="B194" s="6" t="s">
        <v>114</v>
      </c>
      <c r="C194" s="41">
        <f t="shared" si="5"/>
        <v>0.50529190850119499</v>
      </c>
      <c r="D194" s="42">
        <f t="shared" ref="D194:D257" si="6">IFERROR(Q194/R194,"NA")</f>
        <v>1.7894736842105263</v>
      </c>
      <c r="E194" s="31">
        <v>592</v>
      </c>
      <c r="F194" s="24">
        <v>204</v>
      </c>
      <c r="G194" s="24">
        <v>544</v>
      </c>
      <c r="H194" s="8">
        <v>37.200000000000003</v>
      </c>
      <c r="I194" s="9">
        <v>354</v>
      </c>
      <c r="J194" s="8">
        <v>32.200000000000003</v>
      </c>
      <c r="K194" s="8">
        <v>68</v>
      </c>
      <c r="L194" s="25">
        <v>95</v>
      </c>
      <c r="M194" s="8">
        <v>75.3</v>
      </c>
      <c r="N194" s="9">
        <v>48</v>
      </c>
      <c r="O194" s="9">
        <v>238</v>
      </c>
      <c r="P194" s="9">
        <v>286</v>
      </c>
      <c r="Q194" s="24">
        <v>170</v>
      </c>
      <c r="R194" s="24">
        <v>95</v>
      </c>
      <c r="S194" s="9">
        <v>68</v>
      </c>
      <c r="T194" s="9">
        <v>48</v>
      </c>
      <c r="U194" s="9">
        <v>204</v>
      </c>
      <c r="V194" s="8">
        <v>1442</v>
      </c>
      <c r="W194" s="8">
        <v>1</v>
      </c>
      <c r="X194" s="8">
        <v>0</v>
      </c>
      <c r="Y194" s="7">
        <v>-5.3</v>
      </c>
      <c r="Z194" s="7">
        <v>105.4</v>
      </c>
      <c r="AA194" s="7">
        <v>115.5</v>
      </c>
      <c r="AB194" s="7">
        <v>-10.1</v>
      </c>
      <c r="AC194" s="7">
        <v>13.3</v>
      </c>
      <c r="AD194" s="7">
        <v>1.74</v>
      </c>
      <c r="AE194" s="7">
        <v>19.8</v>
      </c>
      <c r="AF194" s="7">
        <v>2.5</v>
      </c>
      <c r="AG194" s="7">
        <v>12.2</v>
      </c>
      <c r="AH194" s="7">
        <v>7.4</v>
      </c>
      <c r="AI194" s="7">
        <v>11.4</v>
      </c>
      <c r="AJ194" s="7">
        <v>47.6</v>
      </c>
      <c r="AK194" s="7">
        <v>50.3</v>
      </c>
      <c r="AL194" s="7">
        <v>15.6</v>
      </c>
      <c r="AM194" s="7">
        <v>102.7</v>
      </c>
      <c r="AN194" s="7">
        <v>5.8</v>
      </c>
      <c r="AO194" s="7">
        <v>3869</v>
      </c>
    </row>
    <row r="195" spans="1:41">
      <c r="A195" s="6" t="s">
        <v>429</v>
      </c>
      <c r="B195" s="6" t="s">
        <v>48</v>
      </c>
      <c r="C195" s="41">
        <f t="shared" ref="C195:C258" si="7">IFERROR((E195/(2*(G195+0.44*L195))),"NA")</f>
        <v>0.55393530793121737</v>
      </c>
      <c r="D195" s="42">
        <f t="shared" si="6"/>
        <v>1.4406779661016949</v>
      </c>
      <c r="E195" s="31">
        <v>585</v>
      </c>
      <c r="F195" s="24">
        <v>208</v>
      </c>
      <c r="G195" s="24">
        <v>488</v>
      </c>
      <c r="H195" s="8">
        <v>43.2</v>
      </c>
      <c r="I195" s="9">
        <v>267</v>
      </c>
      <c r="J195" s="8">
        <v>34.9</v>
      </c>
      <c r="K195" s="8">
        <v>72</v>
      </c>
      <c r="L195" s="25">
        <v>91</v>
      </c>
      <c r="M195" s="8">
        <v>82.2</v>
      </c>
      <c r="N195" s="9">
        <v>20</v>
      </c>
      <c r="O195" s="9">
        <v>124</v>
      </c>
      <c r="P195" s="9">
        <v>143</v>
      </c>
      <c r="Q195" s="24">
        <v>85</v>
      </c>
      <c r="R195" s="24">
        <v>59</v>
      </c>
      <c r="S195" s="9">
        <v>39</v>
      </c>
      <c r="T195" s="9">
        <v>13</v>
      </c>
      <c r="U195" s="9">
        <v>150</v>
      </c>
      <c r="V195" s="8">
        <v>988</v>
      </c>
      <c r="W195" s="8">
        <v>0</v>
      </c>
      <c r="X195" s="8">
        <v>0</v>
      </c>
      <c r="Y195" s="7">
        <v>-1.1000000000000001</v>
      </c>
      <c r="Z195" s="7">
        <v>111.9</v>
      </c>
      <c r="AA195" s="7">
        <v>114.4</v>
      </c>
      <c r="AB195" s="7">
        <v>-2.5</v>
      </c>
      <c r="AC195" s="7">
        <v>8.1999999999999993</v>
      </c>
      <c r="AD195" s="7">
        <v>1.46</v>
      </c>
      <c r="AE195" s="7">
        <v>12.5</v>
      </c>
      <c r="AF195" s="7">
        <v>1.2</v>
      </c>
      <c r="AG195" s="7">
        <v>8.3000000000000007</v>
      </c>
      <c r="AH195" s="7">
        <v>4.9000000000000004</v>
      </c>
      <c r="AI195" s="7">
        <v>8.6</v>
      </c>
      <c r="AJ195" s="7">
        <v>52.9</v>
      </c>
      <c r="AK195" s="7">
        <v>55.9</v>
      </c>
      <c r="AL195" s="7">
        <v>17.3</v>
      </c>
      <c r="AM195" s="7">
        <v>102.79</v>
      </c>
      <c r="AN195" s="7">
        <v>5.7</v>
      </c>
      <c r="AO195" s="7">
        <v>2964</v>
      </c>
    </row>
    <row r="196" spans="1:41">
      <c r="A196" s="6" t="s">
        <v>431</v>
      </c>
      <c r="B196" s="6" t="s">
        <v>56</v>
      </c>
      <c r="C196" s="41">
        <f t="shared" si="7"/>
        <v>0.57393454202966798</v>
      </c>
      <c r="D196" s="42">
        <f t="shared" si="6"/>
        <v>2.8809523809523809</v>
      </c>
      <c r="E196" s="31">
        <v>585</v>
      </c>
      <c r="F196" s="24">
        <v>222</v>
      </c>
      <c r="G196" s="24">
        <v>474</v>
      </c>
      <c r="H196" s="8">
        <v>46.8</v>
      </c>
      <c r="I196" s="9">
        <v>215</v>
      </c>
      <c r="J196" s="8">
        <v>39.799999999999997</v>
      </c>
      <c r="K196" s="8">
        <v>59</v>
      </c>
      <c r="L196" s="25">
        <v>81</v>
      </c>
      <c r="M196" s="8">
        <v>69</v>
      </c>
      <c r="N196" s="9">
        <v>37</v>
      </c>
      <c r="O196" s="9">
        <v>133</v>
      </c>
      <c r="P196" s="9">
        <v>170</v>
      </c>
      <c r="Q196" s="24">
        <v>363</v>
      </c>
      <c r="R196" s="24">
        <v>126</v>
      </c>
      <c r="S196" s="9">
        <v>74</v>
      </c>
      <c r="T196" s="9">
        <v>15</v>
      </c>
      <c r="U196" s="9">
        <v>185</v>
      </c>
      <c r="V196" s="8">
        <v>1473</v>
      </c>
      <c r="W196" s="8">
        <v>1</v>
      </c>
      <c r="X196" s="8">
        <v>0</v>
      </c>
      <c r="Y196" s="7">
        <v>0</v>
      </c>
      <c r="Z196" s="7">
        <v>111</v>
      </c>
      <c r="AA196" s="7">
        <v>110.7</v>
      </c>
      <c r="AB196" s="7">
        <v>0.3</v>
      </c>
      <c r="AC196" s="7">
        <v>23.7</v>
      </c>
      <c r="AD196" s="7">
        <v>2.84</v>
      </c>
      <c r="AE196" s="7">
        <v>36.200000000000003</v>
      </c>
      <c r="AF196" s="7">
        <v>1.7</v>
      </c>
      <c r="AG196" s="7">
        <v>6.3</v>
      </c>
      <c r="AH196" s="7">
        <v>4.0999999999999996</v>
      </c>
      <c r="AI196" s="7">
        <v>12.8</v>
      </c>
      <c r="AJ196" s="7">
        <v>55.7</v>
      </c>
      <c r="AK196" s="7">
        <v>57.3</v>
      </c>
      <c r="AL196" s="7">
        <v>13.5</v>
      </c>
      <c r="AM196" s="7">
        <v>98.76</v>
      </c>
      <c r="AN196" s="7">
        <v>6.9</v>
      </c>
      <c r="AO196" s="7">
        <v>4164</v>
      </c>
    </row>
    <row r="197" spans="1:41">
      <c r="A197" s="6" t="s">
        <v>433</v>
      </c>
      <c r="B197" s="6" t="s">
        <v>62</v>
      </c>
      <c r="C197" s="41">
        <f t="shared" si="7"/>
        <v>0.56100846805234794</v>
      </c>
      <c r="D197" s="42">
        <f t="shared" si="6"/>
        <v>1.9210526315789473</v>
      </c>
      <c r="E197" s="31">
        <v>583</v>
      </c>
      <c r="F197" s="24">
        <v>211</v>
      </c>
      <c r="G197" s="24">
        <v>491</v>
      </c>
      <c r="H197" s="8">
        <v>42.7</v>
      </c>
      <c r="I197" s="9">
        <v>292</v>
      </c>
      <c r="J197" s="8">
        <v>36.299999999999997</v>
      </c>
      <c r="K197" s="8">
        <v>59</v>
      </c>
      <c r="L197" s="25">
        <v>65</v>
      </c>
      <c r="M197" s="8">
        <v>87.9</v>
      </c>
      <c r="N197" s="9">
        <v>22</v>
      </c>
      <c r="O197" s="9">
        <v>135</v>
      </c>
      <c r="P197" s="9">
        <v>157</v>
      </c>
      <c r="Q197" s="24">
        <v>146</v>
      </c>
      <c r="R197" s="24">
        <v>76</v>
      </c>
      <c r="S197" s="9">
        <v>43</v>
      </c>
      <c r="T197" s="9">
        <v>11</v>
      </c>
      <c r="U197" s="9">
        <v>130</v>
      </c>
      <c r="V197" s="8">
        <v>1075</v>
      </c>
      <c r="W197" s="8">
        <v>1</v>
      </c>
      <c r="X197" s="8">
        <v>0</v>
      </c>
      <c r="Y197" s="7">
        <v>2</v>
      </c>
      <c r="Z197" s="7">
        <v>112.7</v>
      </c>
      <c r="AA197" s="7">
        <v>110</v>
      </c>
      <c r="AB197" s="7">
        <v>2.7</v>
      </c>
      <c r="AC197" s="7">
        <v>15.2</v>
      </c>
      <c r="AD197" s="7">
        <v>1.97</v>
      </c>
      <c r="AE197" s="7">
        <v>19.7</v>
      </c>
      <c r="AF197" s="7">
        <v>1.7</v>
      </c>
      <c r="AG197" s="7">
        <v>9.8000000000000007</v>
      </c>
      <c r="AH197" s="7">
        <v>5.7</v>
      </c>
      <c r="AI197" s="7">
        <v>10</v>
      </c>
      <c r="AJ197" s="7">
        <v>53.4</v>
      </c>
      <c r="AK197" s="7">
        <v>55.9</v>
      </c>
      <c r="AL197" s="7">
        <v>18.3</v>
      </c>
      <c r="AM197" s="7">
        <v>101.35</v>
      </c>
      <c r="AN197" s="7">
        <v>7.4</v>
      </c>
      <c r="AO197" s="7">
        <v>2858</v>
      </c>
    </row>
    <row r="198" spans="1:41">
      <c r="A198" s="6" t="s">
        <v>435</v>
      </c>
      <c r="B198" s="6" t="s">
        <v>46</v>
      </c>
      <c r="C198" s="41">
        <f t="shared" si="7"/>
        <v>0.57117060532307451</v>
      </c>
      <c r="D198" s="42">
        <f t="shared" si="6"/>
        <v>4.1025641025641022</v>
      </c>
      <c r="E198" s="31">
        <v>582</v>
      </c>
      <c r="F198" s="24">
        <v>185</v>
      </c>
      <c r="G198" s="24">
        <v>469</v>
      </c>
      <c r="H198" s="8">
        <v>40</v>
      </c>
      <c r="I198" s="9">
        <v>312</v>
      </c>
      <c r="J198" s="8">
        <v>41</v>
      </c>
      <c r="K198" s="8">
        <v>78</v>
      </c>
      <c r="L198" s="25">
        <v>92</v>
      </c>
      <c r="M198" s="8">
        <v>90</v>
      </c>
      <c r="N198" s="9">
        <v>36</v>
      </c>
      <c r="O198" s="9">
        <v>149</v>
      </c>
      <c r="P198" s="9">
        <v>185</v>
      </c>
      <c r="Q198" s="24">
        <v>320</v>
      </c>
      <c r="R198" s="24">
        <v>78</v>
      </c>
      <c r="S198" s="9">
        <v>78</v>
      </c>
      <c r="T198" s="9">
        <v>14</v>
      </c>
      <c r="U198" s="9">
        <v>114</v>
      </c>
      <c r="V198" s="8">
        <v>1484</v>
      </c>
      <c r="W198" s="8">
        <v>1</v>
      </c>
      <c r="X198" s="8">
        <v>0</v>
      </c>
      <c r="Y198" s="7">
        <v>3.7</v>
      </c>
      <c r="Z198" s="7">
        <v>115.5</v>
      </c>
      <c r="AA198" s="7">
        <v>109</v>
      </c>
      <c r="AB198" s="7">
        <v>6.5</v>
      </c>
      <c r="AC198" s="7">
        <v>24.3</v>
      </c>
      <c r="AD198" s="7">
        <v>4.25</v>
      </c>
      <c r="AE198" s="7">
        <v>35.6</v>
      </c>
      <c r="AF198" s="7">
        <v>1.8</v>
      </c>
      <c r="AG198" s="7">
        <v>8.5</v>
      </c>
      <c r="AH198" s="7">
        <v>5.2</v>
      </c>
      <c r="AI198" s="7">
        <v>8.4</v>
      </c>
      <c r="AJ198" s="7">
        <v>53.5</v>
      </c>
      <c r="AK198" s="7">
        <v>57.3</v>
      </c>
      <c r="AL198" s="7">
        <v>14.1</v>
      </c>
      <c r="AM198" s="7">
        <v>97.92</v>
      </c>
      <c r="AN198" s="7">
        <v>9.1999999999999993</v>
      </c>
      <c r="AO198" s="7">
        <v>3596</v>
      </c>
    </row>
    <row r="199" spans="1:41">
      <c r="A199" s="6" t="s">
        <v>437</v>
      </c>
      <c r="B199" s="6" t="s">
        <v>82</v>
      </c>
      <c r="C199" s="41">
        <f t="shared" si="7"/>
        <v>0.63631967645507304</v>
      </c>
      <c r="D199" s="42">
        <f t="shared" si="6"/>
        <v>2.9861111111111112</v>
      </c>
      <c r="E199" s="31">
        <v>579</v>
      </c>
      <c r="F199" s="24">
        <v>208</v>
      </c>
      <c r="G199" s="24">
        <v>429</v>
      </c>
      <c r="H199" s="8">
        <v>47.8</v>
      </c>
      <c r="I199" s="9">
        <v>260</v>
      </c>
      <c r="J199" s="8">
        <v>43.3</v>
      </c>
      <c r="K199" s="8">
        <v>52</v>
      </c>
      <c r="L199" s="25">
        <v>59</v>
      </c>
      <c r="M199" s="8">
        <v>89.5</v>
      </c>
      <c r="N199" s="9">
        <v>39</v>
      </c>
      <c r="O199" s="9">
        <v>143</v>
      </c>
      <c r="P199" s="9">
        <v>182</v>
      </c>
      <c r="Q199" s="24">
        <v>215</v>
      </c>
      <c r="R199" s="24">
        <v>72</v>
      </c>
      <c r="S199" s="9">
        <v>52</v>
      </c>
      <c r="T199" s="9">
        <v>7</v>
      </c>
      <c r="U199" s="9">
        <v>59</v>
      </c>
      <c r="V199" s="8">
        <v>1209</v>
      </c>
      <c r="W199" s="8">
        <v>0</v>
      </c>
      <c r="X199" s="8">
        <v>0</v>
      </c>
      <c r="Y199" s="7">
        <v>1.9</v>
      </c>
      <c r="Z199" s="7">
        <v>117.6</v>
      </c>
      <c r="AA199" s="7">
        <v>114.5</v>
      </c>
      <c r="AB199" s="7">
        <v>3.1</v>
      </c>
      <c r="AC199" s="7">
        <v>17.899999999999999</v>
      </c>
      <c r="AD199" s="7">
        <v>2.99</v>
      </c>
      <c r="AE199" s="7">
        <v>29.3</v>
      </c>
      <c r="AF199" s="7">
        <v>2.4</v>
      </c>
      <c r="AG199" s="7">
        <v>9.4</v>
      </c>
      <c r="AH199" s="7">
        <v>5.9</v>
      </c>
      <c r="AI199" s="7">
        <v>9.8000000000000007</v>
      </c>
      <c r="AJ199" s="7">
        <v>60.9</v>
      </c>
      <c r="AK199" s="7">
        <v>63.1</v>
      </c>
      <c r="AL199" s="7">
        <v>14</v>
      </c>
      <c r="AM199" s="7">
        <v>104.99</v>
      </c>
      <c r="AN199" s="7">
        <v>9.3000000000000007</v>
      </c>
      <c r="AO199" s="7">
        <v>3228</v>
      </c>
    </row>
    <row r="200" spans="1:41">
      <c r="A200" s="6" t="s">
        <v>439</v>
      </c>
      <c r="B200" s="6" t="s">
        <v>164</v>
      </c>
      <c r="C200" s="41">
        <f t="shared" si="7"/>
        <v>0.52158663581139719</v>
      </c>
      <c r="D200" s="42">
        <f t="shared" si="6"/>
        <v>3.0714285714285716</v>
      </c>
      <c r="E200" s="31">
        <v>577</v>
      </c>
      <c r="F200" s="24">
        <v>202</v>
      </c>
      <c r="G200" s="24">
        <v>521</v>
      </c>
      <c r="H200" s="8">
        <v>39.200000000000003</v>
      </c>
      <c r="I200" s="9">
        <v>308</v>
      </c>
      <c r="J200" s="8">
        <v>35.9</v>
      </c>
      <c r="K200" s="8">
        <v>62</v>
      </c>
      <c r="L200" s="25">
        <v>73</v>
      </c>
      <c r="M200" s="8">
        <v>81.099999999999994</v>
      </c>
      <c r="N200" s="9">
        <v>28</v>
      </c>
      <c r="O200" s="9">
        <v>106</v>
      </c>
      <c r="P200" s="9">
        <v>134</v>
      </c>
      <c r="Q200" s="24">
        <v>258</v>
      </c>
      <c r="R200" s="24">
        <v>84</v>
      </c>
      <c r="S200" s="9">
        <v>73</v>
      </c>
      <c r="T200" s="9">
        <v>17</v>
      </c>
      <c r="U200" s="9">
        <v>90</v>
      </c>
      <c r="V200" s="8">
        <v>1310</v>
      </c>
      <c r="W200" s="8">
        <v>2</v>
      </c>
      <c r="X200" s="8">
        <v>0</v>
      </c>
      <c r="Y200" s="7">
        <v>-4.0999999999999996</v>
      </c>
      <c r="Z200" s="7">
        <v>108.4</v>
      </c>
      <c r="AA200" s="7">
        <v>117.1</v>
      </c>
      <c r="AB200" s="7">
        <v>-8.6999999999999993</v>
      </c>
      <c r="AC200" s="7">
        <v>27.8</v>
      </c>
      <c r="AD200" s="7">
        <v>3.01</v>
      </c>
      <c r="AE200" s="7">
        <v>29</v>
      </c>
      <c r="AF200" s="7">
        <v>1.9</v>
      </c>
      <c r="AG200" s="7">
        <v>7.7</v>
      </c>
      <c r="AH200" s="7">
        <v>4.7</v>
      </c>
      <c r="AI200" s="7">
        <v>9.6</v>
      </c>
      <c r="AJ200" s="7">
        <v>49.8</v>
      </c>
      <c r="AK200" s="7">
        <v>52.3</v>
      </c>
      <c r="AL200" s="7">
        <v>19.3</v>
      </c>
      <c r="AM200" s="7">
        <v>99.89</v>
      </c>
      <c r="AN200" s="7">
        <v>9</v>
      </c>
      <c r="AO200" s="7">
        <v>2849</v>
      </c>
    </row>
    <row r="201" spans="1:41">
      <c r="A201" s="6" t="s">
        <v>441</v>
      </c>
      <c r="B201" s="6" t="s">
        <v>122</v>
      </c>
      <c r="C201" s="41">
        <f t="shared" si="7"/>
        <v>0.58252427184466027</v>
      </c>
      <c r="D201" s="42">
        <f t="shared" si="6"/>
        <v>0.94117647058823528</v>
      </c>
      <c r="E201" s="31">
        <v>576</v>
      </c>
      <c r="F201" s="24">
        <v>264</v>
      </c>
      <c r="G201" s="24">
        <v>468</v>
      </c>
      <c r="H201" s="8">
        <v>56.6</v>
      </c>
      <c r="I201" s="9">
        <v>32</v>
      </c>
      <c r="J201" s="8">
        <v>18.8</v>
      </c>
      <c r="K201" s="8">
        <v>40</v>
      </c>
      <c r="L201" s="25">
        <v>60</v>
      </c>
      <c r="M201" s="8">
        <v>66.7</v>
      </c>
      <c r="N201" s="9">
        <v>124</v>
      </c>
      <c r="O201" s="9">
        <v>284</v>
      </c>
      <c r="P201" s="9">
        <v>408</v>
      </c>
      <c r="Q201" s="24">
        <v>64</v>
      </c>
      <c r="R201" s="24">
        <v>68</v>
      </c>
      <c r="S201" s="9">
        <v>32</v>
      </c>
      <c r="T201" s="9">
        <v>40</v>
      </c>
      <c r="U201" s="9">
        <v>88</v>
      </c>
      <c r="V201" s="8">
        <v>1300</v>
      </c>
      <c r="W201" s="8">
        <v>20</v>
      </c>
      <c r="X201" s="8">
        <v>0</v>
      </c>
      <c r="Y201" s="7">
        <v>-4.0999999999999996</v>
      </c>
      <c r="Z201" s="7">
        <v>110</v>
      </c>
      <c r="AA201" s="7">
        <v>116.8</v>
      </c>
      <c r="AB201" s="7">
        <v>-6.9</v>
      </c>
      <c r="AC201" s="7">
        <v>8.3000000000000007</v>
      </c>
      <c r="AD201" s="7">
        <v>0.93</v>
      </c>
      <c r="AE201" s="7">
        <v>10.199999999999999</v>
      </c>
      <c r="AF201" s="7">
        <v>9.9</v>
      </c>
      <c r="AG201" s="7">
        <v>24.3</v>
      </c>
      <c r="AH201" s="7">
        <v>16.8</v>
      </c>
      <c r="AI201" s="7">
        <v>11</v>
      </c>
      <c r="AJ201" s="7">
        <v>57.3</v>
      </c>
      <c r="AK201" s="7">
        <v>58.3</v>
      </c>
      <c r="AL201" s="7">
        <v>19.7</v>
      </c>
      <c r="AM201" s="7">
        <v>98.94</v>
      </c>
      <c r="AN201" s="7">
        <v>12.5</v>
      </c>
      <c r="AO201" s="7">
        <v>2489</v>
      </c>
    </row>
    <row r="202" spans="1:41">
      <c r="A202" s="6" t="s">
        <v>443</v>
      </c>
      <c r="B202" s="6" t="s">
        <v>44</v>
      </c>
      <c r="C202" s="41">
        <f t="shared" si="7"/>
        <v>0.56539131812420784</v>
      </c>
      <c r="D202" s="42">
        <f t="shared" si="6"/>
        <v>2.7868852459016393</v>
      </c>
      <c r="E202" s="31">
        <v>571</v>
      </c>
      <c r="F202" s="24">
        <v>231</v>
      </c>
      <c r="G202" s="24">
        <v>490</v>
      </c>
      <c r="H202" s="8">
        <v>47.4</v>
      </c>
      <c r="I202" s="9">
        <v>211</v>
      </c>
      <c r="J202" s="8">
        <v>35.6</v>
      </c>
      <c r="K202" s="8">
        <v>27</v>
      </c>
      <c r="L202" s="25">
        <v>34</v>
      </c>
      <c r="M202" s="8">
        <v>81.099999999999994</v>
      </c>
      <c r="N202" s="9">
        <v>68</v>
      </c>
      <c r="O202" s="9">
        <v>156</v>
      </c>
      <c r="P202" s="9">
        <v>231</v>
      </c>
      <c r="Q202" s="24">
        <v>170</v>
      </c>
      <c r="R202" s="24">
        <v>61</v>
      </c>
      <c r="S202" s="9">
        <v>122</v>
      </c>
      <c r="T202" s="9">
        <v>34</v>
      </c>
      <c r="U202" s="9">
        <v>143</v>
      </c>
      <c r="V202" s="8">
        <v>1510</v>
      </c>
      <c r="W202" s="8">
        <v>0</v>
      </c>
      <c r="X202" s="8">
        <v>0</v>
      </c>
      <c r="Y202" s="7">
        <v>5.4</v>
      </c>
      <c r="Z202" s="7">
        <v>117.2</v>
      </c>
      <c r="AA202" s="7">
        <v>107.1</v>
      </c>
      <c r="AB202" s="7">
        <v>10.1</v>
      </c>
      <c r="AC202" s="7">
        <v>11.7</v>
      </c>
      <c r="AD202" s="7">
        <v>2.93</v>
      </c>
      <c r="AE202" s="7">
        <v>23.5</v>
      </c>
      <c r="AF202" s="7">
        <v>3.6</v>
      </c>
      <c r="AG202" s="7">
        <v>7.9</v>
      </c>
      <c r="AH202" s="7">
        <v>5.7</v>
      </c>
      <c r="AI202" s="7">
        <v>8</v>
      </c>
      <c r="AJ202" s="7">
        <v>55</v>
      </c>
      <c r="AK202" s="7">
        <v>56.2</v>
      </c>
      <c r="AL202" s="7">
        <v>12.4</v>
      </c>
      <c r="AM202" s="7">
        <v>101.87</v>
      </c>
      <c r="AN202" s="7">
        <v>7.5</v>
      </c>
      <c r="AO202" s="7">
        <v>3967</v>
      </c>
    </row>
    <row r="203" spans="1:41">
      <c r="A203" s="6" t="s">
        <v>445</v>
      </c>
      <c r="B203" s="6" t="s">
        <v>170</v>
      </c>
      <c r="C203" s="41">
        <f t="shared" si="7"/>
        <v>0.57408750302151312</v>
      </c>
      <c r="D203" s="42">
        <f t="shared" si="6"/>
        <v>1.8421052631578947</v>
      </c>
      <c r="E203" s="31">
        <v>570</v>
      </c>
      <c r="F203" s="24">
        <v>205</v>
      </c>
      <c r="G203" s="24">
        <v>474</v>
      </c>
      <c r="H203" s="8">
        <v>42.9</v>
      </c>
      <c r="I203" s="9">
        <v>314</v>
      </c>
      <c r="J203" s="8">
        <v>37.6</v>
      </c>
      <c r="K203" s="8">
        <v>45</v>
      </c>
      <c r="L203" s="25">
        <v>51</v>
      </c>
      <c r="M203" s="8">
        <v>84.9</v>
      </c>
      <c r="N203" s="9">
        <v>45</v>
      </c>
      <c r="O203" s="9">
        <v>141</v>
      </c>
      <c r="P203" s="9">
        <v>186</v>
      </c>
      <c r="Q203" s="24">
        <v>70</v>
      </c>
      <c r="R203" s="24">
        <v>38</v>
      </c>
      <c r="S203" s="9">
        <v>38</v>
      </c>
      <c r="T203" s="9">
        <v>6</v>
      </c>
      <c r="U203" s="9">
        <v>128</v>
      </c>
      <c r="V203" s="8">
        <v>998</v>
      </c>
      <c r="W203" s="8">
        <v>0</v>
      </c>
      <c r="X203" s="8">
        <v>0</v>
      </c>
      <c r="Y203" s="7">
        <v>-5.6</v>
      </c>
      <c r="Z203" s="7">
        <v>107.2</v>
      </c>
      <c r="AA203" s="7">
        <v>120.3</v>
      </c>
      <c r="AB203" s="7">
        <v>-13.1</v>
      </c>
      <c r="AC203" s="7">
        <v>8</v>
      </c>
      <c r="AD203" s="7">
        <v>1.89</v>
      </c>
      <c r="AE203" s="7">
        <v>11.3</v>
      </c>
      <c r="AF203" s="7">
        <v>3.1</v>
      </c>
      <c r="AG203" s="7">
        <v>10.9</v>
      </c>
      <c r="AH203" s="7">
        <v>7</v>
      </c>
      <c r="AI203" s="7">
        <v>6</v>
      </c>
      <c r="AJ203" s="7">
        <v>55.4</v>
      </c>
      <c r="AK203" s="7">
        <v>57.3</v>
      </c>
      <c r="AL203" s="7">
        <v>17.399999999999999</v>
      </c>
      <c r="AM203" s="7">
        <v>102.1</v>
      </c>
      <c r="AN203" s="7">
        <v>7.1</v>
      </c>
      <c r="AO203" s="7">
        <v>2700</v>
      </c>
    </row>
    <row r="204" spans="1:41">
      <c r="A204" s="13" t="s">
        <v>447</v>
      </c>
      <c r="B204" s="6" t="s">
        <v>56</v>
      </c>
      <c r="C204" s="41">
        <f t="shared" si="7"/>
        <v>0.54012932674020542</v>
      </c>
      <c r="D204" s="42">
        <f t="shared" si="6"/>
        <v>1.6666666666666667</v>
      </c>
      <c r="E204" s="31">
        <v>568</v>
      </c>
      <c r="F204" s="24">
        <v>211</v>
      </c>
      <c r="G204" s="24">
        <v>462</v>
      </c>
      <c r="H204" s="8">
        <v>46.1</v>
      </c>
      <c r="I204" s="9">
        <v>119</v>
      </c>
      <c r="J204" s="8">
        <v>31.1</v>
      </c>
      <c r="K204" s="8">
        <v>106</v>
      </c>
      <c r="L204" s="25">
        <v>145</v>
      </c>
      <c r="M204" s="8">
        <v>75.400000000000006</v>
      </c>
      <c r="N204" s="9">
        <v>86</v>
      </c>
      <c r="O204" s="9">
        <v>205</v>
      </c>
      <c r="P204" s="9">
        <v>290</v>
      </c>
      <c r="Q204" s="24">
        <v>165</v>
      </c>
      <c r="R204" s="24">
        <v>99</v>
      </c>
      <c r="S204" s="9">
        <v>59</v>
      </c>
      <c r="T204" s="9">
        <v>13</v>
      </c>
      <c r="U204" s="9">
        <v>79</v>
      </c>
      <c r="V204" s="8">
        <v>1294</v>
      </c>
      <c r="W204" s="8">
        <v>3</v>
      </c>
      <c r="X204" s="8">
        <v>1</v>
      </c>
      <c r="Y204" s="7">
        <v>-2.2999999999999998</v>
      </c>
      <c r="Z204" s="7">
        <v>107.9</v>
      </c>
      <c r="AA204" s="7">
        <v>113.9</v>
      </c>
      <c r="AB204" s="7">
        <v>-6</v>
      </c>
      <c r="AC204" s="7">
        <v>18.100000000000001</v>
      </c>
      <c r="AD204" s="7">
        <v>1.69</v>
      </c>
      <c r="AE204" s="7">
        <v>21.1</v>
      </c>
      <c r="AF204" s="7">
        <v>6</v>
      </c>
      <c r="AG204" s="7">
        <v>14.5</v>
      </c>
      <c r="AH204" s="7">
        <v>10.3</v>
      </c>
      <c r="AI204" s="7">
        <v>12.4</v>
      </c>
      <c r="AJ204" s="7">
        <v>50.1</v>
      </c>
      <c r="AK204" s="7">
        <v>54.3</v>
      </c>
      <c r="AL204" s="7">
        <v>19.399999999999999</v>
      </c>
      <c r="AM204" s="7">
        <v>99.18</v>
      </c>
      <c r="AN204" s="7">
        <v>9.8000000000000007</v>
      </c>
      <c r="AO204" s="7">
        <v>2835</v>
      </c>
    </row>
    <row r="205" spans="1:41">
      <c r="A205" s="6" t="s">
        <v>449</v>
      </c>
      <c r="B205" s="6" t="s">
        <v>140</v>
      </c>
      <c r="C205" s="41">
        <f t="shared" si="7"/>
        <v>0.53967105764105683</v>
      </c>
      <c r="D205" s="42">
        <f t="shared" si="6"/>
        <v>1.2763157894736843</v>
      </c>
      <c r="E205" s="31">
        <v>567</v>
      </c>
      <c r="F205" s="24">
        <v>197</v>
      </c>
      <c r="G205" s="24">
        <v>491</v>
      </c>
      <c r="H205" s="8">
        <v>40.299999999999997</v>
      </c>
      <c r="I205" s="9">
        <v>294</v>
      </c>
      <c r="J205" s="8">
        <v>35.5</v>
      </c>
      <c r="K205" s="8">
        <v>68</v>
      </c>
      <c r="L205" s="25">
        <v>78</v>
      </c>
      <c r="M205" s="8">
        <v>86.1</v>
      </c>
      <c r="N205" s="9">
        <v>24</v>
      </c>
      <c r="O205" s="9">
        <v>105</v>
      </c>
      <c r="P205" s="9">
        <v>132</v>
      </c>
      <c r="Q205" s="24">
        <v>97</v>
      </c>
      <c r="R205" s="24">
        <v>76</v>
      </c>
      <c r="S205" s="9">
        <v>30</v>
      </c>
      <c r="T205" s="9">
        <v>19</v>
      </c>
      <c r="U205" s="9">
        <v>73</v>
      </c>
      <c r="V205" s="8">
        <v>942</v>
      </c>
      <c r="W205" s="8">
        <v>2</v>
      </c>
      <c r="X205" s="8">
        <v>0</v>
      </c>
      <c r="Y205" s="7">
        <v>-4.5999999999999996</v>
      </c>
      <c r="Z205" s="7">
        <v>106.9</v>
      </c>
      <c r="AA205" s="7">
        <v>113.8</v>
      </c>
      <c r="AB205" s="7">
        <v>-6.8</v>
      </c>
      <c r="AC205" s="7">
        <v>18.2</v>
      </c>
      <c r="AD205" s="7">
        <v>1.29</v>
      </c>
      <c r="AE205" s="7">
        <v>14</v>
      </c>
      <c r="AF205" s="7">
        <v>2.4</v>
      </c>
      <c r="AG205" s="7">
        <v>11.7</v>
      </c>
      <c r="AH205" s="7">
        <v>6.8</v>
      </c>
      <c r="AI205" s="7">
        <v>10.9</v>
      </c>
      <c r="AJ205" s="7">
        <v>50.9</v>
      </c>
      <c r="AK205" s="7">
        <v>54</v>
      </c>
      <c r="AL205" s="7">
        <v>27</v>
      </c>
      <c r="AM205" s="7">
        <v>98.77</v>
      </c>
      <c r="AN205" s="7">
        <v>10</v>
      </c>
      <c r="AO205" s="7">
        <v>1903</v>
      </c>
    </row>
    <row r="206" spans="1:41">
      <c r="A206" s="6" t="s">
        <v>451</v>
      </c>
      <c r="B206" s="6" t="s">
        <v>88</v>
      </c>
      <c r="C206" s="41">
        <f t="shared" si="7"/>
        <v>0.51258407463658051</v>
      </c>
      <c r="D206" s="42">
        <f t="shared" si="6"/>
        <v>1.4318181818181819</v>
      </c>
      <c r="E206" s="31">
        <v>567</v>
      </c>
      <c r="F206" s="24">
        <v>208</v>
      </c>
      <c r="G206" s="24">
        <v>517</v>
      </c>
      <c r="H206" s="8">
        <v>39.700000000000003</v>
      </c>
      <c r="I206" s="9">
        <v>271</v>
      </c>
      <c r="J206" s="8">
        <v>35.299999999999997</v>
      </c>
      <c r="K206" s="8">
        <v>63</v>
      </c>
      <c r="L206" s="25">
        <v>82</v>
      </c>
      <c r="M206" s="8">
        <v>72.3</v>
      </c>
      <c r="N206" s="9">
        <v>44</v>
      </c>
      <c r="O206" s="9">
        <v>195</v>
      </c>
      <c r="P206" s="9">
        <v>239</v>
      </c>
      <c r="Q206" s="24">
        <v>126</v>
      </c>
      <c r="R206" s="24">
        <v>88</v>
      </c>
      <c r="S206" s="9">
        <v>50</v>
      </c>
      <c r="T206" s="9">
        <v>32</v>
      </c>
      <c r="U206" s="9">
        <v>88</v>
      </c>
      <c r="V206" s="8">
        <v>1191</v>
      </c>
      <c r="W206" s="8">
        <v>1</v>
      </c>
      <c r="X206" s="8">
        <v>0</v>
      </c>
      <c r="Y206" s="7">
        <v>-2.9</v>
      </c>
      <c r="Z206" s="7">
        <v>108.7</v>
      </c>
      <c r="AA206" s="7">
        <v>113.5</v>
      </c>
      <c r="AB206" s="7">
        <v>-4.8</v>
      </c>
      <c r="AC206" s="7">
        <v>10.6</v>
      </c>
      <c r="AD206" s="7">
        <v>1.44</v>
      </c>
      <c r="AE206" s="7">
        <v>16.3</v>
      </c>
      <c r="AF206" s="7">
        <v>2.5</v>
      </c>
      <c r="AG206" s="7">
        <v>11.3</v>
      </c>
      <c r="AH206" s="7">
        <v>7</v>
      </c>
      <c r="AI206" s="7">
        <v>11.3</v>
      </c>
      <c r="AJ206" s="7">
        <v>49</v>
      </c>
      <c r="AK206" s="7">
        <v>51.2</v>
      </c>
      <c r="AL206" s="7">
        <v>16.5</v>
      </c>
      <c r="AM206" s="7">
        <v>105.94</v>
      </c>
      <c r="AN206" s="7">
        <v>6.2</v>
      </c>
      <c r="AO206" s="7">
        <v>3473</v>
      </c>
    </row>
    <row r="207" spans="1:41">
      <c r="A207" s="6" t="s">
        <v>453</v>
      </c>
      <c r="B207" s="6" t="s">
        <v>98</v>
      </c>
      <c r="C207" s="41">
        <f t="shared" si="7"/>
        <v>0.53697249791650881</v>
      </c>
      <c r="D207" s="42">
        <f t="shared" si="6"/>
        <v>1.2745098039215685</v>
      </c>
      <c r="E207" s="31">
        <v>567</v>
      </c>
      <c r="F207" s="24">
        <v>196</v>
      </c>
      <c r="G207" s="24">
        <v>480</v>
      </c>
      <c r="H207" s="8">
        <v>41</v>
      </c>
      <c r="I207" s="9">
        <v>242</v>
      </c>
      <c r="J207" s="8">
        <v>31.4</v>
      </c>
      <c r="K207" s="8">
        <v>98</v>
      </c>
      <c r="L207" s="25">
        <v>109</v>
      </c>
      <c r="M207" s="8">
        <v>88.2</v>
      </c>
      <c r="N207" s="9">
        <v>25</v>
      </c>
      <c r="O207" s="9">
        <v>119</v>
      </c>
      <c r="P207" s="9">
        <v>140</v>
      </c>
      <c r="Q207" s="24">
        <v>130</v>
      </c>
      <c r="R207" s="24">
        <v>102</v>
      </c>
      <c r="S207" s="9">
        <v>53</v>
      </c>
      <c r="T207" s="9">
        <v>32</v>
      </c>
      <c r="U207" s="9">
        <v>98</v>
      </c>
      <c r="V207" s="8">
        <v>1078</v>
      </c>
      <c r="W207" s="8">
        <v>0</v>
      </c>
      <c r="X207" s="8">
        <v>0</v>
      </c>
      <c r="Y207" s="7">
        <v>0.1</v>
      </c>
      <c r="Z207" s="7">
        <v>105.7</v>
      </c>
      <c r="AA207" s="7">
        <v>104.8</v>
      </c>
      <c r="AB207" s="7">
        <v>1</v>
      </c>
      <c r="AC207" s="7">
        <v>21.6</v>
      </c>
      <c r="AD207" s="7">
        <v>1.26</v>
      </c>
      <c r="AE207" s="7">
        <v>17</v>
      </c>
      <c r="AF207" s="7">
        <v>2.2999999999999998</v>
      </c>
      <c r="AG207" s="7">
        <v>12.6</v>
      </c>
      <c r="AH207" s="7">
        <v>7.2</v>
      </c>
      <c r="AI207" s="7">
        <v>13.5</v>
      </c>
      <c r="AJ207" s="7">
        <v>48.9</v>
      </c>
      <c r="AK207" s="7">
        <v>53.6</v>
      </c>
      <c r="AL207" s="7">
        <v>26.8</v>
      </c>
      <c r="AM207" s="7">
        <v>99.02</v>
      </c>
      <c r="AN207" s="7">
        <v>10.7</v>
      </c>
      <c r="AO207" s="7">
        <v>2060</v>
      </c>
    </row>
    <row r="208" spans="1:41">
      <c r="A208" s="6" t="s">
        <v>455</v>
      </c>
      <c r="B208" s="6" t="s">
        <v>88</v>
      </c>
      <c r="C208" s="41">
        <f t="shared" si="7"/>
        <v>0.58312041539602733</v>
      </c>
      <c r="D208" s="42">
        <f t="shared" si="6"/>
        <v>3</v>
      </c>
      <c r="E208" s="31">
        <v>566</v>
      </c>
      <c r="F208" s="24">
        <v>221</v>
      </c>
      <c r="G208" s="24">
        <v>451</v>
      </c>
      <c r="H208" s="8">
        <v>49.2</v>
      </c>
      <c r="I208" s="9">
        <v>189</v>
      </c>
      <c r="J208" s="8">
        <v>32.799999999999997</v>
      </c>
      <c r="K208" s="8">
        <v>60</v>
      </c>
      <c r="L208" s="25">
        <v>78</v>
      </c>
      <c r="M208" s="8">
        <v>78.5</v>
      </c>
      <c r="N208" s="9">
        <v>28</v>
      </c>
      <c r="O208" s="9">
        <v>133</v>
      </c>
      <c r="P208" s="9">
        <v>161</v>
      </c>
      <c r="Q208" s="24">
        <v>207</v>
      </c>
      <c r="R208" s="24">
        <v>69</v>
      </c>
      <c r="S208" s="9">
        <v>41</v>
      </c>
      <c r="T208" s="9">
        <v>18</v>
      </c>
      <c r="U208" s="9">
        <v>106</v>
      </c>
      <c r="V208" s="8">
        <v>1187</v>
      </c>
      <c r="W208" s="8">
        <v>1</v>
      </c>
      <c r="X208" s="8">
        <v>1</v>
      </c>
      <c r="Y208" s="7">
        <v>-5.0999999999999996</v>
      </c>
      <c r="Z208" s="7">
        <v>110.1</v>
      </c>
      <c r="AA208" s="7">
        <v>117.8</v>
      </c>
      <c r="AB208" s="7">
        <v>-7.7</v>
      </c>
      <c r="AC208" s="7">
        <v>21</v>
      </c>
      <c r="AD208" s="7">
        <v>3.01</v>
      </c>
      <c r="AE208" s="7">
        <v>27.4</v>
      </c>
      <c r="AF208" s="7">
        <v>1.8</v>
      </c>
      <c r="AG208" s="7">
        <v>9</v>
      </c>
      <c r="AH208" s="7">
        <v>5.4</v>
      </c>
      <c r="AI208" s="7">
        <v>9.1</v>
      </c>
      <c r="AJ208" s="7">
        <v>56.1</v>
      </c>
      <c r="AK208" s="7">
        <v>58.5</v>
      </c>
      <c r="AL208" s="7">
        <v>16.3</v>
      </c>
      <c r="AM208" s="7">
        <v>104.63</v>
      </c>
      <c r="AN208" s="7">
        <v>8.4</v>
      </c>
      <c r="AO208" s="7">
        <v>3039</v>
      </c>
    </row>
    <row r="209" spans="1:41">
      <c r="A209" s="6" t="s">
        <v>457</v>
      </c>
      <c r="B209" s="6" t="s">
        <v>146</v>
      </c>
      <c r="C209" s="41">
        <f t="shared" si="7"/>
        <v>0.56882362433435529</v>
      </c>
      <c r="D209" s="42">
        <f t="shared" si="6"/>
        <v>3.2372881355932202</v>
      </c>
      <c r="E209" s="31">
        <v>564</v>
      </c>
      <c r="F209" s="24">
        <v>185</v>
      </c>
      <c r="G209" s="24">
        <v>439</v>
      </c>
      <c r="H209" s="8">
        <v>42</v>
      </c>
      <c r="I209" s="9">
        <v>224</v>
      </c>
      <c r="J209" s="8">
        <v>37.799999999999997</v>
      </c>
      <c r="K209" s="8">
        <v>112</v>
      </c>
      <c r="L209" s="25">
        <v>129</v>
      </c>
      <c r="M209" s="8">
        <v>86.7</v>
      </c>
      <c r="N209" s="9">
        <v>17</v>
      </c>
      <c r="O209" s="9">
        <v>102</v>
      </c>
      <c r="P209" s="9">
        <v>116</v>
      </c>
      <c r="Q209" s="24">
        <v>191</v>
      </c>
      <c r="R209" s="24">
        <v>59</v>
      </c>
      <c r="S209" s="9">
        <v>23</v>
      </c>
      <c r="T209" s="9">
        <v>3</v>
      </c>
      <c r="U209" s="9">
        <v>59</v>
      </c>
      <c r="V209" s="8">
        <v>1013</v>
      </c>
      <c r="W209" s="8">
        <v>2</v>
      </c>
      <c r="X209" s="8">
        <v>0</v>
      </c>
      <c r="Y209" s="7">
        <v>-1.2</v>
      </c>
      <c r="Z209" s="7">
        <v>109</v>
      </c>
      <c r="AA209" s="7">
        <v>110.7</v>
      </c>
      <c r="AB209" s="7">
        <v>-1.6</v>
      </c>
      <c r="AC209" s="7">
        <v>32</v>
      </c>
      <c r="AD209" s="7">
        <v>3.29</v>
      </c>
      <c r="AE209" s="7">
        <v>25.7</v>
      </c>
      <c r="AF209" s="7">
        <v>1.6</v>
      </c>
      <c r="AG209" s="7">
        <v>10.7</v>
      </c>
      <c r="AH209" s="7">
        <v>6</v>
      </c>
      <c r="AI209" s="7">
        <v>7.8</v>
      </c>
      <c r="AJ209" s="7">
        <v>51.7</v>
      </c>
      <c r="AK209" s="7">
        <v>57</v>
      </c>
      <c r="AL209" s="7">
        <v>24.6</v>
      </c>
      <c r="AM209" s="7">
        <v>101.44</v>
      </c>
      <c r="AN209" s="7">
        <v>12.8</v>
      </c>
      <c r="AO209" s="7">
        <v>1936</v>
      </c>
    </row>
    <row r="210" spans="1:41">
      <c r="A210" s="6" t="s">
        <v>459</v>
      </c>
      <c r="B210" s="6" t="s">
        <v>122</v>
      </c>
      <c r="C210" s="41">
        <f t="shared" si="7"/>
        <v>0.49213992352358021</v>
      </c>
      <c r="D210" s="42">
        <f t="shared" si="6"/>
        <v>1.8505747126436782</v>
      </c>
      <c r="E210" s="31">
        <v>556</v>
      </c>
      <c r="F210" s="24">
        <v>201</v>
      </c>
      <c r="G210" s="24">
        <v>509</v>
      </c>
      <c r="H210" s="8">
        <v>39.1</v>
      </c>
      <c r="I210" s="9">
        <v>221</v>
      </c>
      <c r="J210" s="8">
        <v>32.4</v>
      </c>
      <c r="K210" s="8">
        <v>94</v>
      </c>
      <c r="L210" s="25">
        <v>127</v>
      </c>
      <c r="M210" s="8">
        <v>72.8</v>
      </c>
      <c r="N210" s="9">
        <v>27</v>
      </c>
      <c r="O210" s="9">
        <v>107</v>
      </c>
      <c r="P210" s="9">
        <v>134</v>
      </c>
      <c r="Q210" s="24">
        <v>161</v>
      </c>
      <c r="R210" s="24">
        <v>87</v>
      </c>
      <c r="S210" s="9">
        <v>40</v>
      </c>
      <c r="T210" s="9">
        <v>34</v>
      </c>
      <c r="U210" s="9">
        <v>60</v>
      </c>
      <c r="V210" s="8">
        <v>1106</v>
      </c>
      <c r="W210" s="8">
        <v>0</v>
      </c>
      <c r="X210" s="8">
        <v>0</v>
      </c>
      <c r="Y210" s="7">
        <v>-0.8</v>
      </c>
      <c r="Z210" s="7">
        <v>110.2</v>
      </c>
      <c r="AA210" s="7">
        <v>111.8</v>
      </c>
      <c r="AB210" s="7">
        <v>-1.5</v>
      </c>
      <c r="AC210" s="7">
        <v>21.3</v>
      </c>
      <c r="AD210" s="7">
        <v>1.86</v>
      </c>
      <c r="AE210" s="7">
        <v>19.8</v>
      </c>
      <c r="AF210" s="7">
        <v>2.5</v>
      </c>
      <c r="AG210" s="7">
        <v>8.8000000000000007</v>
      </c>
      <c r="AH210" s="7">
        <v>5.6</v>
      </c>
      <c r="AI210" s="7">
        <v>10.7</v>
      </c>
      <c r="AJ210" s="7">
        <v>46.2</v>
      </c>
      <c r="AK210" s="7">
        <v>49.7</v>
      </c>
      <c r="AL210" s="7">
        <v>23.7</v>
      </c>
      <c r="AM210" s="7">
        <v>101.21</v>
      </c>
      <c r="AN210" s="7">
        <v>8.9</v>
      </c>
      <c r="AO210" s="7">
        <v>2353</v>
      </c>
    </row>
    <row r="211" spans="1:41">
      <c r="A211" s="6" t="s">
        <v>461</v>
      </c>
      <c r="B211" s="6" t="s">
        <v>48</v>
      </c>
      <c r="C211" s="41">
        <f t="shared" si="7"/>
        <v>0.56473433912758275</v>
      </c>
      <c r="D211" s="42">
        <f t="shared" si="6"/>
        <v>1.7592592592592593</v>
      </c>
      <c r="E211" s="31">
        <v>551</v>
      </c>
      <c r="F211" s="24">
        <v>204</v>
      </c>
      <c r="G211" s="24">
        <v>428</v>
      </c>
      <c r="H211" s="8">
        <v>47.7</v>
      </c>
      <c r="I211" s="9">
        <v>136</v>
      </c>
      <c r="J211" s="8">
        <v>35.299999999999997</v>
      </c>
      <c r="K211" s="8">
        <v>95</v>
      </c>
      <c r="L211" s="25">
        <v>136</v>
      </c>
      <c r="M211" s="8">
        <v>69.3</v>
      </c>
      <c r="N211" s="9">
        <v>48</v>
      </c>
      <c r="O211" s="9">
        <v>184</v>
      </c>
      <c r="P211" s="9">
        <v>231</v>
      </c>
      <c r="Q211" s="24">
        <v>95</v>
      </c>
      <c r="R211" s="24">
        <v>54</v>
      </c>
      <c r="S211" s="9">
        <v>48</v>
      </c>
      <c r="T211" s="9">
        <v>95</v>
      </c>
      <c r="U211" s="9">
        <v>122</v>
      </c>
      <c r="V211" s="8">
        <v>1340</v>
      </c>
      <c r="W211" s="8">
        <v>0</v>
      </c>
      <c r="X211" s="8">
        <v>0</v>
      </c>
      <c r="Y211" s="7">
        <v>-0.4</v>
      </c>
      <c r="Z211" s="7">
        <v>113.9</v>
      </c>
      <c r="AA211" s="7">
        <v>113.9</v>
      </c>
      <c r="AB211" s="7">
        <v>0</v>
      </c>
      <c r="AC211" s="7">
        <v>7.3</v>
      </c>
      <c r="AD211" s="7">
        <v>1.68</v>
      </c>
      <c r="AE211" s="7">
        <v>14.7</v>
      </c>
      <c r="AF211" s="7">
        <v>3</v>
      </c>
      <c r="AG211" s="7">
        <v>10.3</v>
      </c>
      <c r="AH211" s="7">
        <v>6.9</v>
      </c>
      <c r="AI211" s="7">
        <v>8.8000000000000007</v>
      </c>
      <c r="AJ211" s="7">
        <v>53.3</v>
      </c>
      <c r="AK211" s="7">
        <v>56.4</v>
      </c>
      <c r="AL211" s="7">
        <v>13.8</v>
      </c>
      <c r="AM211" s="7">
        <v>101.83</v>
      </c>
      <c r="AN211" s="7">
        <v>6.6</v>
      </c>
      <c r="AO211" s="7">
        <v>3501</v>
      </c>
    </row>
    <row r="212" spans="1:41">
      <c r="A212" s="6" t="s">
        <v>463</v>
      </c>
      <c r="B212" s="6" t="s">
        <v>74</v>
      </c>
      <c r="C212" s="41">
        <f t="shared" si="7"/>
        <v>0.60304604278545648</v>
      </c>
      <c r="D212" s="42">
        <f t="shared" si="6"/>
        <v>1.5438596491228069</v>
      </c>
      <c r="E212" s="31">
        <v>548</v>
      </c>
      <c r="F212" s="24">
        <v>195</v>
      </c>
      <c r="G212" s="24">
        <v>435</v>
      </c>
      <c r="H212" s="8">
        <v>44.8</v>
      </c>
      <c r="I212" s="9">
        <v>315</v>
      </c>
      <c r="J212" s="8">
        <v>41.1</v>
      </c>
      <c r="K212" s="8">
        <v>32</v>
      </c>
      <c r="L212" s="25">
        <v>44</v>
      </c>
      <c r="M212" s="8">
        <v>66.7</v>
      </c>
      <c r="N212" s="9">
        <v>82</v>
      </c>
      <c r="O212" s="9">
        <v>170</v>
      </c>
      <c r="P212" s="9">
        <v>246</v>
      </c>
      <c r="Q212" s="24">
        <v>88</v>
      </c>
      <c r="R212" s="24">
        <v>57</v>
      </c>
      <c r="S212" s="9">
        <v>57</v>
      </c>
      <c r="T212" s="9">
        <v>25</v>
      </c>
      <c r="U212" s="9">
        <v>139</v>
      </c>
      <c r="V212" s="8">
        <v>1166</v>
      </c>
      <c r="W212" s="8">
        <v>0</v>
      </c>
      <c r="X212" s="8">
        <v>0</v>
      </c>
      <c r="Y212" s="7">
        <v>4.9000000000000004</v>
      </c>
      <c r="Z212" s="7">
        <v>119.1</v>
      </c>
      <c r="AA212" s="7">
        <v>110.3</v>
      </c>
      <c r="AB212" s="7">
        <v>8.8000000000000007</v>
      </c>
      <c r="AC212" s="7">
        <v>6.6</v>
      </c>
      <c r="AD212" s="7">
        <v>1.61</v>
      </c>
      <c r="AE212" s="7">
        <v>15</v>
      </c>
      <c r="AF212" s="7">
        <v>4.7</v>
      </c>
      <c r="AG212" s="7">
        <v>8.9</v>
      </c>
      <c r="AH212" s="7">
        <v>6.9</v>
      </c>
      <c r="AI212" s="7">
        <v>9.3000000000000007</v>
      </c>
      <c r="AJ212" s="7">
        <v>59.7</v>
      </c>
      <c r="AK212" s="7">
        <v>60.4</v>
      </c>
      <c r="AL212" s="7">
        <v>12.3</v>
      </c>
      <c r="AM212" s="7">
        <v>98.14</v>
      </c>
      <c r="AN212" s="7">
        <v>6</v>
      </c>
      <c r="AO212" s="7">
        <v>3711</v>
      </c>
    </row>
    <row r="213" spans="1:41">
      <c r="A213" s="6" t="s">
        <v>465</v>
      </c>
      <c r="B213" s="6" t="s">
        <v>114</v>
      </c>
      <c r="C213" s="41">
        <f t="shared" si="7"/>
        <v>0.61826252377932789</v>
      </c>
      <c r="D213" s="42">
        <f t="shared" si="6"/>
        <v>1.1071428571428572</v>
      </c>
      <c r="E213" s="31">
        <v>546</v>
      </c>
      <c r="F213" s="24">
        <v>211</v>
      </c>
      <c r="G213" s="24">
        <v>409</v>
      </c>
      <c r="H213" s="8">
        <v>51.1</v>
      </c>
      <c r="I213" s="9">
        <v>192</v>
      </c>
      <c r="J213" s="8">
        <v>38.299999999999997</v>
      </c>
      <c r="K213" s="8">
        <v>50</v>
      </c>
      <c r="L213" s="25">
        <v>74</v>
      </c>
      <c r="M213" s="8">
        <v>68.5</v>
      </c>
      <c r="N213" s="9">
        <v>112</v>
      </c>
      <c r="O213" s="9">
        <v>242</v>
      </c>
      <c r="P213" s="9">
        <v>353</v>
      </c>
      <c r="Q213" s="24">
        <v>62</v>
      </c>
      <c r="R213" s="24">
        <v>56</v>
      </c>
      <c r="S213" s="9">
        <v>62</v>
      </c>
      <c r="T213" s="9">
        <v>37</v>
      </c>
      <c r="U213" s="9">
        <v>112</v>
      </c>
      <c r="V213" s="8">
        <v>1314</v>
      </c>
      <c r="W213" s="8">
        <v>8</v>
      </c>
      <c r="X213" s="8">
        <v>0</v>
      </c>
      <c r="Y213" s="7">
        <v>-4.5999999999999996</v>
      </c>
      <c r="Z213" s="7">
        <v>107.1</v>
      </c>
      <c r="AA213" s="7">
        <v>116.8</v>
      </c>
      <c r="AB213" s="7">
        <v>-9.6999999999999993</v>
      </c>
      <c r="AC213" s="7">
        <v>6.6</v>
      </c>
      <c r="AD213" s="7">
        <v>1.1100000000000001</v>
      </c>
      <c r="AE213" s="7">
        <v>10.8</v>
      </c>
      <c r="AF213" s="7">
        <v>7.7</v>
      </c>
      <c r="AG213" s="7">
        <v>15.9</v>
      </c>
      <c r="AH213" s="7">
        <v>11.9</v>
      </c>
      <c r="AI213" s="7">
        <v>9.6999999999999993</v>
      </c>
      <c r="AJ213" s="7">
        <v>60.1</v>
      </c>
      <c r="AK213" s="7">
        <v>61.4</v>
      </c>
      <c r="AL213" s="7">
        <v>15</v>
      </c>
      <c r="AM213" s="7">
        <v>102.96</v>
      </c>
      <c r="AN213" s="7">
        <v>10.1</v>
      </c>
      <c r="AO213" s="7">
        <v>2871</v>
      </c>
    </row>
    <row r="214" spans="1:41">
      <c r="A214" s="6" t="s">
        <v>467</v>
      </c>
      <c r="B214" s="6" t="s">
        <v>164</v>
      </c>
      <c r="C214" s="41">
        <f t="shared" si="7"/>
        <v>0.4958360727591497</v>
      </c>
      <c r="D214" s="42">
        <f t="shared" si="6"/>
        <v>2.1809523809523808</v>
      </c>
      <c r="E214" s="31">
        <v>543</v>
      </c>
      <c r="F214" s="24">
        <v>195</v>
      </c>
      <c r="G214" s="24">
        <v>493</v>
      </c>
      <c r="H214" s="8">
        <v>39.299999999999997</v>
      </c>
      <c r="I214" s="9">
        <v>174</v>
      </c>
      <c r="J214" s="8">
        <v>29.9</v>
      </c>
      <c r="K214" s="8">
        <v>102</v>
      </c>
      <c r="L214" s="25">
        <v>124</v>
      </c>
      <c r="M214" s="8">
        <v>82.3</v>
      </c>
      <c r="N214" s="9">
        <v>16</v>
      </c>
      <c r="O214" s="9">
        <v>183</v>
      </c>
      <c r="P214" s="9">
        <v>202</v>
      </c>
      <c r="Q214" s="24">
        <v>229</v>
      </c>
      <c r="R214" s="24">
        <v>105</v>
      </c>
      <c r="S214" s="9">
        <v>62</v>
      </c>
      <c r="T214" s="9">
        <v>12</v>
      </c>
      <c r="U214" s="9">
        <v>62</v>
      </c>
      <c r="V214" s="8">
        <v>1243</v>
      </c>
      <c r="W214" s="8">
        <v>8</v>
      </c>
      <c r="X214" s="8">
        <v>1</v>
      </c>
      <c r="Y214" s="7">
        <v>-6.7</v>
      </c>
      <c r="Z214" s="7">
        <v>109</v>
      </c>
      <c r="AA214" s="7">
        <v>118.1</v>
      </c>
      <c r="AB214" s="7">
        <v>-9.1</v>
      </c>
      <c r="AC214" s="7">
        <v>34.700000000000003</v>
      </c>
      <c r="AD214" s="7">
        <v>2.15</v>
      </c>
      <c r="AE214" s="7">
        <v>25.9</v>
      </c>
      <c r="AF214" s="7">
        <v>1.5</v>
      </c>
      <c r="AG214" s="7">
        <v>18.3</v>
      </c>
      <c r="AH214" s="7">
        <v>9.4</v>
      </c>
      <c r="AI214" s="7">
        <v>12</v>
      </c>
      <c r="AJ214" s="7">
        <v>44.5</v>
      </c>
      <c r="AK214" s="7">
        <v>49.4</v>
      </c>
      <c r="AL214" s="7">
        <v>26.3</v>
      </c>
      <c r="AM214" s="7">
        <v>102.86</v>
      </c>
      <c r="AN214" s="7">
        <v>11.8</v>
      </c>
      <c r="AO214" s="7">
        <v>2165</v>
      </c>
    </row>
    <row r="215" spans="1:41">
      <c r="A215" s="6" t="s">
        <v>469</v>
      </c>
      <c r="B215" s="6" t="s">
        <v>52</v>
      </c>
      <c r="C215" s="41">
        <f t="shared" si="7"/>
        <v>0.5650426921145153</v>
      </c>
      <c r="D215" s="42">
        <f t="shared" si="6"/>
        <v>2.625</v>
      </c>
      <c r="E215" s="31">
        <v>540</v>
      </c>
      <c r="F215" s="24">
        <v>198</v>
      </c>
      <c r="G215" s="24">
        <v>462</v>
      </c>
      <c r="H215" s="8">
        <v>42.3</v>
      </c>
      <c r="I215" s="9">
        <v>312</v>
      </c>
      <c r="J215" s="8">
        <v>36.299999999999997</v>
      </c>
      <c r="K215" s="8">
        <v>36</v>
      </c>
      <c r="L215" s="25">
        <v>36</v>
      </c>
      <c r="M215" s="8">
        <v>89.5</v>
      </c>
      <c r="N215" s="9">
        <v>78</v>
      </c>
      <c r="O215" s="9">
        <v>288</v>
      </c>
      <c r="P215" s="9">
        <v>372</v>
      </c>
      <c r="Q215" s="24">
        <v>126</v>
      </c>
      <c r="R215" s="24">
        <v>48</v>
      </c>
      <c r="S215" s="9">
        <v>36</v>
      </c>
      <c r="T215" s="9">
        <v>54</v>
      </c>
      <c r="U215" s="9">
        <v>84</v>
      </c>
      <c r="V215" s="8">
        <v>1386</v>
      </c>
      <c r="W215" s="8">
        <v>7</v>
      </c>
      <c r="X215" s="8">
        <v>0</v>
      </c>
      <c r="Y215" s="7">
        <v>6.6</v>
      </c>
      <c r="Z215" s="7">
        <v>119.6</v>
      </c>
      <c r="AA215" s="7">
        <v>108.1</v>
      </c>
      <c r="AB215" s="7">
        <v>11.5</v>
      </c>
      <c r="AC215" s="7">
        <v>10.199999999999999</v>
      </c>
      <c r="AD215" s="7">
        <v>2.78</v>
      </c>
      <c r="AE215" s="7">
        <v>19.600000000000001</v>
      </c>
      <c r="AF215" s="7">
        <v>4.5999999999999996</v>
      </c>
      <c r="AG215" s="7">
        <v>16.5</v>
      </c>
      <c r="AH215" s="7">
        <v>10.6</v>
      </c>
      <c r="AI215" s="7">
        <v>7</v>
      </c>
      <c r="AJ215" s="7">
        <v>54.7</v>
      </c>
      <c r="AK215" s="7">
        <v>56.3</v>
      </c>
      <c r="AL215" s="7">
        <v>13.6</v>
      </c>
      <c r="AM215" s="7">
        <v>97.75</v>
      </c>
      <c r="AN215" s="7">
        <v>9.1</v>
      </c>
      <c r="AO215" s="7">
        <v>3381</v>
      </c>
    </row>
    <row r="216" spans="1:41">
      <c r="A216" s="6" t="s">
        <v>471</v>
      </c>
      <c r="B216" s="6" t="s">
        <v>84</v>
      </c>
      <c r="C216" s="41">
        <f t="shared" si="7"/>
        <v>0.65274151436031336</v>
      </c>
      <c r="D216" s="42">
        <f t="shared" si="6"/>
        <v>1.5</v>
      </c>
      <c r="E216" s="31">
        <v>540</v>
      </c>
      <c r="F216" s="24">
        <v>194</v>
      </c>
      <c r="G216" s="24">
        <v>378</v>
      </c>
      <c r="H216" s="8">
        <v>50.7</v>
      </c>
      <c r="I216" s="9">
        <v>194</v>
      </c>
      <c r="J216" s="8">
        <v>43.1</v>
      </c>
      <c r="K216" s="8">
        <v>72</v>
      </c>
      <c r="L216" s="25">
        <v>81</v>
      </c>
      <c r="M216" s="8">
        <v>91.3</v>
      </c>
      <c r="N216" s="9">
        <v>36</v>
      </c>
      <c r="O216" s="9">
        <v>140</v>
      </c>
      <c r="P216" s="9">
        <v>180</v>
      </c>
      <c r="Q216" s="24">
        <v>54</v>
      </c>
      <c r="R216" s="24">
        <v>36</v>
      </c>
      <c r="S216" s="9">
        <v>36</v>
      </c>
      <c r="T216" s="9">
        <v>18</v>
      </c>
      <c r="U216" s="9">
        <v>113</v>
      </c>
      <c r="V216" s="8">
        <v>954</v>
      </c>
      <c r="W216" s="8">
        <v>0</v>
      </c>
      <c r="X216" s="8">
        <v>0</v>
      </c>
      <c r="Y216" s="7">
        <v>4.4000000000000004</v>
      </c>
      <c r="Z216" s="7">
        <v>120.1</v>
      </c>
      <c r="AA216" s="7">
        <v>111.5</v>
      </c>
      <c r="AB216" s="7">
        <v>8.5</v>
      </c>
      <c r="AC216" s="7">
        <v>6.3</v>
      </c>
      <c r="AD216" s="7">
        <v>1.46</v>
      </c>
      <c r="AE216" s="7">
        <v>10.8</v>
      </c>
      <c r="AF216" s="7">
        <v>3.4</v>
      </c>
      <c r="AG216" s="7">
        <v>11.8</v>
      </c>
      <c r="AH216" s="7">
        <v>7.8</v>
      </c>
      <c r="AI216" s="7">
        <v>7.4</v>
      </c>
      <c r="AJ216" s="7">
        <v>61.7</v>
      </c>
      <c r="AK216" s="7">
        <v>65.3</v>
      </c>
      <c r="AL216" s="7">
        <v>17.100000000000001</v>
      </c>
      <c r="AM216" s="7">
        <v>101.64</v>
      </c>
      <c r="AN216" s="7">
        <v>8.6999999999999993</v>
      </c>
      <c r="AO216" s="7">
        <v>2373</v>
      </c>
    </row>
    <row r="217" spans="1:41">
      <c r="A217" s="6" t="s">
        <v>473</v>
      </c>
      <c r="B217" s="6" t="s">
        <v>50</v>
      </c>
      <c r="C217" s="41">
        <f t="shared" si="7"/>
        <v>0.61960712318707545</v>
      </c>
      <c r="D217" s="42">
        <f t="shared" si="6"/>
        <v>2.9729729729729728</v>
      </c>
      <c r="E217" s="31">
        <v>540</v>
      </c>
      <c r="F217" s="24">
        <v>183</v>
      </c>
      <c r="G217" s="24">
        <v>423</v>
      </c>
      <c r="H217" s="8">
        <v>42.9</v>
      </c>
      <c r="I217" s="9">
        <v>365</v>
      </c>
      <c r="J217" s="8">
        <v>42.7</v>
      </c>
      <c r="K217" s="8">
        <v>22</v>
      </c>
      <c r="L217" s="25">
        <v>29</v>
      </c>
      <c r="M217" s="8">
        <v>81.5</v>
      </c>
      <c r="N217" s="9">
        <v>15</v>
      </c>
      <c r="O217" s="9">
        <v>153</v>
      </c>
      <c r="P217" s="9">
        <v>175</v>
      </c>
      <c r="Q217" s="24">
        <v>110</v>
      </c>
      <c r="R217" s="24">
        <v>37</v>
      </c>
      <c r="S217" s="9">
        <v>37</v>
      </c>
      <c r="T217" s="9">
        <v>7</v>
      </c>
      <c r="U217" s="9">
        <v>161</v>
      </c>
      <c r="V217" s="8">
        <v>1007</v>
      </c>
      <c r="W217" s="8">
        <v>0</v>
      </c>
      <c r="X217" s="8">
        <v>0</v>
      </c>
      <c r="Y217" s="7">
        <v>3.1</v>
      </c>
      <c r="Z217" s="7">
        <v>114</v>
      </c>
      <c r="AA217" s="7">
        <v>107.6</v>
      </c>
      <c r="AB217" s="7">
        <v>6.4</v>
      </c>
      <c r="AC217" s="7">
        <v>8.6</v>
      </c>
      <c r="AD217" s="7">
        <v>2.7</v>
      </c>
      <c r="AE217" s="7">
        <v>18.600000000000001</v>
      </c>
      <c r="AF217" s="7">
        <v>1.1000000000000001</v>
      </c>
      <c r="AG217" s="7">
        <v>8.6999999999999993</v>
      </c>
      <c r="AH217" s="7">
        <v>5.0999999999999996</v>
      </c>
      <c r="AI217" s="7">
        <v>6.9</v>
      </c>
      <c r="AJ217" s="7">
        <v>61.2</v>
      </c>
      <c r="AK217" s="7">
        <v>62.1</v>
      </c>
      <c r="AL217" s="7">
        <v>12.3</v>
      </c>
      <c r="AM217" s="7">
        <v>100.84</v>
      </c>
      <c r="AN217" s="7">
        <v>5.8</v>
      </c>
      <c r="AO217" s="7">
        <v>3487</v>
      </c>
    </row>
    <row r="218" spans="1:41">
      <c r="A218" s="6" t="s">
        <v>475</v>
      </c>
      <c r="B218" s="6" t="s">
        <v>116</v>
      </c>
      <c r="C218" s="41">
        <f t="shared" si="7"/>
        <v>0.5447941888619855</v>
      </c>
      <c r="D218" s="42">
        <f t="shared" si="6"/>
        <v>2.8461538461538463</v>
      </c>
      <c r="E218" s="31">
        <v>540</v>
      </c>
      <c r="F218" s="24">
        <v>204</v>
      </c>
      <c r="G218" s="24">
        <v>456</v>
      </c>
      <c r="H218" s="8">
        <v>44.8</v>
      </c>
      <c r="I218" s="9">
        <v>168</v>
      </c>
      <c r="J218" s="8">
        <v>35.5</v>
      </c>
      <c r="K218" s="8">
        <v>78</v>
      </c>
      <c r="L218" s="25">
        <v>90</v>
      </c>
      <c r="M218" s="8">
        <v>82.4</v>
      </c>
      <c r="N218" s="9">
        <v>24</v>
      </c>
      <c r="O218" s="9">
        <v>84</v>
      </c>
      <c r="P218" s="9">
        <v>108</v>
      </c>
      <c r="Q218" s="24">
        <v>222</v>
      </c>
      <c r="R218" s="24">
        <v>78</v>
      </c>
      <c r="S218" s="9">
        <v>42</v>
      </c>
      <c r="T218" s="9">
        <v>12</v>
      </c>
      <c r="U218" s="9">
        <v>96</v>
      </c>
      <c r="V218" s="8">
        <v>1086</v>
      </c>
      <c r="W218" s="8">
        <v>1</v>
      </c>
      <c r="X218" s="8">
        <v>0</v>
      </c>
      <c r="Y218" s="7">
        <v>-2.2000000000000002</v>
      </c>
      <c r="Z218" s="7">
        <v>108.5</v>
      </c>
      <c r="AA218" s="7">
        <v>114.5</v>
      </c>
      <c r="AB218" s="7">
        <v>-6</v>
      </c>
      <c r="AC218" s="7">
        <v>31.7</v>
      </c>
      <c r="AD218" s="7">
        <v>2.75</v>
      </c>
      <c r="AE218" s="7">
        <v>27.9</v>
      </c>
      <c r="AF218" s="7">
        <v>2.2000000000000002</v>
      </c>
      <c r="AG218" s="7">
        <v>7.6</v>
      </c>
      <c r="AH218" s="7">
        <v>4.9000000000000004</v>
      </c>
      <c r="AI218" s="7">
        <v>10.199999999999999</v>
      </c>
      <c r="AJ218" s="7">
        <v>51.4</v>
      </c>
      <c r="AK218" s="7">
        <v>54.9</v>
      </c>
      <c r="AL218" s="7">
        <v>22.2</v>
      </c>
      <c r="AM218" s="7">
        <v>102.6</v>
      </c>
      <c r="AN218" s="7">
        <v>10.199999999999999</v>
      </c>
      <c r="AO218" s="7">
        <v>2232</v>
      </c>
    </row>
    <row r="219" spans="1:41">
      <c r="A219" s="6" t="s">
        <v>477</v>
      </c>
      <c r="B219" s="6" t="s">
        <v>98</v>
      </c>
      <c r="C219" s="41">
        <f t="shared" si="7"/>
        <v>0.52205767121140889</v>
      </c>
      <c r="D219" s="42">
        <f t="shared" si="6"/>
        <v>1.8813559322033899</v>
      </c>
      <c r="E219" s="31">
        <v>533</v>
      </c>
      <c r="F219" s="24">
        <v>200</v>
      </c>
      <c r="G219" s="24">
        <v>481</v>
      </c>
      <c r="H219" s="8">
        <v>41.2</v>
      </c>
      <c r="I219" s="9">
        <v>237</v>
      </c>
      <c r="J219" s="8">
        <v>33.5</v>
      </c>
      <c r="K219" s="8">
        <v>52</v>
      </c>
      <c r="L219" s="25">
        <v>67</v>
      </c>
      <c r="M219" s="8">
        <v>87.3</v>
      </c>
      <c r="N219" s="9">
        <v>74</v>
      </c>
      <c r="O219" s="9">
        <v>170</v>
      </c>
      <c r="P219" s="9">
        <v>244</v>
      </c>
      <c r="Q219" s="24">
        <v>111</v>
      </c>
      <c r="R219" s="24">
        <v>59</v>
      </c>
      <c r="S219" s="9">
        <v>30</v>
      </c>
      <c r="T219" s="9">
        <v>15</v>
      </c>
      <c r="U219" s="9">
        <v>96</v>
      </c>
      <c r="V219" s="8">
        <v>1095</v>
      </c>
      <c r="W219" s="8">
        <v>1</v>
      </c>
      <c r="X219" s="8">
        <v>0</v>
      </c>
      <c r="Y219" s="7">
        <v>-1.7</v>
      </c>
      <c r="Z219" s="7">
        <v>106.1</v>
      </c>
      <c r="AA219" s="7">
        <v>110.3</v>
      </c>
      <c r="AB219" s="7">
        <v>-4.2</v>
      </c>
      <c r="AC219" s="7">
        <v>10.5</v>
      </c>
      <c r="AD219" s="7">
        <v>2.02</v>
      </c>
      <c r="AE219" s="7">
        <v>16.600000000000001</v>
      </c>
      <c r="AF219" s="7">
        <v>4.2</v>
      </c>
      <c r="AG219" s="7">
        <v>11.4</v>
      </c>
      <c r="AH219" s="7">
        <v>7.6</v>
      </c>
      <c r="AI219" s="7">
        <v>8.1999999999999993</v>
      </c>
      <c r="AJ219" s="7">
        <v>49.5</v>
      </c>
      <c r="AK219" s="7">
        <v>52.2</v>
      </c>
      <c r="AL219" s="7">
        <v>14.9</v>
      </c>
      <c r="AM219" s="7">
        <v>96.97</v>
      </c>
      <c r="AN219" s="7">
        <v>7.4</v>
      </c>
      <c r="AO219" s="7">
        <v>3295</v>
      </c>
    </row>
    <row r="220" spans="1:41">
      <c r="A220" s="6" t="s">
        <v>479</v>
      </c>
      <c r="B220" s="6" t="s">
        <v>116</v>
      </c>
      <c r="C220" s="41">
        <f t="shared" si="7"/>
        <v>0.50538572403853443</v>
      </c>
      <c r="D220" s="42">
        <f t="shared" si="6"/>
        <v>1.8627450980392157</v>
      </c>
      <c r="E220" s="31">
        <v>533</v>
      </c>
      <c r="F220" s="24">
        <v>175</v>
      </c>
      <c r="G220" s="24">
        <v>460</v>
      </c>
      <c r="H220" s="8">
        <v>38.200000000000003</v>
      </c>
      <c r="I220" s="9">
        <v>212</v>
      </c>
      <c r="J220" s="8">
        <v>25.8</v>
      </c>
      <c r="K220" s="8">
        <v>124</v>
      </c>
      <c r="L220" s="25">
        <v>153</v>
      </c>
      <c r="M220" s="8">
        <v>80.400000000000006</v>
      </c>
      <c r="N220" s="9">
        <v>51</v>
      </c>
      <c r="O220" s="9">
        <v>161</v>
      </c>
      <c r="P220" s="9">
        <v>212</v>
      </c>
      <c r="Q220" s="24">
        <v>95</v>
      </c>
      <c r="R220" s="24">
        <v>51</v>
      </c>
      <c r="S220" s="9">
        <v>29</v>
      </c>
      <c r="T220" s="9">
        <v>15</v>
      </c>
      <c r="U220" s="9">
        <v>66</v>
      </c>
      <c r="V220" s="8">
        <v>1015</v>
      </c>
      <c r="W220" s="8">
        <v>3</v>
      </c>
      <c r="X220" s="8">
        <v>0</v>
      </c>
      <c r="Y220" s="7">
        <v>-2.2000000000000002</v>
      </c>
      <c r="Z220" s="7">
        <v>109.9</v>
      </c>
      <c r="AA220" s="7">
        <v>116</v>
      </c>
      <c r="AB220" s="7">
        <v>-6.1</v>
      </c>
      <c r="AC220" s="7">
        <v>11.5</v>
      </c>
      <c r="AD220" s="7">
        <v>1.87</v>
      </c>
      <c r="AE220" s="7">
        <v>14.3</v>
      </c>
      <c r="AF220" s="7">
        <v>3.9</v>
      </c>
      <c r="AG220" s="7">
        <v>13</v>
      </c>
      <c r="AH220" s="7">
        <v>8.4</v>
      </c>
      <c r="AI220" s="7">
        <v>7.7</v>
      </c>
      <c r="AJ220" s="7">
        <v>44.2</v>
      </c>
      <c r="AK220" s="7">
        <v>50.2</v>
      </c>
      <c r="AL220" s="7">
        <v>19.600000000000001</v>
      </c>
      <c r="AM220" s="7">
        <v>99.93</v>
      </c>
      <c r="AN220" s="7">
        <v>8</v>
      </c>
      <c r="AO220" s="7">
        <v>2602</v>
      </c>
    </row>
    <row r="221" spans="1:41">
      <c r="A221" s="6" t="s">
        <v>481</v>
      </c>
      <c r="B221" s="6" t="s">
        <v>146</v>
      </c>
      <c r="C221" s="41">
        <f t="shared" si="7"/>
        <v>0.5000750581700818</v>
      </c>
      <c r="D221" s="42">
        <f t="shared" si="6"/>
        <v>2.625</v>
      </c>
      <c r="E221" s="31">
        <v>533</v>
      </c>
      <c r="F221" s="24">
        <v>203</v>
      </c>
      <c r="G221" s="24">
        <v>503</v>
      </c>
      <c r="H221" s="8">
        <v>40.5</v>
      </c>
      <c r="I221" s="9">
        <v>225</v>
      </c>
      <c r="J221" s="8">
        <v>32.299999999999997</v>
      </c>
      <c r="K221" s="8">
        <v>53</v>
      </c>
      <c r="L221" s="25">
        <v>68</v>
      </c>
      <c r="M221" s="8">
        <v>76.8</v>
      </c>
      <c r="N221" s="9">
        <v>30</v>
      </c>
      <c r="O221" s="9">
        <v>83</v>
      </c>
      <c r="P221" s="9">
        <v>113</v>
      </c>
      <c r="Q221" s="24">
        <v>315</v>
      </c>
      <c r="R221" s="24">
        <v>120</v>
      </c>
      <c r="S221" s="9">
        <v>60</v>
      </c>
      <c r="T221" s="9">
        <v>8</v>
      </c>
      <c r="U221" s="9">
        <v>158</v>
      </c>
      <c r="V221" s="8">
        <v>1230</v>
      </c>
      <c r="W221" s="8">
        <v>1</v>
      </c>
      <c r="X221" s="8">
        <v>0</v>
      </c>
      <c r="Y221" s="7">
        <v>-3.1</v>
      </c>
      <c r="Z221" s="7">
        <v>105.5</v>
      </c>
      <c r="AA221" s="7">
        <v>113.3</v>
      </c>
      <c r="AB221" s="7">
        <v>-7.8</v>
      </c>
      <c r="AC221" s="7">
        <v>30.7</v>
      </c>
      <c r="AD221" s="7">
        <v>2.7</v>
      </c>
      <c r="AE221" s="7">
        <v>32.799999999999997</v>
      </c>
      <c r="AF221" s="7">
        <v>1.9</v>
      </c>
      <c r="AG221" s="7">
        <v>5.7</v>
      </c>
      <c r="AH221" s="7">
        <v>3.7</v>
      </c>
      <c r="AI221" s="7">
        <v>12.1</v>
      </c>
      <c r="AJ221" s="7">
        <v>47.6</v>
      </c>
      <c r="AK221" s="7">
        <v>49.9</v>
      </c>
      <c r="AL221" s="7">
        <v>17.899999999999999</v>
      </c>
      <c r="AM221" s="7">
        <v>102.18</v>
      </c>
      <c r="AN221" s="7">
        <v>7</v>
      </c>
      <c r="AO221" s="7">
        <v>3127</v>
      </c>
    </row>
    <row r="222" spans="1:41">
      <c r="A222" s="6" t="s">
        <v>483</v>
      </c>
      <c r="B222" s="6" t="s">
        <v>82</v>
      </c>
      <c r="C222" s="41">
        <f t="shared" si="7"/>
        <v>0.63577586206896552</v>
      </c>
      <c r="D222" s="42">
        <f t="shared" si="6"/>
        <v>1.6842105263157894</v>
      </c>
      <c r="E222" s="31">
        <v>531</v>
      </c>
      <c r="F222" s="24">
        <v>237</v>
      </c>
      <c r="G222" s="24">
        <v>378</v>
      </c>
      <c r="H222" s="8">
        <v>62.1</v>
      </c>
      <c r="I222" s="9">
        <v>19</v>
      </c>
      <c r="J222" s="8">
        <v>5.9</v>
      </c>
      <c r="K222" s="8">
        <v>64</v>
      </c>
      <c r="L222" s="25">
        <v>90</v>
      </c>
      <c r="M222" s="8">
        <v>70.099999999999994</v>
      </c>
      <c r="N222" s="9">
        <v>128</v>
      </c>
      <c r="O222" s="9">
        <v>198</v>
      </c>
      <c r="P222" s="9">
        <v>326</v>
      </c>
      <c r="Q222" s="24">
        <v>64</v>
      </c>
      <c r="R222" s="24">
        <v>38</v>
      </c>
      <c r="S222" s="9">
        <v>51</v>
      </c>
      <c r="T222" s="9">
        <v>38</v>
      </c>
      <c r="U222" s="9">
        <v>147</v>
      </c>
      <c r="V222" s="8">
        <v>1248</v>
      </c>
      <c r="W222" s="8">
        <v>2</v>
      </c>
      <c r="X222" s="8">
        <v>0</v>
      </c>
      <c r="Y222" s="7">
        <v>2.8</v>
      </c>
      <c r="Z222" s="7">
        <v>116.5</v>
      </c>
      <c r="AA222" s="7">
        <v>108.2</v>
      </c>
      <c r="AB222" s="7">
        <v>8.1999999999999993</v>
      </c>
      <c r="AC222" s="7">
        <v>7.2</v>
      </c>
      <c r="AD222" s="7">
        <v>1.61</v>
      </c>
      <c r="AE222" s="7">
        <v>12.7</v>
      </c>
      <c r="AF222" s="7">
        <v>10.199999999999999</v>
      </c>
      <c r="AG222" s="7">
        <v>14.8</v>
      </c>
      <c r="AH222" s="7">
        <v>12.6</v>
      </c>
      <c r="AI222" s="7">
        <v>7.9</v>
      </c>
      <c r="AJ222" s="7">
        <v>62.2</v>
      </c>
      <c r="AK222" s="7">
        <v>63.8</v>
      </c>
      <c r="AL222" s="7">
        <v>15</v>
      </c>
      <c r="AM222" s="7">
        <v>105.54</v>
      </c>
      <c r="AN222" s="7">
        <v>10.8</v>
      </c>
      <c r="AO222" s="7">
        <v>2637</v>
      </c>
    </row>
    <row r="223" spans="1:41">
      <c r="A223" s="6" t="s">
        <v>485</v>
      </c>
      <c r="B223" s="6" t="s">
        <v>54</v>
      </c>
      <c r="C223" s="41">
        <f t="shared" si="7"/>
        <v>0.63336520076481839</v>
      </c>
      <c r="D223" s="42">
        <f t="shared" si="6"/>
        <v>0.63749999999999996</v>
      </c>
      <c r="E223" s="31">
        <v>530</v>
      </c>
      <c r="F223" s="24">
        <v>205</v>
      </c>
      <c r="G223" s="24">
        <v>348</v>
      </c>
      <c r="H223" s="8">
        <v>59.1</v>
      </c>
      <c r="I223" s="8">
        <v>0</v>
      </c>
      <c r="J223" s="8">
        <v>0</v>
      </c>
      <c r="K223" s="8">
        <v>120</v>
      </c>
      <c r="L223" s="25">
        <v>160</v>
      </c>
      <c r="M223" s="8">
        <v>74.400000000000006</v>
      </c>
      <c r="N223" s="9">
        <v>148</v>
      </c>
      <c r="O223" s="9">
        <v>319</v>
      </c>
      <c r="P223" s="9">
        <v>467</v>
      </c>
      <c r="Q223" s="24">
        <v>51</v>
      </c>
      <c r="R223" s="24">
        <v>80</v>
      </c>
      <c r="S223" s="9">
        <v>11</v>
      </c>
      <c r="T223" s="9">
        <v>57</v>
      </c>
      <c r="U223" s="9">
        <v>143</v>
      </c>
      <c r="V223" s="8">
        <v>1288</v>
      </c>
      <c r="W223" s="8">
        <v>16</v>
      </c>
      <c r="X223" s="8">
        <v>0</v>
      </c>
      <c r="Y223" s="7">
        <v>-4.0999999999999996</v>
      </c>
      <c r="Z223" s="7">
        <v>112.3</v>
      </c>
      <c r="AA223" s="7">
        <v>120.9</v>
      </c>
      <c r="AB223" s="7">
        <v>-8.6999999999999993</v>
      </c>
      <c r="AC223" s="7">
        <v>5.8</v>
      </c>
      <c r="AD223" s="7">
        <v>0.6</v>
      </c>
      <c r="AE223" s="7">
        <v>8.9</v>
      </c>
      <c r="AF223" s="7">
        <v>11.8</v>
      </c>
      <c r="AG223" s="7">
        <v>24.3</v>
      </c>
      <c r="AH223" s="7">
        <v>18.100000000000001</v>
      </c>
      <c r="AI223" s="7">
        <v>14.8</v>
      </c>
      <c r="AJ223" s="7">
        <v>59.1</v>
      </c>
      <c r="AK223" s="7">
        <v>63.4</v>
      </c>
      <c r="AL223" s="7">
        <v>16.899999999999999</v>
      </c>
      <c r="AM223" s="7">
        <v>98.62</v>
      </c>
      <c r="AN223" s="7">
        <v>10.7</v>
      </c>
      <c r="AO223" s="7">
        <v>2576</v>
      </c>
    </row>
    <row r="224" spans="1:41">
      <c r="A224" s="6" t="s">
        <v>487</v>
      </c>
      <c r="B224" s="6" t="s">
        <v>60</v>
      </c>
      <c r="C224" s="41">
        <f t="shared" si="7"/>
        <v>0.56715648362980142</v>
      </c>
      <c r="D224" s="42">
        <f t="shared" si="6"/>
        <v>1.3333333333333333</v>
      </c>
      <c r="E224" s="31">
        <v>528</v>
      </c>
      <c r="F224" s="24">
        <v>189</v>
      </c>
      <c r="G224" s="24">
        <v>414</v>
      </c>
      <c r="H224" s="8">
        <v>46</v>
      </c>
      <c r="I224" s="9">
        <v>153</v>
      </c>
      <c r="J224" s="8">
        <v>40.9</v>
      </c>
      <c r="K224" s="8">
        <v>84</v>
      </c>
      <c r="L224" s="25">
        <v>117</v>
      </c>
      <c r="M224" s="8">
        <v>73.3</v>
      </c>
      <c r="N224" s="9">
        <v>39</v>
      </c>
      <c r="O224" s="9">
        <v>84</v>
      </c>
      <c r="P224" s="9">
        <v>123</v>
      </c>
      <c r="Q224" s="24">
        <v>120</v>
      </c>
      <c r="R224" s="24">
        <v>90</v>
      </c>
      <c r="S224" s="9">
        <v>27</v>
      </c>
      <c r="T224" s="9">
        <v>12</v>
      </c>
      <c r="U224" s="9">
        <v>66</v>
      </c>
      <c r="V224" s="8">
        <v>882</v>
      </c>
      <c r="W224" s="8">
        <v>0</v>
      </c>
      <c r="X224" s="8">
        <v>0</v>
      </c>
      <c r="Y224" s="7">
        <v>-2.1</v>
      </c>
      <c r="Z224" s="7">
        <v>110.5</v>
      </c>
      <c r="AA224" s="7">
        <v>114.6</v>
      </c>
      <c r="AB224" s="7">
        <v>-4.0999999999999996</v>
      </c>
      <c r="AC224" s="7">
        <v>20.7</v>
      </c>
      <c r="AD224" s="7">
        <v>1.34</v>
      </c>
      <c r="AE224" s="7">
        <v>17.7</v>
      </c>
      <c r="AF224" s="7">
        <v>4.3</v>
      </c>
      <c r="AG224" s="7">
        <v>9.1</v>
      </c>
      <c r="AH224" s="7">
        <v>6.7</v>
      </c>
      <c r="AI224" s="7">
        <v>13.2</v>
      </c>
      <c r="AJ224" s="7">
        <v>53.6</v>
      </c>
      <c r="AK224" s="7">
        <v>56.9</v>
      </c>
      <c r="AL224" s="7">
        <v>25.6</v>
      </c>
      <c r="AM224" s="7">
        <v>99.52</v>
      </c>
      <c r="AN224" s="7">
        <v>9.9</v>
      </c>
      <c r="AO224" s="7">
        <v>1868</v>
      </c>
    </row>
    <row r="225" spans="1:41">
      <c r="A225" s="6" t="s">
        <v>489</v>
      </c>
      <c r="B225" s="6" t="s">
        <v>88</v>
      </c>
      <c r="C225" s="41">
        <f t="shared" si="7"/>
        <v>0.58385231316725972</v>
      </c>
      <c r="D225" s="42">
        <f t="shared" si="6"/>
        <v>1.6842105263157894</v>
      </c>
      <c r="E225" s="31">
        <v>525</v>
      </c>
      <c r="F225" s="24">
        <v>192</v>
      </c>
      <c r="G225" s="24">
        <v>410</v>
      </c>
      <c r="H225" s="8">
        <v>46.6</v>
      </c>
      <c r="I225" s="9">
        <v>224</v>
      </c>
      <c r="J225" s="8">
        <v>32.4</v>
      </c>
      <c r="K225" s="8">
        <v>70</v>
      </c>
      <c r="L225" s="25">
        <v>90</v>
      </c>
      <c r="M225" s="8">
        <v>80.900000000000006</v>
      </c>
      <c r="N225" s="9">
        <v>90</v>
      </c>
      <c r="O225" s="9">
        <v>269</v>
      </c>
      <c r="P225" s="9">
        <v>358</v>
      </c>
      <c r="Q225" s="24">
        <v>64</v>
      </c>
      <c r="R225" s="24">
        <v>38</v>
      </c>
      <c r="S225" s="9">
        <v>19</v>
      </c>
      <c r="T225" s="9">
        <v>45</v>
      </c>
      <c r="U225" s="9">
        <v>96</v>
      </c>
      <c r="V225" s="8">
        <v>1197</v>
      </c>
      <c r="W225" s="8">
        <v>4</v>
      </c>
      <c r="X225" s="8">
        <v>0</v>
      </c>
      <c r="Y225" s="7">
        <v>-0.6</v>
      </c>
      <c r="Z225" s="7">
        <v>110.3</v>
      </c>
      <c r="AA225" s="7">
        <v>111.5</v>
      </c>
      <c r="AB225" s="7">
        <v>-1.2</v>
      </c>
      <c r="AC225" s="7">
        <v>10.1</v>
      </c>
      <c r="AD225" s="7">
        <v>1.76</v>
      </c>
      <c r="AE225" s="7">
        <v>11.9</v>
      </c>
      <c r="AF225" s="7">
        <v>8.5</v>
      </c>
      <c r="AG225" s="7">
        <v>24.1</v>
      </c>
      <c r="AH225" s="7">
        <v>16.5</v>
      </c>
      <c r="AI225" s="7">
        <v>6.8</v>
      </c>
      <c r="AJ225" s="7">
        <v>55.4</v>
      </c>
      <c r="AK225" s="7">
        <v>58.6</v>
      </c>
      <c r="AL225" s="7">
        <v>20.100000000000001</v>
      </c>
      <c r="AM225" s="7">
        <v>106.06</v>
      </c>
      <c r="AN225" s="7">
        <v>13.3</v>
      </c>
      <c r="AO225" s="7">
        <v>2122</v>
      </c>
    </row>
    <row r="226" spans="1:41">
      <c r="A226" s="6" t="s">
        <v>491</v>
      </c>
      <c r="B226" s="6" t="s">
        <v>196</v>
      </c>
      <c r="C226" s="41">
        <f t="shared" si="7"/>
        <v>0.52791262135922334</v>
      </c>
      <c r="D226" s="42">
        <f t="shared" si="6"/>
        <v>1.6666666666666667</v>
      </c>
      <c r="E226" s="31">
        <v>522</v>
      </c>
      <c r="F226" s="24">
        <v>192</v>
      </c>
      <c r="G226" s="24">
        <v>468</v>
      </c>
      <c r="H226" s="8">
        <v>40.6</v>
      </c>
      <c r="I226" s="9">
        <v>282</v>
      </c>
      <c r="J226" s="8">
        <v>35.1</v>
      </c>
      <c r="K226" s="8">
        <v>48</v>
      </c>
      <c r="L226" s="25">
        <v>60</v>
      </c>
      <c r="M226" s="8">
        <v>79.3</v>
      </c>
      <c r="N226" s="9">
        <v>60</v>
      </c>
      <c r="O226" s="9">
        <v>162</v>
      </c>
      <c r="P226" s="9">
        <v>222</v>
      </c>
      <c r="Q226" s="24">
        <v>120</v>
      </c>
      <c r="R226" s="24">
        <v>72</v>
      </c>
      <c r="S226" s="9">
        <v>36</v>
      </c>
      <c r="T226" s="9">
        <v>12</v>
      </c>
      <c r="U226" s="9">
        <v>78</v>
      </c>
      <c r="V226" s="8">
        <v>1026</v>
      </c>
      <c r="W226" s="8">
        <v>1</v>
      </c>
      <c r="X226" s="8">
        <v>0</v>
      </c>
      <c r="Y226" s="7">
        <v>-4.3</v>
      </c>
      <c r="Z226" s="7">
        <v>103.2</v>
      </c>
      <c r="AA226" s="7">
        <v>113.4</v>
      </c>
      <c r="AB226" s="7">
        <v>-10.199999999999999</v>
      </c>
      <c r="AC226" s="7">
        <v>15</v>
      </c>
      <c r="AD226" s="7">
        <v>1.65</v>
      </c>
      <c r="AE226" s="7">
        <v>17.7</v>
      </c>
      <c r="AF226" s="7">
        <v>4</v>
      </c>
      <c r="AG226" s="7">
        <v>13.3</v>
      </c>
      <c r="AH226" s="7">
        <v>8.3000000000000007</v>
      </c>
      <c r="AI226" s="7">
        <v>10.8</v>
      </c>
      <c r="AJ226" s="7">
        <v>51.3</v>
      </c>
      <c r="AK226" s="7">
        <v>53.3</v>
      </c>
      <c r="AL226" s="7">
        <v>17.899999999999999</v>
      </c>
      <c r="AM226" s="7">
        <v>98.64</v>
      </c>
      <c r="AN226" s="7">
        <v>8.4</v>
      </c>
      <c r="AO226" s="7">
        <v>2711</v>
      </c>
    </row>
    <row r="227" spans="1:41">
      <c r="A227" s="6" t="s">
        <v>493</v>
      </c>
      <c r="B227" s="6" t="s">
        <v>60</v>
      </c>
      <c r="C227" s="41">
        <f t="shared" si="7"/>
        <v>0.55498414331019108</v>
      </c>
      <c r="D227" s="42">
        <f t="shared" si="6"/>
        <v>1.1095890410958904</v>
      </c>
      <c r="E227" s="31">
        <v>518</v>
      </c>
      <c r="F227" s="24">
        <v>194</v>
      </c>
      <c r="G227" s="24">
        <v>413</v>
      </c>
      <c r="H227" s="8">
        <v>47.4</v>
      </c>
      <c r="I227" s="9">
        <v>154</v>
      </c>
      <c r="J227" s="8">
        <v>23.8</v>
      </c>
      <c r="K227" s="8">
        <v>89</v>
      </c>
      <c r="L227" s="25">
        <v>122</v>
      </c>
      <c r="M227" s="8">
        <v>75.400000000000006</v>
      </c>
      <c r="N227" s="9">
        <v>41</v>
      </c>
      <c r="O227" s="9">
        <v>178</v>
      </c>
      <c r="P227" s="9">
        <v>219</v>
      </c>
      <c r="Q227" s="24">
        <v>81</v>
      </c>
      <c r="R227" s="24">
        <v>73</v>
      </c>
      <c r="S227" s="9">
        <v>49</v>
      </c>
      <c r="T227" s="9">
        <v>16</v>
      </c>
      <c r="U227" s="9">
        <v>138</v>
      </c>
      <c r="V227" s="8">
        <v>1029</v>
      </c>
      <c r="W227" s="8">
        <v>0</v>
      </c>
      <c r="X227" s="8">
        <v>0</v>
      </c>
      <c r="Y227" s="7">
        <v>-0.7</v>
      </c>
      <c r="Z227" s="7">
        <v>109.8</v>
      </c>
      <c r="AA227" s="7">
        <v>110.9</v>
      </c>
      <c r="AB227" s="7">
        <v>-1</v>
      </c>
      <c r="AC227" s="7">
        <v>9.5</v>
      </c>
      <c r="AD227" s="7">
        <v>1.1399999999999999</v>
      </c>
      <c r="AE227" s="7">
        <v>13.2</v>
      </c>
      <c r="AF227" s="7">
        <v>3</v>
      </c>
      <c r="AG227" s="7">
        <v>13.6</v>
      </c>
      <c r="AH227" s="7">
        <v>8.3000000000000007</v>
      </c>
      <c r="AI227" s="7">
        <v>11.6</v>
      </c>
      <c r="AJ227" s="7">
        <v>51.7</v>
      </c>
      <c r="AK227" s="7">
        <v>55.6</v>
      </c>
      <c r="AL227" s="7">
        <v>17.7</v>
      </c>
      <c r="AM227" s="7">
        <v>101</v>
      </c>
      <c r="AN227" s="7">
        <v>7.8</v>
      </c>
      <c r="AO227" s="7">
        <v>2652</v>
      </c>
    </row>
    <row r="228" spans="1:41">
      <c r="A228" s="6" t="s">
        <v>495</v>
      </c>
      <c r="B228" s="6" t="s">
        <v>58</v>
      </c>
      <c r="C228" s="41">
        <f t="shared" si="7"/>
        <v>0.58045356371490275</v>
      </c>
      <c r="D228" s="42">
        <f t="shared" si="6"/>
        <v>2.5744680851063828</v>
      </c>
      <c r="E228" s="31">
        <v>516</v>
      </c>
      <c r="F228" s="24">
        <v>208</v>
      </c>
      <c r="G228" s="24">
        <v>415</v>
      </c>
      <c r="H228" s="8">
        <v>49.6</v>
      </c>
      <c r="I228" s="9">
        <v>161</v>
      </c>
      <c r="J228" s="8">
        <v>36.799999999999997</v>
      </c>
      <c r="K228" s="8">
        <v>47</v>
      </c>
      <c r="L228" s="25">
        <v>67</v>
      </c>
      <c r="M228" s="8">
        <v>69.099999999999994</v>
      </c>
      <c r="N228" s="9">
        <v>67</v>
      </c>
      <c r="O228" s="9">
        <v>134</v>
      </c>
      <c r="P228" s="9">
        <v>201</v>
      </c>
      <c r="Q228" s="24">
        <v>121</v>
      </c>
      <c r="R228" s="24">
        <v>47</v>
      </c>
      <c r="S228" s="9">
        <v>47</v>
      </c>
      <c r="T228" s="9">
        <v>13</v>
      </c>
      <c r="U228" s="9">
        <v>127</v>
      </c>
      <c r="V228" s="8">
        <v>1079</v>
      </c>
      <c r="W228" s="8">
        <v>0</v>
      </c>
      <c r="X228" s="8">
        <v>0</v>
      </c>
      <c r="Y228" s="7">
        <v>-1.4</v>
      </c>
      <c r="Z228" s="7">
        <v>112.9</v>
      </c>
      <c r="AA228" s="7">
        <v>115.2</v>
      </c>
      <c r="AB228" s="7">
        <v>-2.2999999999999998</v>
      </c>
      <c r="AC228" s="7">
        <v>11.8</v>
      </c>
      <c r="AD228" s="7">
        <v>2.57</v>
      </c>
      <c r="AE228" s="7">
        <v>19.8</v>
      </c>
      <c r="AF228" s="7">
        <v>4.7</v>
      </c>
      <c r="AG228" s="7">
        <v>9.4</v>
      </c>
      <c r="AH228" s="7">
        <v>7</v>
      </c>
      <c r="AI228" s="7">
        <v>7.7</v>
      </c>
      <c r="AJ228" s="7">
        <v>56.9</v>
      </c>
      <c r="AK228" s="7">
        <v>58.4</v>
      </c>
      <c r="AL228" s="7">
        <v>14.5</v>
      </c>
      <c r="AM228" s="7">
        <v>100.43</v>
      </c>
      <c r="AN228" s="7">
        <v>7.4</v>
      </c>
      <c r="AO228" s="7">
        <v>2947</v>
      </c>
    </row>
    <row r="229" spans="1:41">
      <c r="A229" s="6" t="s">
        <v>497</v>
      </c>
      <c r="B229" s="6" t="s">
        <v>76</v>
      </c>
      <c r="C229" s="41">
        <f t="shared" si="7"/>
        <v>0.58290746486585143</v>
      </c>
      <c r="D229" s="42">
        <f t="shared" si="6"/>
        <v>2.9722222222222223</v>
      </c>
      <c r="E229" s="31">
        <v>511</v>
      </c>
      <c r="F229" s="24">
        <v>170</v>
      </c>
      <c r="G229" s="24">
        <v>426</v>
      </c>
      <c r="H229" s="8">
        <v>40.6</v>
      </c>
      <c r="I229" s="9">
        <v>369</v>
      </c>
      <c r="J229" s="8">
        <v>37.200000000000003</v>
      </c>
      <c r="K229" s="8">
        <v>28</v>
      </c>
      <c r="L229" s="25">
        <v>28</v>
      </c>
      <c r="M229" s="8">
        <v>96.6</v>
      </c>
      <c r="N229" s="9">
        <v>36</v>
      </c>
      <c r="O229" s="9">
        <v>121</v>
      </c>
      <c r="P229" s="9">
        <v>156</v>
      </c>
      <c r="Q229" s="24">
        <v>107</v>
      </c>
      <c r="R229" s="24">
        <v>36</v>
      </c>
      <c r="S229" s="9">
        <v>50</v>
      </c>
      <c r="T229" s="9">
        <v>14</v>
      </c>
      <c r="U229" s="9">
        <v>121</v>
      </c>
      <c r="V229" s="8">
        <v>1022</v>
      </c>
      <c r="W229" s="8">
        <v>0</v>
      </c>
      <c r="X229" s="8">
        <v>0</v>
      </c>
      <c r="Y229" s="7">
        <v>4.5</v>
      </c>
      <c r="Z229" s="7">
        <v>117.4</v>
      </c>
      <c r="AA229" s="7">
        <v>107.1</v>
      </c>
      <c r="AB229" s="7">
        <v>10.3</v>
      </c>
      <c r="AC229" s="7">
        <v>9.9</v>
      </c>
      <c r="AD229" s="7">
        <v>3.09</v>
      </c>
      <c r="AE229" s="7">
        <v>18.7</v>
      </c>
      <c r="AF229" s="7">
        <v>2.6</v>
      </c>
      <c r="AG229" s="7">
        <v>7.7</v>
      </c>
      <c r="AH229" s="7">
        <v>5.2</v>
      </c>
      <c r="AI229" s="7">
        <v>6</v>
      </c>
      <c r="AJ229" s="7">
        <v>56.7</v>
      </c>
      <c r="AK229" s="7">
        <v>58.3</v>
      </c>
      <c r="AL229" s="7">
        <v>14</v>
      </c>
      <c r="AM229" s="7">
        <v>101.26</v>
      </c>
      <c r="AN229" s="7">
        <v>6.9</v>
      </c>
      <c r="AO229" s="7">
        <v>2963</v>
      </c>
    </row>
    <row r="230" spans="1:41">
      <c r="A230" s="6" t="s">
        <v>499</v>
      </c>
      <c r="B230" s="6" t="s">
        <v>54</v>
      </c>
      <c r="C230" s="41">
        <f t="shared" si="7"/>
        <v>0.5211307824100514</v>
      </c>
      <c r="D230" s="42">
        <f t="shared" si="6"/>
        <v>1.5945945945945945</v>
      </c>
      <c r="E230" s="31">
        <v>511</v>
      </c>
      <c r="F230" s="24">
        <v>207</v>
      </c>
      <c r="G230" s="24">
        <v>474</v>
      </c>
      <c r="H230" s="8">
        <v>43</v>
      </c>
      <c r="I230" s="9">
        <v>266</v>
      </c>
      <c r="J230" s="8">
        <v>31.1</v>
      </c>
      <c r="K230" s="8">
        <v>22</v>
      </c>
      <c r="L230" s="25">
        <v>37</v>
      </c>
      <c r="M230" s="8">
        <v>48.7</v>
      </c>
      <c r="N230" s="9">
        <v>89</v>
      </c>
      <c r="O230" s="9">
        <v>178</v>
      </c>
      <c r="P230" s="9">
        <v>266</v>
      </c>
      <c r="Q230" s="24">
        <v>59</v>
      </c>
      <c r="R230" s="24">
        <v>37</v>
      </c>
      <c r="S230" s="9">
        <v>44</v>
      </c>
      <c r="T230" s="9">
        <v>37</v>
      </c>
      <c r="U230" s="9">
        <v>163</v>
      </c>
      <c r="V230" s="8">
        <v>1132</v>
      </c>
      <c r="W230" s="8">
        <v>3</v>
      </c>
      <c r="X230" s="8">
        <v>0</v>
      </c>
      <c r="Y230" s="7">
        <v>-2.2999999999999998</v>
      </c>
      <c r="Z230" s="7">
        <v>110.4</v>
      </c>
      <c r="AA230" s="7">
        <v>115.1</v>
      </c>
      <c r="AB230" s="7">
        <v>-4.7</v>
      </c>
      <c r="AC230" s="7">
        <v>5.9</v>
      </c>
      <c r="AD230" s="7">
        <v>1.43</v>
      </c>
      <c r="AE230" s="7">
        <v>9.6</v>
      </c>
      <c r="AF230" s="7">
        <v>6.3</v>
      </c>
      <c r="AG230" s="7">
        <v>11.7</v>
      </c>
      <c r="AH230" s="7">
        <v>9</v>
      </c>
      <c r="AI230" s="7">
        <v>6.8</v>
      </c>
      <c r="AJ230" s="7">
        <v>51.6</v>
      </c>
      <c r="AK230" s="7">
        <v>51.7</v>
      </c>
      <c r="AL230" s="7">
        <v>16.100000000000001</v>
      </c>
      <c r="AM230" s="7">
        <v>98.59</v>
      </c>
      <c r="AN230" s="7">
        <v>5.9</v>
      </c>
      <c r="AO230" s="7">
        <v>2882</v>
      </c>
    </row>
    <row r="231" spans="1:41">
      <c r="A231" s="6" t="s">
        <v>501</v>
      </c>
      <c r="B231" s="6" t="s">
        <v>98</v>
      </c>
      <c r="C231" s="41">
        <f t="shared" si="7"/>
        <v>0.63875088715400996</v>
      </c>
      <c r="D231" s="42">
        <f t="shared" si="6"/>
        <v>2</v>
      </c>
      <c r="E231" s="31">
        <v>504</v>
      </c>
      <c r="F231" s="24">
        <v>210</v>
      </c>
      <c r="G231" s="24">
        <v>336</v>
      </c>
      <c r="H231" s="8">
        <v>61.1</v>
      </c>
      <c r="I231" s="9">
        <v>28</v>
      </c>
      <c r="J231" s="8">
        <v>10.7</v>
      </c>
      <c r="K231" s="8">
        <v>84</v>
      </c>
      <c r="L231" s="25">
        <v>133</v>
      </c>
      <c r="M231" s="8">
        <v>63.9</v>
      </c>
      <c r="N231" s="9">
        <v>168</v>
      </c>
      <c r="O231" s="9">
        <v>294</v>
      </c>
      <c r="P231" s="9">
        <v>462</v>
      </c>
      <c r="Q231" s="24">
        <v>140</v>
      </c>
      <c r="R231" s="24">
        <v>70</v>
      </c>
      <c r="S231" s="9">
        <v>49</v>
      </c>
      <c r="T231" s="9">
        <v>98</v>
      </c>
      <c r="U231" s="9">
        <v>147</v>
      </c>
      <c r="V231" s="8">
        <v>1631</v>
      </c>
      <c r="W231" s="8">
        <v>15</v>
      </c>
      <c r="X231" s="8">
        <v>0</v>
      </c>
      <c r="Y231" s="7">
        <v>1.1000000000000001</v>
      </c>
      <c r="Z231" s="7">
        <v>110.1</v>
      </c>
      <c r="AA231" s="7">
        <v>107.4</v>
      </c>
      <c r="AB231" s="7">
        <v>2.7</v>
      </c>
      <c r="AC231" s="7">
        <v>14.2</v>
      </c>
      <c r="AD231" s="7">
        <v>1.9</v>
      </c>
      <c r="AE231" s="7">
        <v>22.6</v>
      </c>
      <c r="AF231" s="7">
        <v>11.6</v>
      </c>
      <c r="AG231" s="7">
        <v>22.7</v>
      </c>
      <c r="AH231" s="7">
        <v>16.899999999999999</v>
      </c>
      <c r="AI231" s="7">
        <v>11.9</v>
      </c>
      <c r="AJ231" s="7">
        <v>61.5</v>
      </c>
      <c r="AK231" s="7">
        <v>63.1</v>
      </c>
      <c r="AL231" s="7">
        <v>14.2</v>
      </c>
      <c r="AM231" s="7">
        <v>95.8</v>
      </c>
      <c r="AN231" s="7">
        <v>13.4</v>
      </c>
      <c r="AO231" s="7">
        <v>2855</v>
      </c>
    </row>
    <row r="232" spans="1:41">
      <c r="A232" s="6" t="s">
        <v>503</v>
      </c>
      <c r="B232" s="6" t="s">
        <v>140</v>
      </c>
      <c r="C232" s="41">
        <f t="shared" si="7"/>
        <v>0.55274725274725278</v>
      </c>
      <c r="D232" s="42">
        <f t="shared" si="6"/>
        <v>1.6029411764705883</v>
      </c>
      <c r="E232" s="31">
        <v>503</v>
      </c>
      <c r="F232" s="24">
        <v>177</v>
      </c>
      <c r="G232" s="24">
        <v>422</v>
      </c>
      <c r="H232" s="8">
        <v>42.8</v>
      </c>
      <c r="I232" s="9">
        <v>245</v>
      </c>
      <c r="J232" s="8">
        <v>39.1</v>
      </c>
      <c r="K232" s="8">
        <v>48</v>
      </c>
      <c r="L232" s="25">
        <v>75</v>
      </c>
      <c r="M232" s="8">
        <v>68.099999999999994</v>
      </c>
      <c r="N232" s="9">
        <v>54</v>
      </c>
      <c r="O232" s="9">
        <v>116</v>
      </c>
      <c r="P232" s="9">
        <v>170</v>
      </c>
      <c r="Q232" s="24">
        <v>109</v>
      </c>
      <c r="R232" s="24">
        <v>68</v>
      </c>
      <c r="S232" s="9">
        <v>75</v>
      </c>
      <c r="T232" s="9">
        <v>14</v>
      </c>
      <c r="U232" s="9">
        <v>163</v>
      </c>
      <c r="V232" s="8">
        <v>1074</v>
      </c>
      <c r="W232" s="8">
        <v>0</v>
      </c>
      <c r="X232" s="8">
        <v>0</v>
      </c>
      <c r="Y232" s="7">
        <v>-5.4</v>
      </c>
      <c r="Z232" s="7">
        <v>105.3</v>
      </c>
      <c r="AA232" s="7">
        <v>114.2</v>
      </c>
      <c r="AB232" s="7">
        <v>-8.9</v>
      </c>
      <c r="AC232" s="7">
        <v>8.1</v>
      </c>
      <c r="AD232" s="7">
        <v>1.54</v>
      </c>
      <c r="AE232" s="7">
        <v>17.100000000000001</v>
      </c>
      <c r="AF232" s="7">
        <v>2.7</v>
      </c>
      <c r="AG232" s="7">
        <v>6</v>
      </c>
      <c r="AH232" s="7">
        <v>4.3</v>
      </c>
      <c r="AI232" s="7">
        <v>11.1</v>
      </c>
      <c r="AJ232" s="7">
        <v>54.3</v>
      </c>
      <c r="AK232" s="7">
        <v>55.9</v>
      </c>
      <c r="AL232" s="7">
        <v>11.5</v>
      </c>
      <c r="AM232" s="7">
        <v>100.08</v>
      </c>
      <c r="AN232" s="7">
        <v>4.3</v>
      </c>
      <c r="AO232" s="7">
        <v>3929</v>
      </c>
    </row>
    <row r="233" spans="1:41">
      <c r="A233" s="6" t="s">
        <v>505</v>
      </c>
      <c r="B233" s="6" t="s">
        <v>146</v>
      </c>
      <c r="C233" s="41">
        <f t="shared" si="7"/>
        <v>0.61364752086401575</v>
      </c>
      <c r="D233" s="42">
        <f t="shared" si="6"/>
        <v>1.1666666666666667</v>
      </c>
      <c r="E233" s="31">
        <v>500</v>
      </c>
      <c r="F233" s="24">
        <v>180</v>
      </c>
      <c r="G233" s="24">
        <v>370</v>
      </c>
      <c r="H233" s="8">
        <v>49.2</v>
      </c>
      <c r="I233" s="9">
        <v>195</v>
      </c>
      <c r="J233" s="8">
        <v>36.299999999999997</v>
      </c>
      <c r="K233" s="8">
        <v>70</v>
      </c>
      <c r="L233" s="25">
        <v>85</v>
      </c>
      <c r="M233" s="8">
        <v>78.2</v>
      </c>
      <c r="N233" s="9">
        <v>70</v>
      </c>
      <c r="O233" s="9">
        <v>155</v>
      </c>
      <c r="P233" s="9">
        <v>225</v>
      </c>
      <c r="Q233" s="24">
        <v>35</v>
      </c>
      <c r="R233" s="24">
        <v>30</v>
      </c>
      <c r="S233" s="9">
        <v>25</v>
      </c>
      <c r="T233" s="9">
        <v>25</v>
      </c>
      <c r="U233" s="9">
        <v>70</v>
      </c>
      <c r="V233" s="8">
        <v>940</v>
      </c>
      <c r="W233" s="8">
        <v>3</v>
      </c>
      <c r="X233" s="8">
        <v>0</v>
      </c>
      <c r="Y233" s="7">
        <v>0.1</v>
      </c>
      <c r="Z233" s="7">
        <v>113.3</v>
      </c>
      <c r="AA233" s="7">
        <v>113.5</v>
      </c>
      <c r="AB233" s="7">
        <v>-0.2</v>
      </c>
      <c r="AC233" s="7">
        <v>5.7</v>
      </c>
      <c r="AD233" s="7">
        <v>1.1399999999999999</v>
      </c>
      <c r="AE233" s="7">
        <v>7</v>
      </c>
      <c r="AF233" s="7">
        <v>7.7</v>
      </c>
      <c r="AG233" s="7">
        <v>17.5</v>
      </c>
      <c r="AH233" s="7">
        <v>12.5</v>
      </c>
      <c r="AI233" s="7">
        <v>6.2</v>
      </c>
      <c r="AJ233" s="7">
        <v>58.6</v>
      </c>
      <c r="AK233" s="7">
        <v>61.5</v>
      </c>
      <c r="AL233" s="7">
        <v>20.8</v>
      </c>
      <c r="AM233" s="7">
        <v>99.28</v>
      </c>
      <c r="AN233" s="7">
        <v>12.6</v>
      </c>
      <c r="AO233" s="7">
        <v>1787</v>
      </c>
    </row>
    <row r="234" spans="1:41">
      <c r="A234" s="6" t="s">
        <v>507</v>
      </c>
      <c r="B234" s="6" t="s">
        <v>64</v>
      </c>
      <c r="C234" s="41">
        <f t="shared" si="7"/>
        <v>0.52701900237529697</v>
      </c>
      <c r="D234" s="42">
        <f t="shared" si="6"/>
        <v>4.04</v>
      </c>
      <c r="E234" s="31">
        <v>497</v>
      </c>
      <c r="F234" s="24">
        <v>180</v>
      </c>
      <c r="G234" s="24">
        <v>446</v>
      </c>
      <c r="H234" s="8">
        <v>40.1</v>
      </c>
      <c r="I234" s="9">
        <v>259</v>
      </c>
      <c r="J234" s="8">
        <v>36.299999999999997</v>
      </c>
      <c r="K234" s="8">
        <v>50</v>
      </c>
      <c r="L234" s="25">
        <v>58</v>
      </c>
      <c r="M234" s="8">
        <v>90.7</v>
      </c>
      <c r="N234" s="9">
        <v>14</v>
      </c>
      <c r="O234" s="9">
        <v>94</v>
      </c>
      <c r="P234" s="9">
        <v>101</v>
      </c>
      <c r="Q234" s="24">
        <v>202</v>
      </c>
      <c r="R234" s="24">
        <v>50</v>
      </c>
      <c r="S234" s="9">
        <v>36</v>
      </c>
      <c r="T234" s="9">
        <v>14</v>
      </c>
      <c r="U234" s="9">
        <v>108</v>
      </c>
      <c r="V234" s="8">
        <v>1044</v>
      </c>
      <c r="W234" s="8">
        <v>0</v>
      </c>
      <c r="X234" s="8">
        <v>0</v>
      </c>
      <c r="Y234" s="7">
        <v>2.8</v>
      </c>
      <c r="Z234" s="7">
        <v>116.6</v>
      </c>
      <c r="AA234" s="7">
        <v>107.5</v>
      </c>
      <c r="AB234" s="7">
        <v>9.1</v>
      </c>
      <c r="AC234" s="7">
        <v>25.1</v>
      </c>
      <c r="AD234" s="7">
        <v>3.9</v>
      </c>
      <c r="AE234" s="7">
        <v>28.1</v>
      </c>
      <c r="AF234" s="7">
        <v>1.3</v>
      </c>
      <c r="AG234" s="7">
        <v>8.1</v>
      </c>
      <c r="AH234" s="7">
        <v>4.7</v>
      </c>
      <c r="AI234" s="7">
        <v>7.2</v>
      </c>
      <c r="AJ234" s="7">
        <v>50.6</v>
      </c>
      <c r="AK234" s="7">
        <v>53.2</v>
      </c>
      <c r="AL234" s="7">
        <v>20</v>
      </c>
      <c r="AM234" s="7">
        <v>100.23</v>
      </c>
      <c r="AN234" s="7">
        <v>8.9</v>
      </c>
      <c r="AO234" s="7">
        <v>2275</v>
      </c>
    </row>
    <row r="235" spans="1:41">
      <c r="A235" s="6" t="s">
        <v>509</v>
      </c>
      <c r="B235" s="6" t="s">
        <v>144</v>
      </c>
      <c r="C235" s="41">
        <f t="shared" si="7"/>
        <v>0.54644808743169393</v>
      </c>
      <c r="D235" s="42">
        <f t="shared" si="6"/>
        <v>1</v>
      </c>
      <c r="E235" s="31">
        <v>496</v>
      </c>
      <c r="F235" s="24">
        <v>182</v>
      </c>
      <c r="G235" s="24">
        <v>416</v>
      </c>
      <c r="H235" s="8">
        <v>43.5</v>
      </c>
      <c r="I235" s="9">
        <v>200</v>
      </c>
      <c r="J235" s="8">
        <v>38.6</v>
      </c>
      <c r="K235" s="8">
        <v>63</v>
      </c>
      <c r="L235" s="25">
        <v>86</v>
      </c>
      <c r="M235" s="8">
        <v>69.8</v>
      </c>
      <c r="N235" s="9">
        <v>11</v>
      </c>
      <c r="O235" s="9">
        <v>80</v>
      </c>
      <c r="P235" s="9">
        <v>91</v>
      </c>
      <c r="Q235" s="24">
        <v>80</v>
      </c>
      <c r="R235" s="24">
        <v>80</v>
      </c>
      <c r="S235" s="9">
        <v>29</v>
      </c>
      <c r="T235" s="9">
        <v>6</v>
      </c>
      <c r="U235" s="9">
        <v>91</v>
      </c>
      <c r="V235" s="8">
        <v>741</v>
      </c>
      <c r="W235" s="8">
        <v>0</v>
      </c>
      <c r="X235" s="8">
        <v>0</v>
      </c>
      <c r="Y235" s="7">
        <v>-1.1000000000000001</v>
      </c>
      <c r="Z235" s="7">
        <v>108.3</v>
      </c>
      <c r="AA235" s="7">
        <v>111.6</v>
      </c>
      <c r="AB235" s="7">
        <v>-3.2</v>
      </c>
      <c r="AC235" s="7">
        <v>13.8</v>
      </c>
      <c r="AD235" s="7">
        <v>0.99</v>
      </c>
      <c r="AE235" s="7">
        <v>13.2</v>
      </c>
      <c r="AF235" s="7">
        <v>1</v>
      </c>
      <c r="AG235" s="7">
        <v>8.5</v>
      </c>
      <c r="AH235" s="7">
        <v>4.8</v>
      </c>
      <c r="AI235" s="7">
        <v>13.3</v>
      </c>
      <c r="AJ235" s="7">
        <v>52.7</v>
      </c>
      <c r="AK235" s="7">
        <v>54.9</v>
      </c>
      <c r="AL235" s="7">
        <v>24.4</v>
      </c>
      <c r="AM235" s="7">
        <v>102.83</v>
      </c>
      <c r="AN235" s="7">
        <v>6.9</v>
      </c>
      <c r="AO235" s="7">
        <v>1943</v>
      </c>
    </row>
    <row r="236" spans="1:41">
      <c r="A236" s="6" t="s">
        <v>511</v>
      </c>
      <c r="B236" s="6" t="s">
        <v>56</v>
      </c>
      <c r="C236" s="41">
        <f t="shared" si="7"/>
        <v>0.59237141205933352</v>
      </c>
      <c r="D236" s="42">
        <f t="shared" si="6"/>
        <v>2.15</v>
      </c>
      <c r="E236" s="31">
        <v>492</v>
      </c>
      <c r="F236" s="24">
        <v>170</v>
      </c>
      <c r="G236" s="24">
        <v>377</v>
      </c>
      <c r="H236" s="8">
        <v>45.6</v>
      </c>
      <c r="I236" s="9">
        <v>212</v>
      </c>
      <c r="J236" s="8">
        <v>37.1</v>
      </c>
      <c r="K236" s="8">
        <v>74</v>
      </c>
      <c r="L236" s="25">
        <v>87</v>
      </c>
      <c r="M236" s="8">
        <v>82.8</v>
      </c>
      <c r="N236" s="9">
        <v>28</v>
      </c>
      <c r="O236" s="9">
        <v>152</v>
      </c>
      <c r="P236" s="9">
        <v>179</v>
      </c>
      <c r="Q236" s="24">
        <v>129</v>
      </c>
      <c r="R236" s="24">
        <v>60</v>
      </c>
      <c r="S236" s="9">
        <v>37</v>
      </c>
      <c r="T236" s="9">
        <v>14</v>
      </c>
      <c r="U236" s="9">
        <v>83</v>
      </c>
      <c r="V236" s="8">
        <v>998</v>
      </c>
      <c r="W236" s="8">
        <v>0</v>
      </c>
      <c r="X236" s="8">
        <v>0</v>
      </c>
      <c r="Y236" s="7">
        <v>-0.4</v>
      </c>
      <c r="Z236" s="7">
        <v>109.6</v>
      </c>
      <c r="AA236" s="7">
        <v>110.7</v>
      </c>
      <c r="AB236" s="7">
        <v>-1.1000000000000001</v>
      </c>
      <c r="AC236" s="7">
        <v>17.399999999999999</v>
      </c>
      <c r="AD236" s="7">
        <v>2.1800000000000002</v>
      </c>
      <c r="AE236" s="7">
        <v>21.7</v>
      </c>
      <c r="AF236" s="7">
        <v>2.2000000000000002</v>
      </c>
      <c r="AG236" s="7">
        <v>12.7</v>
      </c>
      <c r="AH236" s="7">
        <v>7.6</v>
      </c>
      <c r="AI236" s="7">
        <v>9.9</v>
      </c>
      <c r="AJ236" s="7">
        <v>56</v>
      </c>
      <c r="AK236" s="7">
        <v>59.5</v>
      </c>
      <c r="AL236" s="7">
        <v>17.8</v>
      </c>
      <c r="AM236" s="7">
        <v>98.48</v>
      </c>
      <c r="AN236" s="7">
        <v>9.8000000000000007</v>
      </c>
      <c r="AO236" s="7">
        <v>2374</v>
      </c>
    </row>
    <row r="237" spans="1:41">
      <c r="A237" s="6" t="s">
        <v>513</v>
      </c>
      <c r="B237" s="6" t="s">
        <v>58</v>
      </c>
      <c r="C237" s="41">
        <f t="shared" si="7"/>
        <v>0.56378865979381443</v>
      </c>
      <c r="D237" s="42">
        <f t="shared" si="6"/>
        <v>1.22</v>
      </c>
      <c r="E237" s="31">
        <v>490</v>
      </c>
      <c r="F237" s="24">
        <v>220</v>
      </c>
      <c r="G237" s="24">
        <v>391</v>
      </c>
      <c r="H237" s="8">
        <v>55.9</v>
      </c>
      <c r="I237" s="8">
        <v>0</v>
      </c>
      <c r="J237" s="8">
        <v>0</v>
      </c>
      <c r="K237" s="8">
        <v>50</v>
      </c>
      <c r="L237" s="25">
        <v>99</v>
      </c>
      <c r="M237" s="8">
        <v>53.6</v>
      </c>
      <c r="N237" s="9">
        <v>176</v>
      </c>
      <c r="O237" s="9">
        <v>297</v>
      </c>
      <c r="P237" s="9">
        <v>468</v>
      </c>
      <c r="Q237" s="24">
        <v>61</v>
      </c>
      <c r="R237" s="24">
        <v>50</v>
      </c>
      <c r="S237" s="9">
        <v>33</v>
      </c>
      <c r="T237" s="9">
        <v>55</v>
      </c>
      <c r="U237" s="9">
        <v>105</v>
      </c>
      <c r="V237" s="8">
        <v>1359</v>
      </c>
      <c r="W237" s="8">
        <v>11</v>
      </c>
      <c r="X237" s="8">
        <v>0</v>
      </c>
      <c r="Y237" s="7">
        <v>-1.4</v>
      </c>
      <c r="Z237" s="7">
        <v>108.7</v>
      </c>
      <c r="AA237" s="7">
        <v>111.5</v>
      </c>
      <c r="AB237" s="7">
        <v>-2.7</v>
      </c>
      <c r="AC237" s="7">
        <v>7.3</v>
      </c>
      <c r="AD237" s="7">
        <v>1.32</v>
      </c>
      <c r="AE237" s="7">
        <v>11.4</v>
      </c>
      <c r="AF237" s="7">
        <v>13.2</v>
      </c>
      <c r="AG237" s="7">
        <v>23.8</v>
      </c>
      <c r="AH237" s="7">
        <v>18.3</v>
      </c>
      <c r="AI237" s="7">
        <v>8.6999999999999993</v>
      </c>
      <c r="AJ237" s="7">
        <v>55.9</v>
      </c>
      <c r="AK237" s="7">
        <v>56.4</v>
      </c>
      <c r="AL237" s="7">
        <v>16</v>
      </c>
      <c r="AM237" s="7">
        <v>105.23</v>
      </c>
      <c r="AN237" s="7">
        <v>11.7</v>
      </c>
      <c r="AO237" s="7">
        <v>2575</v>
      </c>
    </row>
    <row r="238" spans="1:41">
      <c r="A238" s="6" t="s">
        <v>515</v>
      </c>
      <c r="B238" s="6" t="s">
        <v>56</v>
      </c>
      <c r="C238" s="41">
        <f t="shared" si="7"/>
        <v>0.5846460521197977</v>
      </c>
      <c r="D238" s="42">
        <f t="shared" si="6"/>
        <v>2.1346153846153846</v>
      </c>
      <c r="E238" s="31">
        <v>481</v>
      </c>
      <c r="F238" s="24">
        <v>178</v>
      </c>
      <c r="G238" s="24">
        <v>392</v>
      </c>
      <c r="H238" s="8">
        <v>45.8</v>
      </c>
      <c r="I238" s="9">
        <v>229</v>
      </c>
      <c r="J238" s="8">
        <v>38.200000000000003</v>
      </c>
      <c r="K238" s="8">
        <v>30</v>
      </c>
      <c r="L238" s="25">
        <v>44</v>
      </c>
      <c r="M238" s="8">
        <v>72.099999999999994</v>
      </c>
      <c r="N238" s="9">
        <v>74</v>
      </c>
      <c r="O238" s="9">
        <v>178</v>
      </c>
      <c r="P238" s="9">
        <v>252</v>
      </c>
      <c r="Q238" s="24">
        <v>111</v>
      </c>
      <c r="R238" s="24">
        <v>52</v>
      </c>
      <c r="S238" s="9">
        <v>67</v>
      </c>
      <c r="T238" s="9">
        <v>37</v>
      </c>
      <c r="U238" s="9">
        <v>163</v>
      </c>
      <c r="V238" s="8">
        <v>1206</v>
      </c>
      <c r="W238" s="8">
        <v>0</v>
      </c>
      <c r="X238" s="8">
        <v>0</v>
      </c>
      <c r="Y238" s="7">
        <v>0.8</v>
      </c>
      <c r="Z238" s="7">
        <v>111.8</v>
      </c>
      <c r="AA238" s="7">
        <v>110.4</v>
      </c>
      <c r="AB238" s="7">
        <v>1.4</v>
      </c>
      <c r="AC238" s="7">
        <v>8.4</v>
      </c>
      <c r="AD238" s="7">
        <v>2.0699999999999998</v>
      </c>
      <c r="AE238" s="7">
        <v>19.5</v>
      </c>
      <c r="AF238" s="7">
        <v>4</v>
      </c>
      <c r="AG238" s="7">
        <v>9.8000000000000007</v>
      </c>
      <c r="AH238" s="7">
        <v>6.9</v>
      </c>
      <c r="AI238" s="7">
        <v>9.4</v>
      </c>
      <c r="AJ238" s="7">
        <v>57.2</v>
      </c>
      <c r="AK238" s="7">
        <v>58.3</v>
      </c>
      <c r="AL238" s="7">
        <v>11.1</v>
      </c>
      <c r="AM238" s="7">
        <v>97.33</v>
      </c>
      <c r="AN238" s="7">
        <v>5.7</v>
      </c>
      <c r="AO238" s="7">
        <v>3691</v>
      </c>
    </row>
    <row r="239" spans="1:41">
      <c r="A239" s="6" t="s">
        <v>517</v>
      </c>
      <c r="B239" s="6" t="s">
        <v>44</v>
      </c>
      <c r="C239" s="41">
        <f t="shared" si="7"/>
        <v>0.59856344772545889</v>
      </c>
      <c r="D239" s="42">
        <f t="shared" si="6"/>
        <v>1.103448275862069</v>
      </c>
      <c r="E239" s="31">
        <v>480</v>
      </c>
      <c r="F239" s="24">
        <v>166</v>
      </c>
      <c r="G239" s="24">
        <v>342</v>
      </c>
      <c r="H239" s="8">
        <v>49</v>
      </c>
      <c r="I239" s="9">
        <v>115</v>
      </c>
      <c r="J239" s="8">
        <v>37.9</v>
      </c>
      <c r="K239" s="8">
        <v>102</v>
      </c>
      <c r="L239" s="25">
        <v>134</v>
      </c>
      <c r="M239" s="8">
        <v>75.400000000000006</v>
      </c>
      <c r="N239" s="9">
        <v>48</v>
      </c>
      <c r="O239" s="9">
        <v>208</v>
      </c>
      <c r="P239" s="9">
        <v>256</v>
      </c>
      <c r="Q239" s="24">
        <v>64</v>
      </c>
      <c r="R239" s="24">
        <v>58</v>
      </c>
      <c r="S239" s="9">
        <v>22</v>
      </c>
      <c r="T239" s="9">
        <v>70</v>
      </c>
      <c r="U239" s="9">
        <v>74</v>
      </c>
      <c r="V239" s="8">
        <v>1107</v>
      </c>
      <c r="W239" s="8">
        <v>11</v>
      </c>
      <c r="X239" s="8">
        <v>0</v>
      </c>
      <c r="Y239" s="7">
        <v>9.1999999999999993</v>
      </c>
      <c r="Z239" s="7">
        <v>121.7</v>
      </c>
      <c r="AA239" s="7">
        <v>105.6</v>
      </c>
      <c r="AB239" s="7">
        <v>16.100000000000001</v>
      </c>
      <c r="AC239" s="7">
        <v>9.1</v>
      </c>
      <c r="AD239" s="7">
        <v>1.1299999999999999</v>
      </c>
      <c r="AE239" s="7">
        <v>12.1</v>
      </c>
      <c r="AF239" s="7">
        <v>5.4</v>
      </c>
      <c r="AG239" s="7">
        <v>20.8</v>
      </c>
      <c r="AH239" s="7">
        <v>13.6</v>
      </c>
      <c r="AI239" s="7">
        <v>10.8</v>
      </c>
      <c r="AJ239" s="7">
        <v>55.4</v>
      </c>
      <c r="AK239" s="7">
        <v>59.9</v>
      </c>
      <c r="AL239" s="7">
        <v>21.4</v>
      </c>
      <c r="AM239" s="7">
        <v>103.83</v>
      </c>
      <c r="AN239" s="7">
        <v>12.2</v>
      </c>
      <c r="AO239" s="7">
        <v>1891</v>
      </c>
    </row>
    <row r="240" spans="1:41">
      <c r="A240" s="6" t="s">
        <v>519</v>
      </c>
      <c r="B240" s="6" t="s">
        <v>68</v>
      </c>
      <c r="C240" s="41">
        <f t="shared" si="7"/>
        <v>0.55153831982313928</v>
      </c>
      <c r="D240" s="42">
        <f t="shared" si="6"/>
        <v>1.1086956521739131</v>
      </c>
      <c r="E240" s="31">
        <v>479</v>
      </c>
      <c r="F240" s="24">
        <v>179</v>
      </c>
      <c r="G240" s="24">
        <v>403</v>
      </c>
      <c r="H240" s="8">
        <v>44.4</v>
      </c>
      <c r="I240" s="9">
        <v>184</v>
      </c>
      <c r="J240" s="8">
        <v>35.5</v>
      </c>
      <c r="K240" s="8">
        <v>56</v>
      </c>
      <c r="L240" s="25">
        <v>71</v>
      </c>
      <c r="M240" s="8">
        <v>75</v>
      </c>
      <c r="N240" s="9">
        <v>36</v>
      </c>
      <c r="O240" s="9">
        <v>117</v>
      </c>
      <c r="P240" s="9">
        <v>153</v>
      </c>
      <c r="Q240" s="24">
        <v>51</v>
      </c>
      <c r="R240" s="24">
        <v>46</v>
      </c>
      <c r="S240" s="9">
        <v>31</v>
      </c>
      <c r="T240" s="9">
        <v>15</v>
      </c>
      <c r="U240" s="9">
        <v>46</v>
      </c>
      <c r="V240" s="8">
        <v>816</v>
      </c>
      <c r="W240" s="8">
        <v>2</v>
      </c>
      <c r="X240" s="8">
        <v>0</v>
      </c>
      <c r="Y240" s="7">
        <v>0</v>
      </c>
      <c r="Z240" s="7">
        <v>113.4</v>
      </c>
      <c r="AA240" s="7">
        <v>112.3</v>
      </c>
      <c r="AB240" s="7">
        <v>1.1000000000000001</v>
      </c>
      <c r="AC240" s="7">
        <v>9</v>
      </c>
      <c r="AD240" s="7">
        <v>1.07</v>
      </c>
      <c r="AE240" s="7">
        <v>9.1999999999999993</v>
      </c>
      <c r="AF240" s="7">
        <v>3.9</v>
      </c>
      <c r="AG240" s="7">
        <v>13.9</v>
      </c>
      <c r="AH240" s="7">
        <v>8.6</v>
      </c>
      <c r="AI240" s="7">
        <v>8.6999999999999993</v>
      </c>
      <c r="AJ240" s="7">
        <v>52.5</v>
      </c>
      <c r="AK240" s="7">
        <v>54.9</v>
      </c>
      <c r="AL240" s="7">
        <v>23.1</v>
      </c>
      <c r="AM240" s="7">
        <v>100.93</v>
      </c>
      <c r="AN240" s="7">
        <v>10.8</v>
      </c>
      <c r="AO240" s="7">
        <v>1729</v>
      </c>
    </row>
    <row r="241" spans="1:41">
      <c r="A241" s="6" t="s">
        <v>521</v>
      </c>
      <c r="B241" s="6" t="s">
        <v>62</v>
      </c>
      <c r="C241" s="41">
        <f t="shared" si="7"/>
        <v>0.53058117668129312</v>
      </c>
      <c r="D241" s="42">
        <f t="shared" si="6"/>
        <v>2.7972972972972974</v>
      </c>
      <c r="E241" s="31">
        <v>474</v>
      </c>
      <c r="F241" s="24">
        <v>192</v>
      </c>
      <c r="G241" s="24">
        <v>437</v>
      </c>
      <c r="H241" s="8">
        <v>43.9</v>
      </c>
      <c r="I241" s="9">
        <v>222</v>
      </c>
      <c r="J241" s="8">
        <v>33.5</v>
      </c>
      <c r="K241" s="8">
        <v>15</v>
      </c>
      <c r="L241" s="25">
        <v>22</v>
      </c>
      <c r="M241" s="8">
        <v>68.2</v>
      </c>
      <c r="N241" s="9">
        <v>52</v>
      </c>
      <c r="O241" s="9">
        <v>200</v>
      </c>
      <c r="P241" s="9">
        <v>252</v>
      </c>
      <c r="Q241" s="24">
        <v>207</v>
      </c>
      <c r="R241" s="24">
        <v>74</v>
      </c>
      <c r="S241" s="9">
        <v>126</v>
      </c>
      <c r="T241" s="9">
        <v>30</v>
      </c>
      <c r="U241" s="9">
        <v>200</v>
      </c>
      <c r="V241" s="8">
        <v>1480</v>
      </c>
      <c r="W241" s="8">
        <v>0</v>
      </c>
      <c r="X241" s="8">
        <v>0</v>
      </c>
      <c r="Y241" s="7">
        <v>3.5</v>
      </c>
      <c r="Z241" s="7">
        <v>113.8</v>
      </c>
      <c r="AA241" s="7">
        <v>106</v>
      </c>
      <c r="AB241" s="7">
        <v>7.8</v>
      </c>
      <c r="AC241" s="7">
        <v>15.3</v>
      </c>
      <c r="AD241" s="7">
        <v>2.84</v>
      </c>
      <c r="AE241" s="7">
        <v>28.7</v>
      </c>
      <c r="AF241" s="7">
        <v>3.1</v>
      </c>
      <c r="AG241" s="7">
        <v>11.1</v>
      </c>
      <c r="AH241" s="7">
        <v>7.2</v>
      </c>
      <c r="AI241" s="7">
        <v>10.1</v>
      </c>
      <c r="AJ241" s="7">
        <v>52.5</v>
      </c>
      <c r="AK241" s="7">
        <v>53.1</v>
      </c>
      <c r="AL241" s="7">
        <v>12.6</v>
      </c>
      <c r="AM241" s="7">
        <v>99.24</v>
      </c>
      <c r="AN241" s="7">
        <v>7</v>
      </c>
      <c r="AO241" s="7">
        <v>3675</v>
      </c>
    </row>
    <row r="242" spans="1:41">
      <c r="A242" s="6" t="s">
        <v>523</v>
      </c>
      <c r="B242" s="6" t="s">
        <v>76</v>
      </c>
      <c r="C242" s="41">
        <f t="shared" si="7"/>
        <v>0.60194672131147542</v>
      </c>
      <c r="D242" s="42">
        <f t="shared" si="6"/>
        <v>2.9090909090909092</v>
      </c>
      <c r="E242" s="31">
        <v>470</v>
      </c>
      <c r="F242" s="24">
        <v>165</v>
      </c>
      <c r="G242" s="24">
        <v>375</v>
      </c>
      <c r="H242" s="8">
        <v>44.2</v>
      </c>
      <c r="I242" s="9">
        <v>295</v>
      </c>
      <c r="J242" s="8">
        <v>38.6</v>
      </c>
      <c r="K242" s="8">
        <v>30</v>
      </c>
      <c r="L242" s="25">
        <v>35</v>
      </c>
      <c r="M242" s="8">
        <v>82.4</v>
      </c>
      <c r="N242" s="9">
        <v>55</v>
      </c>
      <c r="O242" s="9">
        <v>165</v>
      </c>
      <c r="P242" s="9">
        <v>215</v>
      </c>
      <c r="Q242" s="24">
        <v>160</v>
      </c>
      <c r="R242" s="24">
        <v>55</v>
      </c>
      <c r="S242" s="9">
        <v>25</v>
      </c>
      <c r="T242" s="9">
        <v>10</v>
      </c>
      <c r="U242" s="9">
        <v>105</v>
      </c>
      <c r="V242" s="8">
        <v>1030</v>
      </c>
      <c r="W242" s="8">
        <v>0</v>
      </c>
      <c r="X242" s="8">
        <v>0</v>
      </c>
      <c r="Y242" s="7">
        <v>4.4000000000000004</v>
      </c>
      <c r="Z242" s="7">
        <v>120.1</v>
      </c>
      <c r="AA242" s="7">
        <v>112.2</v>
      </c>
      <c r="AB242" s="7">
        <v>7.9</v>
      </c>
      <c r="AC242" s="7">
        <v>15.7</v>
      </c>
      <c r="AD242" s="7">
        <v>2.93</v>
      </c>
      <c r="AE242" s="7">
        <v>26.4</v>
      </c>
      <c r="AF242" s="7">
        <v>4.0999999999999996</v>
      </c>
      <c r="AG242" s="7">
        <v>11.8</v>
      </c>
      <c r="AH242" s="7">
        <v>8.1</v>
      </c>
      <c r="AI242" s="7">
        <v>9</v>
      </c>
      <c r="AJ242" s="7">
        <v>59.4</v>
      </c>
      <c r="AK242" s="7">
        <v>60.7</v>
      </c>
      <c r="AL242" s="7">
        <v>14.3</v>
      </c>
      <c r="AM242" s="7">
        <v>101.34</v>
      </c>
      <c r="AN242" s="7">
        <v>8.3000000000000007</v>
      </c>
      <c r="AO242" s="7">
        <v>2691</v>
      </c>
    </row>
    <row r="243" spans="1:41">
      <c r="A243" s="6" t="s">
        <v>525</v>
      </c>
      <c r="B243" s="6" t="s">
        <v>74</v>
      </c>
      <c r="C243" s="41">
        <f t="shared" si="7"/>
        <v>0.53895435839880279</v>
      </c>
      <c r="D243" s="42">
        <f t="shared" si="6"/>
        <v>2.3488372093023258</v>
      </c>
      <c r="E243" s="31">
        <v>461</v>
      </c>
      <c r="F243" s="24">
        <v>166</v>
      </c>
      <c r="G243" s="24">
        <v>418</v>
      </c>
      <c r="H243" s="8">
        <v>40</v>
      </c>
      <c r="I243" s="9">
        <v>310</v>
      </c>
      <c r="J243" s="8">
        <v>35.299999999999997</v>
      </c>
      <c r="K243" s="8">
        <v>14</v>
      </c>
      <c r="L243" s="25">
        <v>22</v>
      </c>
      <c r="M243" s="8">
        <v>71.400000000000006</v>
      </c>
      <c r="N243" s="9">
        <v>22</v>
      </c>
      <c r="O243" s="9">
        <v>72</v>
      </c>
      <c r="P243" s="9">
        <v>94</v>
      </c>
      <c r="Q243" s="24">
        <v>101</v>
      </c>
      <c r="R243" s="24">
        <v>43</v>
      </c>
      <c r="S243" s="9">
        <v>50</v>
      </c>
      <c r="T243" s="9">
        <v>14</v>
      </c>
      <c r="U243" s="9">
        <v>151</v>
      </c>
      <c r="V243" s="8">
        <v>871</v>
      </c>
      <c r="W243" s="8">
        <v>0</v>
      </c>
      <c r="X243" s="8">
        <v>0</v>
      </c>
      <c r="Y243" s="7">
        <v>0.7</v>
      </c>
      <c r="Z243" s="7">
        <v>111.8</v>
      </c>
      <c r="AA243" s="7">
        <v>110.7</v>
      </c>
      <c r="AB243" s="7">
        <v>1.1000000000000001</v>
      </c>
      <c r="AC243" s="7">
        <v>9</v>
      </c>
      <c r="AD243" s="7">
        <v>2.39</v>
      </c>
      <c r="AE243" s="7">
        <v>17.2</v>
      </c>
      <c r="AF243" s="7">
        <v>1.3</v>
      </c>
      <c r="AG243" s="7">
        <v>4.5</v>
      </c>
      <c r="AH243" s="7">
        <v>2.9</v>
      </c>
      <c r="AI243" s="7">
        <v>7.2</v>
      </c>
      <c r="AJ243" s="7">
        <v>53</v>
      </c>
      <c r="AK243" s="7">
        <v>53.6</v>
      </c>
      <c r="AL243" s="7">
        <v>13.1</v>
      </c>
      <c r="AM243" s="7">
        <v>100.07</v>
      </c>
      <c r="AN243" s="7">
        <v>3.9</v>
      </c>
      <c r="AO243" s="7">
        <v>3190</v>
      </c>
    </row>
    <row r="244" spans="1:41">
      <c r="A244" s="6" t="s">
        <v>527</v>
      </c>
      <c r="B244" s="6" t="s">
        <v>84</v>
      </c>
      <c r="C244" s="41">
        <f t="shared" si="7"/>
        <v>0.58729995896594167</v>
      </c>
      <c r="D244" s="42">
        <f t="shared" si="6"/>
        <v>1.5066666666666666</v>
      </c>
      <c r="E244" s="31">
        <v>458</v>
      </c>
      <c r="F244" s="24">
        <v>173</v>
      </c>
      <c r="G244" s="24">
        <v>360</v>
      </c>
      <c r="H244" s="8">
        <v>47.2</v>
      </c>
      <c r="I244" s="9">
        <v>188</v>
      </c>
      <c r="J244" s="8">
        <v>40.5</v>
      </c>
      <c r="K244" s="8">
        <v>45</v>
      </c>
      <c r="L244" s="25">
        <v>68</v>
      </c>
      <c r="M244" s="8">
        <v>66.7</v>
      </c>
      <c r="N244" s="9">
        <v>23</v>
      </c>
      <c r="O244" s="9">
        <v>203</v>
      </c>
      <c r="P244" s="9">
        <v>233</v>
      </c>
      <c r="Q244" s="24">
        <v>113</v>
      </c>
      <c r="R244" s="24">
        <v>75</v>
      </c>
      <c r="S244" s="9">
        <v>53</v>
      </c>
      <c r="T244" s="9">
        <v>23</v>
      </c>
      <c r="U244" s="9">
        <v>113</v>
      </c>
      <c r="V244" s="8">
        <v>1058</v>
      </c>
      <c r="W244" s="8">
        <v>0</v>
      </c>
      <c r="X244" s="8">
        <v>0</v>
      </c>
      <c r="Y244" s="7">
        <v>-1.9</v>
      </c>
      <c r="Z244" s="7">
        <v>107</v>
      </c>
      <c r="AA244" s="7">
        <v>112.1</v>
      </c>
      <c r="AB244" s="7">
        <v>-5</v>
      </c>
      <c r="AC244" s="7">
        <v>12.9</v>
      </c>
      <c r="AD244" s="7">
        <v>1.41</v>
      </c>
      <c r="AE244" s="7">
        <v>19.100000000000001</v>
      </c>
      <c r="AF244" s="7">
        <v>2.1</v>
      </c>
      <c r="AG244" s="7">
        <v>17.8</v>
      </c>
      <c r="AH244" s="7">
        <v>9.8000000000000007</v>
      </c>
      <c r="AI244" s="7">
        <v>13.5</v>
      </c>
      <c r="AJ244" s="7">
        <v>57.6</v>
      </c>
      <c r="AK244" s="7">
        <v>59</v>
      </c>
      <c r="AL244" s="7">
        <v>16.5</v>
      </c>
      <c r="AM244" s="7">
        <v>103.23</v>
      </c>
      <c r="AN244" s="7">
        <v>8.6999999999999993</v>
      </c>
      <c r="AO244" s="7">
        <v>2544</v>
      </c>
    </row>
    <row r="245" spans="1:41">
      <c r="A245" s="6" t="s">
        <v>529</v>
      </c>
      <c r="B245" s="6" t="s">
        <v>66</v>
      </c>
      <c r="C245" s="41">
        <f t="shared" si="7"/>
        <v>0.58895101998550281</v>
      </c>
      <c r="D245" s="42">
        <f t="shared" si="6"/>
        <v>1.8372093023255813</v>
      </c>
      <c r="E245" s="31">
        <v>455</v>
      </c>
      <c r="F245" s="24">
        <v>158</v>
      </c>
      <c r="G245" s="24">
        <v>337</v>
      </c>
      <c r="H245" s="8">
        <v>47.5</v>
      </c>
      <c r="I245" s="9">
        <v>145</v>
      </c>
      <c r="J245" s="8">
        <v>42.3</v>
      </c>
      <c r="K245" s="8">
        <v>79</v>
      </c>
      <c r="L245" s="25">
        <v>112</v>
      </c>
      <c r="M245" s="8">
        <v>67.8</v>
      </c>
      <c r="N245" s="9">
        <v>92</v>
      </c>
      <c r="O245" s="9">
        <v>172</v>
      </c>
      <c r="P245" s="9">
        <v>257</v>
      </c>
      <c r="Q245" s="24">
        <v>158</v>
      </c>
      <c r="R245" s="24">
        <v>86</v>
      </c>
      <c r="S245" s="9">
        <v>59</v>
      </c>
      <c r="T245" s="9">
        <v>20</v>
      </c>
      <c r="U245" s="9">
        <v>132</v>
      </c>
      <c r="V245" s="8">
        <v>1175</v>
      </c>
      <c r="W245" s="8">
        <v>2</v>
      </c>
      <c r="X245" s="8">
        <v>0</v>
      </c>
      <c r="Y245" s="7">
        <v>1.9</v>
      </c>
      <c r="Z245" s="7">
        <v>115</v>
      </c>
      <c r="AA245" s="7">
        <v>111.2</v>
      </c>
      <c r="AB245" s="7">
        <v>3.8</v>
      </c>
      <c r="AC245" s="7">
        <v>15</v>
      </c>
      <c r="AD245" s="7">
        <v>1.84</v>
      </c>
      <c r="AE245" s="7">
        <v>24.9</v>
      </c>
      <c r="AF245" s="7">
        <v>6.3</v>
      </c>
      <c r="AG245" s="7">
        <v>12</v>
      </c>
      <c r="AH245" s="7">
        <v>9.1</v>
      </c>
      <c r="AI245" s="7">
        <v>13.5</v>
      </c>
      <c r="AJ245" s="7">
        <v>56.4</v>
      </c>
      <c r="AK245" s="7">
        <v>59.1</v>
      </c>
      <c r="AL245" s="7">
        <v>14</v>
      </c>
      <c r="AM245" s="7">
        <v>103.86</v>
      </c>
      <c r="AN245" s="7">
        <v>8.1</v>
      </c>
      <c r="AO245" s="7">
        <v>2926</v>
      </c>
    </row>
    <row r="246" spans="1:41">
      <c r="A246" s="6" t="s">
        <v>531</v>
      </c>
      <c r="B246" s="6" t="s">
        <v>140</v>
      </c>
      <c r="C246" s="41">
        <f t="shared" si="7"/>
        <v>0.55593652037617558</v>
      </c>
      <c r="D246" s="42">
        <f t="shared" si="6"/>
        <v>1.2061855670103092</v>
      </c>
      <c r="E246" s="31">
        <v>454</v>
      </c>
      <c r="F246" s="24">
        <v>168</v>
      </c>
      <c r="G246" s="24">
        <v>352</v>
      </c>
      <c r="H246" s="8">
        <v>47.7</v>
      </c>
      <c r="I246" s="9">
        <v>107</v>
      </c>
      <c r="J246" s="8">
        <v>30.5</v>
      </c>
      <c r="K246" s="8">
        <v>87</v>
      </c>
      <c r="L246" s="25">
        <v>128</v>
      </c>
      <c r="M246" s="8">
        <v>66.400000000000006</v>
      </c>
      <c r="N246" s="9">
        <v>87</v>
      </c>
      <c r="O246" s="9">
        <v>311</v>
      </c>
      <c r="P246" s="9">
        <v>398</v>
      </c>
      <c r="Q246" s="24">
        <v>117</v>
      </c>
      <c r="R246" s="24">
        <v>97</v>
      </c>
      <c r="S246" s="9">
        <v>41</v>
      </c>
      <c r="T246" s="9">
        <v>36</v>
      </c>
      <c r="U246" s="9">
        <v>128</v>
      </c>
      <c r="V246" s="8">
        <v>1229</v>
      </c>
      <c r="W246" s="8">
        <v>10</v>
      </c>
      <c r="X246" s="8">
        <v>0</v>
      </c>
      <c r="Y246" s="7">
        <v>-3.6</v>
      </c>
      <c r="Z246" s="7">
        <v>106.1</v>
      </c>
      <c r="AA246" s="7">
        <v>115.1</v>
      </c>
      <c r="AB246" s="7">
        <v>-9</v>
      </c>
      <c r="AC246" s="7">
        <v>16.7</v>
      </c>
      <c r="AD246" s="7">
        <v>1.19</v>
      </c>
      <c r="AE246" s="7">
        <v>18.600000000000001</v>
      </c>
      <c r="AF246" s="7">
        <v>7.7</v>
      </c>
      <c r="AG246" s="7">
        <v>28.5</v>
      </c>
      <c r="AH246" s="7">
        <v>18.100000000000001</v>
      </c>
      <c r="AI246" s="7">
        <v>15.7</v>
      </c>
      <c r="AJ246" s="7">
        <v>52.3</v>
      </c>
      <c r="AK246" s="7">
        <v>55.5</v>
      </c>
      <c r="AL246" s="7">
        <v>20.2</v>
      </c>
      <c r="AM246" s="7">
        <v>99.79</v>
      </c>
      <c r="AN246" s="7">
        <v>11.6</v>
      </c>
      <c r="AO246" s="7">
        <v>2216</v>
      </c>
    </row>
    <row r="247" spans="1:41">
      <c r="A247" s="6" t="s">
        <v>533</v>
      </c>
      <c r="B247" s="6" t="s">
        <v>116</v>
      </c>
      <c r="C247" s="41">
        <f t="shared" si="7"/>
        <v>0.5804396959112389</v>
      </c>
      <c r="D247" s="42">
        <f t="shared" si="6"/>
        <v>1.3650793650793651</v>
      </c>
      <c r="E247" s="31">
        <v>452</v>
      </c>
      <c r="F247" s="24">
        <v>141</v>
      </c>
      <c r="G247" s="24">
        <v>315</v>
      </c>
      <c r="H247" s="8">
        <v>44.4</v>
      </c>
      <c r="I247" s="9">
        <v>78</v>
      </c>
      <c r="J247" s="8">
        <v>29.9</v>
      </c>
      <c r="K247" s="8">
        <v>148</v>
      </c>
      <c r="L247" s="25">
        <v>169</v>
      </c>
      <c r="M247" s="8">
        <v>88.2</v>
      </c>
      <c r="N247" s="9">
        <v>36</v>
      </c>
      <c r="O247" s="9">
        <v>120</v>
      </c>
      <c r="P247" s="9">
        <v>156</v>
      </c>
      <c r="Q247" s="24">
        <v>86</v>
      </c>
      <c r="R247" s="24">
        <v>63</v>
      </c>
      <c r="S247" s="9">
        <v>13</v>
      </c>
      <c r="T247" s="9">
        <v>17</v>
      </c>
      <c r="U247" s="9">
        <v>42</v>
      </c>
      <c r="V247" s="8">
        <v>800</v>
      </c>
      <c r="W247" s="8">
        <v>7</v>
      </c>
      <c r="X247" s="8">
        <v>1</v>
      </c>
      <c r="Y247" s="7">
        <v>-3</v>
      </c>
      <c r="Z247" s="7">
        <v>104</v>
      </c>
      <c r="AA247" s="7">
        <v>109.5</v>
      </c>
      <c r="AB247" s="7">
        <v>-5.5</v>
      </c>
      <c r="AC247" s="7">
        <v>28.6</v>
      </c>
      <c r="AD247" s="7">
        <v>1.37</v>
      </c>
      <c r="AE247" s="7">
        <v>15.8</v>
      </c>
      <c r="AF247" s="7">
        <v>6.2</v>
      </c>
      <c r="AG247" s="7">
        <v>20.7</v>
      </c>
      <c r="AH247" s="7">
        <v>13.4</v>
      </c>
      <c r="AI247" s="7">
        <v>11.5</v>
      </c>
      <c r="AJ247" s="7">
        <v>48.1</v>
      </c>
      <c r="AK247" s="7">
        <v>58</v>
      </c>
      <c r="AL247" s="7">
        <v>34.200000000000003</v>
      </c>
      <c r="AM247" s="7">
        <v>99.95</v>
      </c>
      <c r="AN247" s="7">
        <v>16.899999999999999</v>
      </c>
      <c r="AO247" s="7">
        <v>1200</v>
      </c>
    </row>
    <row r="248" spans="1:41">
      <c r="A248" s="6" t="s">
        <v>535</v>
      </c>
      <c r="B248" s="6" t="s">
        <v>196</v>
      </c>
      <c r="C248" s="41">
        <f t="shared" si="7"/>
        <v>0.5527922781443908</v>
      </c>
      <c r="D248" s="42">
        <f t="shared" si="6"/>
        <v>1.3571428571428572</v>
      </c>
      <c r="E248" s="31">
        <v>449</v>
      </c>
      <c r="F248" s="24">
        <v>163</v>
      </c>
      <c r="G248" s="24">
        <v>352</v>
      </c>
      <c r="H248" s="8">
        <v>46.9</v>
      </c>
      <c r="I248" s="9">
        <v>88</v>
      </c>
      <c r="J248" s="8">
        <v>33</v>
      </c>
      <c r="K248" s="8">
        <v>92</v>
      </c>
      <c r="L248" s="25">
        <v>123</v>
      </c>
      <c r="M248" s="8">
        <v>76.2</v>
      </c>
      <c r="N248" s="9">
        <v>35</v>
      </c>
      <c r="O248" s="9">
        <v>123</v>
      </c>
      <c r="P248" s="9">
        <v>158</v>
      </c>
      <c r="Q248" s="24">
        <v>114</v>
      </c>
      <c r="R248" s="24">
        <v>84</v>
      </c>
      <c r="S248" s="9">
        <v>26</v>
      </c>
      <c r="T248" s="9">
        <v>13</v>
      </c>
      <c r="U248" s="9">
        <v>97</v>
      </c>
      <c r="V248" s="8">
        <v>849</v>
      </c>
      <c r="W248" s="8">
        <v>1</v>
      </c>
      <c r="X248" s="8">
        <v>0</v>
      </c>
      <c r="Y248" s="7">
        <v>-1.5</v>
      </c>
      <c r="Z248" s="7">
        <v>105.1</v>
      </c>
      <c r="AA248" s="7">
        <v>109.4</v>
      </c>
      <c r="AB248" s="7">
        <v>-4.4000000000000004</v>
      </c>
      <c r="AC248" s="7">
        <v>21.1</v>
      </c>
      <c r="AD248" s="7">
        <v>1.39</v>
      </c>
      <c r="AE248" s="7">
        <v>19.100000000000001</v>
      </c>
      <c r="AF248" s="7">
        <v>3.8</v>
      </c>
      <c r="AG248" s="7">
        <v>13.2</v>
      </c>
      <c r="AH248" s="7">
        <v>8.4</v>
      </c>
      <c r="AI248" s="7">
        <v>13.8</v>
      </c>
      <c r="AJ248" s="7">
        <v>51</v>
      </c>
      <c r="AK248" s="7">
        <v>55.7</v>
      </c>
      <c r="AL248" s="7">
        <v>22.6</v>
      </c>
      <c r="AM248" s="7">
        <v>97.8</v>
      </c>
      <c r="AN248" s="7">
        <v>10.1</v>
      </c>
      <c r="AO248" s="7">
        <v>1867</v>
      </c>
    </row>
    <row r="249" spans="1:41">
      <c r="A249" s="6" t="s">
        <v>537</v>
      </c>
      <c r="B249" s="6" t="s">
        <v>164</v>
      </c>
      <c r="C249" s="41">
        <f t="shared" si="7"/>
        <v>0.53585067786900897</v>
      </c>
      <c r="D249" s="42">
        <f t="shared" si="6"/>
        <v>1.84</v>
      </c>
      <c r="E249" s="31">
        <v>449</v>
      </c>
      <c r="F249" s="24">
        <v>168</v>
      </c>
      <c r="G249" s="24">
        <v>382</v>
      </c>
      <c r="H249" s="8">
        <v>43.6</v>
      </c>
      <c r="I249" s="9">
        <v>139</v>
      </c>
      <c r="J249" s="8">
        <v>35</v>
      </c>
      <c r="K249" s="8">
        <v>67</v>
      </c>
      <c r="L249" s="25">
        <v>84</v>
      </c>
      <c r="M249" s="8">
        <v>78.8</v>
      </c>
      <c r="N249" s="9">
        <v>29</v>
      </c>
      <c r="O249" s="9">
        <v>105</v>
      </c>
      <c r="P249" s="9">
        <v>134</v>
      </c>
      <c r="Q249" s="24">
        <v>92</v>
      </c>
      <c r="R249" s="24">
        <v>50</v>
      </c>
      <c r="S249" s="9">
        <v>55</v>
      </c>
      <c r="T249" s="9">
        <v>8</v>
      </c>
      <c r="U249" s="9">
        <v>71</v>
      </c>
      <c r="V249" s="8">
        <v>882</v>
      </c>
      <c r="W249" s="8">
        <v>0</v>
      </c>
      <c r="X249" s="8">
        <v>0</v>
      </c>
      <c r="Y249" s="7">
        <v>-3.3</v>
      </c>
      <c r="Z249" s="7">
        <v>108.6</v>
      </c>
      <c r="AA249" s="7">
        <v>114.8</v>
      </c>
      <c r="AB249" s="7">
        <v>-6.2</v>
      </c>
      <c r="AC249" s="7">
        <v>14</v>
      </c>
      <c r="AD249" s="7">
        <v>1.77</v>
      </c>
      <c r="AE249" s="7">
        <v>16.3</v>
      </c>
      <c r="AF249" s="7">
        <v>2.6</v>
      </c>
      <c r="AG249" s="7">
        <v>10.7</v>
      </c>
      <c r="AH249" s="7">
        <v>6.5</v>
      </c>
      <c r="AI249" s="7">
        <v>9.1999999999999993</v>
      </c>
      <c r="AJ249" s="7">
        <v>50</v>
      </c>
      <c r="AK249" s="7">
        <v>53.5</v>
      </c>
      <c r="AL249" s="7">
        <v>19.899999999999999</v>
      </c>
      <c r="AM249" s="7">
        <v>99.87</v>
      </c>
      <c r="AN249" s="7">
        <v>8.5</v>
      </c>
      <c r="AO249" s="7">
        <v>2060</v>
      </c>
    </row>
    <row r="250" spans="1:41">
      <c r="A250" s="6" t="s">
        <v>539</v>
      </c>
      <c r="B250" s="6" t="s">
        <v>66</v>
      </c>
      <c r="C250" s="41">
        <f t="shared" si="7"/>
        <v>0.54820277397929285</v>
      </c>
      <c r="D250" s="42">
        <f t="shared" si="6"/>
        <v>2.024390243902439</v>
      </c>
      <c r="E250" s="31">
        <v>449</v>
      </c>
      <c r="F250" s="24">
        <v>159</v>
      </c>
      <c r="G250" s="24">
        <v>373</v>
      </c>
      <c r="H250" s="8">
        <v>42</v>
      </c>
      <c r="I250" s="9">
        <v>235</v>
      </c>
      <c r="J250" s="8">
        <v>34</v>
      </c>
      <c r="K250" s="8">
        <v>55</v>
      </c>
      <c r="L250" s="25">
        <v>83</v>
      </c>
      <c r="M250" s="8">
        <v>70</v>
      </c>
      <c r="N250" s="9">
        <v>83</v>
      </c>
      <c r="O250" s="9">
        <v>235</v>
      </c>
      <c r="P250" s="9">
        <v>317</v>
      </c>
      <c r="Q250" s="24">
        <v>83</v>
      </c>
      <c r="R250" s="24">
        <v>41</v>
      </c>
      <c r="S250" s="9">
        <v>41</v>
      </c>
      <c r="T250" s="9">
        <v>21</v>
      </c>
      <c r="U250" s="9">
        <v>83</v>
      </c>
      <c r="V250" s="8">
        <v>1104</v>
      </c>
      <c r="W250" s="8">
        <v>1</v>
      </c>
      <c r="X250" s="8">
        <v>0</v>
      </c>
      <c r="Y250" s="7">
        <v>-1</v>
      </c>
      <c r="Z250" s="7">
        <v>111.8</v>
      </c>
      <c r="AA250" s="7">
        <v>113.8</v>
      </c>
      <c r="AB250" s="7">
        <v>-2</v>
      </c>
      <c r="AC250" s="7">
        <v>8.4</v>
      </c>
      <c r="AD250" s="7">
        <v>2.1</v>
      </c>
      <c r="AE250" s="7">
        <v>15.4</v>
      </c>
      <c r="AF250" s="7">
        <v>5.6</v>
      </c>
      <c r="AG250" s="7">
        <v>17.7</v>
      </c>
      <c r="AH250" s="7">
        <v>11.4</v>
      </c>
      <c r="AI250" s="7">
        <v>7.3</v>
      </c>
      <c r="AJ250" s="7">
        <v>52.8</v>
      </c>
      <c r="AK250" s="7">
        <v>55.1</v>
      </c>
      <c r="AL250" s="7">
        <v>13.9</v>
      </c>
      <c r="AM250" s="7">
        <v>100.04</v>
      </c>
      <c r="AN250" s="7">
        <v>8.6999999999999993</v>
      </c>
      <c r="AO250" s="7">
        <v>2807</v>
      </c>
    </row>
    <row r="251" spans="1:41">
      <c r="A251" s="6" t="s">
        <v>541</v>
      </c>
      <c r="B251" s="6" t="s">
        <v>146</v>
      </c>
      <c r="C251" s="41">
        <f t="shared" si="7"/>
        <v>0.51793659621802002</v>
      </c>
      <c r="D251" s="42">
        <f t="shared" si="6"/>
        <v>1.5961538461538463</v>
      </c>
      <c r="E251" s="31">
        <v>447</v>
      </c>
      <c r="F251" s="24">
        <v>161</v>
      </c>
      <c r="G251" s="24">
        <v>395</v>
      </c>
      <c r="H251" s="8">
        <v>40.5</v>
      </c>
      <c r="I251" s="9">
        <v>187</v>
      </c>
      <c r="J251" s="8">
        <v>34.9</v>
      </c>
      <c r="K251" s="8">
        <v>68</v>
      </c>
      <c r="L251" s="25">
        <v>83</v>
      </c>
      <c r="M251" s="8">
        <v>79.5</v>
      </c>
      <c r="N251" s="9">
        <v>57</v>
      </c>
      <c r="O251" s="9">
        <v>99</v>
      </c>
      <c r="P251" s="9">
        <v>161</v>
      </c>
      <c r="Q251" s="24">
        <v>83</v>
      </c>
      <c r="R251" s="24">
        <v>52</v>
      </c>
      <c r="S251" s="9">
        <v>42</v>
      </c>
      <c r="T251" s="9">
        <v>10</v>
      </c>
      <c r="U251" s="9">
        <v>94</v>
      </c>
      <c r="V251" s="8">
        <v>874</v>
      </c>
      <c r="W251" s="8">
        <v>1</v>
      </c>
      <c r="X251" s="8">
        <v>0</v>
      </c>
      <c r="Y251" s="7">
        <v>-1.6</v>
      </c>
      <c r="Z251" s="7">
        <v>108.6</v>
      </c>
      <c r="AA251" s="7">
        <v>111.1</v>
      </c>
      <c r="AB251" s="7">
        <v>-2.4</v>
      </c>
      <c r="AC251" s="7">
        <v>10.5</v>
      </c>
      <c r="AD251" s="7">
        <v>1.62</v>
      </c>
      <c r="AE251" s="7">
        <v>14.5</v>
      </c>
      <c r="AF251" s="7">
        <v>4.9000000000000004</v>
      </c>
      <c r="AG251" s="7">
        <v>9.1999999999999993</v>
      </c>
      <c r="AH251" s="7">
        <v>7</v>
      </c>
      <c r="AI251" s="7">
        <v>8.9</v>
      </c>
      <c r="AJ251" s="7">
        <v>48.7</v>
      </c>
      <c r="AK251" s="7">
        <v>52.3</v>
      </c>
      <c r="AL251" s="7">
        <v>17.899999999999999</v>
      </c>
      <c r="AM251" s="7">
        <v>101.29</v>
      </c>
      <c r="AN251" s="7">
        <v>6.8</v>
      </c>
      <c r="AO251" s="7">
        <v>2316</v>
      </c>
    </row>
    <row r="252" spans="1:41">
      <c r="A252" s="6" t="s">
        <v>543</v>
      </c>
      <c r="B252" s="6" t="s">
        <v>116</v>
      </c>
      <c r="C252" s="41">
        <f t="shared" si="7"/>
        <v>0.55868733642037449</v>
      </c>
      <c r="D252" s="42">
        <f t="shared" si="6"/>
        <v>1.4583333333333333</v>
      </c>
      <c r="E252" s="31">
        <v>444</v>
      </c>
      <c r="F252" s="24">
        <v>172</v>
      </c>
      <c r="G252" s="24">
        <v>378</v>
      </c>
      <c r="H252" s="8">
        <v>45.5</v>
      </c>
      <c r="I252" s="9">
        <v>189</v>
      </c>
      <c r="J252" s="8">
        <v>36.299999999999997</v>
      </c>
      <c r="K252" s="8">
        <v>31</v>
      </c>
      <c r="L252" s="25">
        <v>44</v>
      </c>
      <c r="M252" s="8">
        <v>69.599999999999994</v>
      </c>
      <c r="N252" s="9">
        <v>44</v>
      </c>
      <c r="O252" s="9">
        <v>101</v>
      </c>
      <c r="P252" s="9">
        <v>150</v>
      </c>
      <c r="Q252" s="24">
        <v>70</v>
      </c>
      <c r="R252" s="24">
        <v>48</v>
      </c>
      <c r="S252" s="9">
        <v>44</v>
      </c>
      <c r="T252" s="9">
        <v>18</v>
      </c>
      <c r="U252" s="9">
        <v>97</v>
      </c>
      <c r="V252" s="8">
        <v>858</v>
      </c>
      <c r="W252" s="8">
        <v>1</v>
      </c>
      <c r="X252" s="8">
        <v>0</v>
      </c>
      <c r="Y252" s="7">
        <v>-6.4</v>
      </c>
      <c r="Z252" s="7">
        <v>111.6</v>
      </c>
      <c r="AA252" s="7">
        <v>123.2</v>
      </c>
      <c r="AB252" s="7">
        <v>-11.6</v>
      </c>
      <c r="AC252" s="7">
        <v>8.4</v>
      </c>
      <c r="AD252" s="7">
        <v>1.41</v>
      </c>
      <c r="AE252" s="7">
        <v>13.3</v>
      </c>
      <c r="AF252" s="7">
        <v>3.8</v>
      </c>
      <c r="AG252" s="7">
        <v>9.4</v>
      </c>
      <c r="AH252" s="7">
        <v>6.5</v>
      </c>
      <c r="AI252" s="7">
        <v>9.5</v>
      </c>
      <c r="AJ252" s="7">
        <v>54.6</v>
      </c>
      <c r="AK252" s="7">
        <v>55.9</v>
      </c>
      <c r="AL252" s="7">
        <v>16.5</v>
      </c>
      <c r="AM252" s="7">
        <v>99.43</v>
      </c>
      <c r="AN252" s="7">
        <v>6.2</v>
      </c>
      <c r="AO252" s="7">
        <v>2391</v>
      </c>
    </row>
    <row r="253" spans="1:41">
      <c r="A253" s="6" t="s">
        <v>545</v>
      </c>
      <c r="B253" s="6" t="s">
        <v>60</v>
      </c>
      <c r="C253" s="41">
        <f t="shared" si="7"/>
        <v>0.53824844479004663</v>
      </c>
      <c r="D253" s="42">
        <f t="shared" si="6"/>
        <v>1.2830188679245282</v>
      </c>
      <c r="E253" s="31">
        <v>443</v>
      </c>
      <c r="F253" s="24">
        <v>150</v>
      </c>
      <c r="G253" s="24">
        <v>375</v>
      </c>
      <c r="H253" s="8">
        <v>40.200000000000003</v>
      </c>
      <c r="I253" s="9">
        <v>225</v>
      </c>
      <c r="J253" s="8">
        <v>33.5</v>
      </c>
      <c r="K253" s="8">
        <v>68</v>
      </c>
      <c r="L253" s="25">
        <v>83</v>
      </c>
      <c r="M253" s="8">
        <v>83.3</v>
      </c>
      <c r="N253" s="9">
        <v>53</v>
      </c>
      <c r="O253" s="9">
        <v>165</v>
      </c>
      <c r="P253" s="9">
        <v>218</v>
      </c>
      <c r="Q253" s="24">
        <v>68</v>
      </c>
      <c r="R253" s="24">
        <v>53</v>
      </c>
      <c r="S253" s="9">
        <v>30</v>
      </c>
      <c r="T253" s="9">
        <v>15</v>
      </c>
      <c r="U253" s="9">
        <v>98</v>
      </c>
      <c r="V253" s="8">
        <v>878</v>
      </c>
      <c r="W253" s="8">
        <v>0</v>
      </c>
      <c r="X253" s="8">
        <v>0</v>
      </c>
      <c r="Y253" s="7">
        <v>0.2</v>
      </c>
      <c r="Z253" s="7">
        <v>110.7</v>
      </c>
      <c r="AA253" s="7">
        <v>109.5</v>
      </c>
      <c r="AB253" s="7">
        <v>1.2</v>
      </c>
      <c r="AC253" s="7">
        <v>7.1</v>
      </c>
      <c r="AD253" s="7">
        <v>1.23</v>
      </c>
      <c r="AE253" s="7">
        <v>12.3</v>
      </c>
      <c r="AF253" s="7">
        <v>4</v>
      </c>
      <c r="AG253" s="7">
        <v>12.7</v>
      </c>
      <c r="AH253" s="7">
        <v>8.3000000000000007</v>
      </c>
      <c r="AI253" s="7">
        <v>10.1</v>
      </c>
      <c r="AJ253" s="7">
        <v>50.4</v>
      </c>
      <c r="AK253" s="7">
        <v>54.4</v>
      </c>
      <c r="AL253" s="7">
        <v>15.2</v>
      </c>
      <c r="AM253" s="7">
        <v>103.26</v>
      </c>
      <c r="AN253" s="7">
        <v>6.8</v>
      </c>
      <c r="AO253" s="7">
        <v>2653</v>
      </c>
    </row>
    <row r="254" spans="1:41">
      <c r="A254" s="6" t="s">
        <v>547</v>
      </c>
      <c r="B254" s="6" t="s">
        <v>140</v>
      </c>
      <c r="C254" s="41">
        <f t="shared" si="7"/>
        <v>0.61724946933303537</v>
      </c>
      <c r="D254" s="42">
        <f t="shared" si="6"/>
        <v>1.7941176470588236</v>
      </c>
      <c r="E254" s="31">
        <v>442</v>
      </c>
      <c r="F254" s="24">
        <v>163</v>
      </c>
      <c r="G254" s="24">
        <v>340</v>
      </c>
      <c r="H254" s="8">
        <v>47.8</v>
      </c>
      <c r="I254" s="9">
        <v>184</v>
      </c>
      <c r="J254" s="8">
        <v>45.6</v>
      </c>
      <c r="K254" s="8">
        <v>34</v>
      </c>
      <c r="L254" s="25">
        <v>41</v>
      </c>
      <c r="M254" s="8">
        <v>84.6</v>
      </c>
      <c r="N254" s="9">
        <v>27</v>
      </c>
      <c r="O254" s="9">
        <v>88</v>
      </c>
      <c r="P254" s="9">
        <v>116</v>
      </c>
      <c r="Q254" s="24">
        <v>61</v>
      </c>
      <c r="R254" s="24">
        <v>34</v>
      </c>
      <c r="S254" s="9">
        <v>27</v>
      </c>
      <c r="T254" s="9">
        <v>7</v>
      </c>
      <c r="U254" s="9">
        <v>61</v>
      </c>
      <c r="V254" s="8">
        <v>741</v>
      </c>
      <c r="W254" s="8">
        <v>0</v>
      </c>
      <c r="X254" s="8">
        <v>0</v>
      </c>
      <c r="Y254" s="7">
        <v>-2.5</v>
      </c>
      <c r="Z254" s="7">
        <v>106.2</v>
      </c>
      <c r="AA254" s="7">
        <v>114.1</v>
      </c>
      <c r="AB254" s="7">
        <v>-8</v>
      </c>
      <c r="AC254" s="7">
        <v>8.6999999999999993</v>
      </c>
      <c r="AD254" s="7">
        <v>1.88</v>
      </c>
      <c r="AE254" s="7">
        <v>13.4</v>
      </c>
      <c r="AF254" s="7">
        <v>2</v>
      </c>
      <c r="AG254" s="7">
        <v>8.1</v>
      </c>
      <c r="AH254" s="7">
        <v>4.9000000000000004</v>
      </c>
      <c r="AI254" s="7">
        <v>7.1</v>
      </c>
      <c r="AJ254" s="7">
        <v>59.9</v>
      </c>
      <c r="AK254" s="7">
        <v>61.6</v>
      </c>
      <c r="AL254" s="7">
        <v>15.1</v>
      </c>
      <c r="AM254" s="7">
        <v>99.1</v>
      </c>
      <c r="AN254" s="7">
        <v>8.3000000000000007</v>
      </c>
      <c r="AO254" s="7">
        <v>2194</v>
      </c>
    </row>
    <row r="255" spans="1:41">
      <c r="A255" s="6" t="s">
        <v>549</v>
      </c>
      <c r="B255" s="6" t="s">
        <v>82</v>
      </c>
      <c r="C255" s="41">
        <f t="shared" si="7"/>
        <v>0.66462167689161555</v>
      </c>
      <c r="D255" s="42">
        <f t="shared" si="6"/>
        <v>1.1875</v>
      </c>
      <c r="E255" s="31">
        <v>442</v>
      </c>
      <c r="F255" s="24">
        <v>160</v>
      </c>
      <c r="G255" s="24">
        <v>307</v>
      </c>
      <c r="H255" s="8">
        <v>51.5</v>
      </c>
      <c r="I255" s="9">
        <v>198</v>
      </c>
      <c r="J255" s="8">
        <v>40.5</v>
      </c>
      <c r="K255" s="8">
        <v>45</v>
      </c>
      <c r="L255" s="25">
        <v>58</v>
      </c>
      <c r="M255" s="8">
        <v>78.599999999999994</v>
      </c>
      <c r="N255" s="9">
        <v>32</v>
      </c>
      <c r="O255" s="9">
        <v>96</v>
      </c>
      <c r="P255" s="9">
        <v>128</v>
      </c>
      <c r="Q255" s="24">
        <v>38</v>
      </c>
      <c r="R255" s="24">
        <v>32</v>
      </c>
      <c r="S255" s="9">
        <v>19</v>
      </c>
      <c r="T255" s="9">
        <v>58</v>
      </c>
      <c r="U255" s="9">
        <v>77</v>
      </c>
      <c r="V255" s="8">
        <v>832</v>
      </c>
      <c r="W255" s="8">
        <v>0</v>
      </c>
      <c r="X255" s="8">
        <v>0</v>
      </c>
      <c r="Y255" s="7">
        <v>0.4</v>
      </c>
      <c r="Z255" s="7">
        <v>111</v>
      </c>
      <c r="AA255" s="7">
        <v>110.1</v>
      </c>
      <c r="AB255" s="7">
        <v>0.8</v>
      </c>
      <c r="AC255" s="7">
        <v>7.7</v>
      </c>
      <c r="AD255" s="7">
        <v>1.1200000000000001</v>
      </c>
      <c r="AE255" s="7">
        <v>9.4</v>
      </c>
      <c r="AF255" s="7">
        <v>3.9</v>
      </c>
      <c r="AG255" s="7">
        <v>12</v>
      </c>
      <c r="AH255" s="7">
        <v>8.1</v>
      </c>
      <c r="AI255" s="7">
        <v>8.4</v>
      </c>
      <c r="AJ255" s="7">
        <v>64.8</v>
      </c>
      <c r="AK255" s="7">
        <v>66.599999999999994</v>
      </c>
      <c r="AL255" s="7">
        <v>19.399999999999999</v>
      </c>
      <c r="AM255" s="7">
        <v>106.71</v>
      </c>
      <c r="AN255" s="7">
        <v>10.8</v>
      </c>
      <c r="AO255" s="7">
        <v>1668</v>
      </c>
    </row>
    <row r="256" spans="1:41">
      <c r="A256" s="6" t="s">
        <v>551</v>
      </c>
      <c r="B256" s="6" t="s">
        <v>114</v>
      </c>
      <c r="C256" s="41">
        <f t="shared" si="7"/>
        <v>0.58760683760683763</v>
      </c>
      <c r="D256" s="42">
        <f t="shared" si="6"/>
        <v>2.7142857142857144</v>
      </c>
      <c r="E256" s="31">
        <v>440</v>
      </c>
      <c r="F256" s="24">
        <v>159</v>
      </c>
      <c r="G256" s="24">
        <v>337</v>
      </c>
      <c r="H256" s="8">
        <v>47.5</v>
      </c>
      <c r="I256" s="9">
        <v>133</v>
      </c>
      <c r="J256" s="8">
        <v>36.1</v>
      </c>
      <c r="K256" s="8">
        <v>70</v>
      </c>
      <c r="L256" s="25">
        <v>85</v>
      </c>
      <c r="M256" s="8">
        <v>85.7</v>
      </c>
      <c r="N256" s="9">
        <v>15</v>
      </c>
      <c r="O256" s="9">
        <v>126</v>
      </c>
      <c r="P256" s="9">
        <v>137</v>
      </c>
      <c r="Q256" s="24">
        <v>152</v>
      </c>
      <c r="R256" s="24">
        <v>56</v>
      </c>
      <c r="S256" s="9">
        <v>33</v>
      </c>
      <c r="T256" s="9">
        <v>7</v>
      </c>
      <c r="U256" s="9">
        <v>74</v>
      </c>
      <c r="V256" s="8">
        <v>903</v>
      </c>
      <c r="W256" s="8">
        <v>0</v>
      </c>
      <c r="X256" s="8">
        <v>0</v>
      </c>
      <c r="Y256" s="7">
        <v>1.1000000000000001</v>
      </c>
      <c r="Z256" s="7">
        <v>114.1</v>
      </c>
      <c r="AA256" s="7">
        <v>112.6</v>
      </c>
      <c r="AB256" s="7">
        <v>1.5</v>
      </c>
      <c r="AC256" s="7">
        <v>25.1</v>
      </c>
      <c r="AD256" s="7">
        <v>2.68</v>
      </c>
      <c r="AE256" s="7">
        <v>26</v>
      </c>
      <c r="AF256" s="7">
        <v>1.5</v>
      </c>
      <c r="AG256" s="7">
        <v>13.2</v>
      </c>
      <c r="AH256" s="7">
        <v>7.6</v>
      </c>
      <c r="AI256" s="7">
        <v>9.6999999999999993</v>
      </c>
      <c r="AJ256" s="7">
        <v>54.6</v>
      </c>
      <c r="AK256" s="7">
        <v>58.8</v>
      </c>
      <c r="AL256" s="7">
        <v>20.8</v>
      </c>
      <c r="AM256" s="7">
        <v>104.75</v>
      </c>
      <c r="AN256" s="7">
        <v>11.4</v>
      </c>
      <c r="AO256" s="7">
        <v>1845</v>
      </c>
    </row>
    <row r="257" spans="1:41">
      <c r="A257" s="6" t="s">
        <v>553</v>
      </c>
      <c r="B257" s="6" t="s">
        <v>52</v>
      </c>
      <c r="C257" s="41">
        <f t="shared" si="7"/>
        <v>0.68695106649937265</v>
      </c>
      <c r="D257" s="42">
        <f t="shared" si="6"/>
        <v>4.0344827586206895</v>
      </c>
      <c r="E257" s="31">
        <v>438</v>
      </c>
      <c r="F257" s="24">
        <v>190</v>
      </c>
      <c r="G257" s="24">
        <v>277</v>
      </c>
      <c r="H257" s="8">
        <v>66.8</v>
      </c>
      <c r="I257" s="8">
        <v>0</v>
      </c>
      <c r="J257" s="8">
        <v>0</v>
      </c>
      <c r="K257" s="8">
        <v>66</v>
      </c>
      <c r="L257" s="25">
        <v>95</v>
      </c>
      <c r="M257" s="8">
        <v>69.099999999999994</v>
      </c>
      <c r="N257" s="9">
        <v>190</v>
      </c>
      <c r="O257" s="9">
        <v>197</v>
      </c>
      <c r="P257" s="9">
        <v>387</v>
      </c>
      <c r="Q257" s="24">
        <v>117</v>
      </c>
      <c r="R257" s="24">
        <v>29</v>
      </c>
      <c r="S257" s="9">
        <v>37</v>
      </c>
      <c r="T257" s="9">
        <v>73</v>
      </c>
      <c r="U257" s="9">
        <v>117</v>
      </c>
      <c r="V257" s="8">
        <v>1372</v>
      </c>
      <c r="W257" s="8">
        <v>3</v>
      </c>
      <c r="X257" s="8">
        <v>0</v>
      </c>
      <c r="Y257" s="7">
        <v>5.5</v>
      </c>
      <c r="Z257" s="7">
        <v>121.2</v>
      </c>
      <c r="AA257" s="7">
        <v>106.3</v>
      </c>
      <c r="AB257" s="7">
        <v>14.9</v>
      </c>
      <c r="AC257" s="7">
        <v>11.5</v>
      </c>
      <c r="AD257" s="7">
        <v>3.77</v>
      </c>
      <c r="AE257" s="7">
        <v>24.8</v>
      </c>
      <c r="AF257" s="7">
        <v>13.4</v>
      </c>
      <c r="AG257" s="7">
        <v>13.9</v>
      </c>
      <c r="AH257" s="7">
        <v>13.6</v>
      </c>
      <c r="AI257" s="7">
        <v>6.6</v>
      </c>
      <c r="AJ257" s="7">
        <v>66.8</v>
      </c>
      <c r="AK257" s="7">
        <v>68.3</v>
      </c>
      <c r="AL257" s="7">
        <v>11.1</v>
      </c>
      <c r="AM257" s="7">
        <v>95.87</v>
      </c>
      <c r="AN257" s="7">
        <v>11.4</v>
      </c>
      <c r="AO257" s="7">
        <v>2717</v>
      </c>
    </row>
    <row r="258" spans="1:41">
      <c r="A258" s="6" t="s">
        <v>555</v>
      </c>
      <c r="B258" s="6" t="s">
        <v>122</v>
      </c>
      <c r="C258" s="41">
        <f t="shared" si="7"/>
        <v>0.57056113902847572</v>
      </c>
      <c r="D258" s="42">
        <f t="shared" ref="D258:D321" si="8">IFERROR(Q258/R258,"NA")</f>
        <v>1</v>
      </c>
      <c r="E258" s="31">
        <v>436</v>
      </c>
      <c r="F258" s="24">
        <v>181</v>
      </c>
      <c r="G258" s="24">
        <v>335</v>
      </c>
      <c r="H258" s="8">
        <v>53.9</v>
      </c>
      <c r="I258" s="9">
        <v>47</v>
      </c>
      <c r="J258" s="8">
        <v>28.6</v>
      </c>
      <c r="K258" s="8">
        <v>60</v>
      </c>
      <c r="L258" s="25">
        <v>107</v>
      </c>
      <c r="M258" s="8">
        <v>59.6</v>
      </c>
      <c r="N258" s="9">
        <v>214</v>
      </c>
      <c r="O258" s="9">
        <v>308</v>
      </c>
      <c r="P258" s="9">
        <v>529</v>
      </c>
      <c r="Q258" s="24">
        <v>74</v>
      </c>
      <c r="R258" s="24">
        <v>74</v>
      </c>
      <c r="S258" s="9">
        <v>34</v>
      </c>
      <c r="T258" s="9">
        <v>107</v>
      </c>
      <c r="U258" s="9">
        <v>188</v>
      </c>
      <c r="V258" s="8">
        <v>1541</v>
      </c>
      <c r="W258" s="8">
        <v>8</v>
      </c>
      <c r="X258" s="8">
        <v>0</v>
      </c>
      <c r="Y258" s="7">
        <v>0</v>
      </c>
      <c r="Z258" s="7">
        <v>109.9</v>
      </c>
      <c r="AA258" s="7">
        <v>109.7</v>
      </c>
      <c r="AB258" s="7">
        <v>0.2</v>
      </c>
      <c r="AC258" s="7">
        <v>8.1</v>
      </c>
      <c r="AD258" s="7">
        <v>1.07</v>
      </c>
      <c r="AE258" s="7">
        <v>14.6</v>
      </c>
      <c r="AF258" s="7">
        <v>14.4</v>
      </c>
      <c r="AG258" s="7">
        <v>21.8</v>
      </c>
      <c r="AH258" s="7">
        <v>17.899999999999999</v>
      </c>
      <c r="AI258" s="7">
        <v>13.7</v>
      </c>
      <c r="AJ258" s="7">
        <v>56</v>
      </c>
      <c r="AK258" s="7">
        <v>57.4</v>
      </c>
      <c r="AL258" s="7">
        <v>13.5</v>
      </c>
      <c r="AM258" s="7">
        <v>101.68</v>
      </c>
      <c r="AN258" s="7">
        <v>10.5</v>
      </c>
      <c r="AO258" s="7">
        <v>2801</v>
      </c>
    </row>
    <row r="259" spans="1:41">
      <c r="A259" s="6" t="s">
        <v>557</v>
      </c>
      <c r="B259" s="6" t="s">
        <v>44</v>
      </c>
      <c r="C259" s="41">
        <f t="shared" ref="C259:C322" si="9">IFERROR((E259/(2*(G259+0.44*L259))),"NA")</f>
        <v>0.58777429467084641</v>
      </c>
      <c r="D259" s="42">
        <f t="shared" si="8"/>
        <v>2.3658536585365852</v>
      </c>
      <c r="E259" s="31">
        <v>435</v>
      </c>
      <c r="F259" s="24">
        <v>173</v>
      </c>
      <c r="G259" s="24">
        <v>352</v>
      </c>
      <c r="H259" s="8">
        <v>48.3</v>
      </c>
      <c r="I259" s="9">
        <v>173</v>
      </c>
      <c r="J259" s="8">
        <v>38.6</v>
      </c>
      <c r="K259" s="8">
        <v>28</v>
      </c>
      <c r="L259" s="25">
        <v>41</v>
      </c>
      <c r="M259" s="8">
        <v>71.8</v>
      </c>
      <c r="N259" s="9">
        <v>62</v>
      </c>
      <c r="O259" s="9">
        <v>179</v>
      </c>
      <c r="P259" s="9">
        <v>242</v>
      </c>
      <c r="Q259" s="24">
        <v>97</v>
      </c>
      <c r="R259" s="24">
        <v>41</v>
      </c>
      <c r="S259" s="9">
        <v>41</v>
      </c>
      <c r="T259" s="9">
        <v>7</v>
      </c>
      <c r="U259" s="9">
        <v>110</v>
      </c>
      <c r="V259" s="8">
        <v>994</v>
      </c>
      <c r="W259" s="8">
        <v>2</v>
      </c>
      <c r="X259" s="8">
        <v>0</v>
      </c>
      <c r="Y259" s="7">
        <v>4.8</v>
      </c>
      <c r="Z259" s="7">
        <v>118.7</v>
      </c>
      <c r="AA259" s="7">
        <v>104.1</v>
      </c>
      <c r="AB259" s="7">
        <v>14.5</v>
      </c>
      <c r="AC259" s="7">
        <v>11.1</v>
      </c>
      <c r="AD259" s="7">
        <v>2.4900000000000002</v>
      </c>
      <c r="AE259" s="7">
        <v>19.2</v>
      </c>
      <c r="AF259" s="7">
        <v>5.6</v>
      </c>
      <c r="AG259" s="7">
        <v>14.8</v>
      </c>
      <c r="AH259" s="7">
        <v>10.199999999999999</v>
      </c>
      <c r="AI259" s="7">
        <v>7.7</v>
      </c>
      <c r="AJ259" s="7">
        <v>57.6</v>
      </c>
      <c r="AK259" s="7">
        <v>58.7</v>
      </c>
      <c r="AL259" s="7">
        <v>15.1</v>
      </c>
      <c r="AM259" s="7">
        <v>101.26</v>
      </c>
      <c r="AN259" s="7">
        <v>9.3000000000000007</v>
      </c>
      <c r="AO259" s="7">
        <v>2379</v>
      </c>
    </row>
    <row r="260" spans="1:41">
      <c r="A260" s="6" t="s">
        <v>559</v>
      </c>
      <c r="B260" s="6" t="s">
        <v>60</v>
      </c>
      <c r="C260" s="41">
        <f t="shared" si="9"/>
        <v>0.60872505918160291</v>
      </c>
      <c r="D260" s="42">
        <f t="shared" si="8"/>
        <v>1.8769230769230769</v>
      </c>
      <c r="E260" s="31">
        <v>432</v>
      </c>
      <c r="F260" s="24">
        <v>173</v>
      </c>
      <c r="G260" s="24">
        <v>317</v>
      </c>
      <c r="H260" s="8">
        <v>55.9</v>
      </c>
      <c r="I260" s="9">
        <v>50</v>
      </c>
      <c r="J260" s="8">
        <v>32.1</v>
      </c>
      <c r="K260" s="8">
        <v>65</v>
      </c>
      <c r="L260" s="25">
        <v>86</v>
      </c>
      <c r="M260" s="8">
        <v>75.900000000000006</v>
      </c>
      <c r="N260" s="9">
        <v>130</v>
      </c>
      <c r="O260" s="9">
        <v>266</v>
      </c>
      <c r="P260" s="9">
        <v>396</v>
      </c>
      <c r="Q260" s="24">
        <v>122</v>
      </c>
      <c r="R260" s="24">
        <v>65</v>
      </c>
      <c r="S260" s="9">
        <v>29</v>
      </c>
      <c r="T260" s="9">
        <v>101</v>
      </c>
      <c r="U260" s="9">
        <v>180</v>
      </c>
      <c r="V260" s="8">
        <v>1418</v>
      </c>
      <c r="W260" s="8">
        <v>2</v>
      </c>
      <c r="X260" s="8">
        <v>0</v>
      </c>
      <c r="Y260" s="7">
        <v>0.1</v>
      </c>
      <c r="Z260" s="7">
        <v>109.1</v>
      </c>
      <c r="AA260" s="7">
        <v>108.6</v>
      </c>
      <c r="AB260" s="7">
        <v>0.5</v>
      </c>
      <c r="AC260" s="7">
        <v>12</v>
      </c>
      <c r="AD260" s="7">
        <v>1.81</v>
      </c>
      <c r="AE260" s="7">
        <v>22.7</v>
      </c>
      <c r="AF260" s="7">
        <v>8.6</v>
      </c>
      <c r="AG260" s="7">
        <v>17</v>
      </c>
      <c r="AH260" s="7">
        <v>12.9</v>
      </c>
      <c r="AI260" s="7">
        <v>12.5</v>
      </c>
      <c r="AJ260" s="7">
        <v>58.6</v>
      </c>
      <c r="AK260" s="7">
        <v>61.6</v>
      </c>
      <c r="AL260" s="7">
        <v>12.1</v>
      </c>
      <c r="AM260" s="7">
        <v>101.75</v>
      </c>
      <c r="AN260" s="7">
        <v>9.6</v>
      </c>
      <c r="AO260" s="7">
        <v>3036</v>
      </c>
    </row>
    <row r="261" spans="1:41">
      <c r="A261" s="6" t="s">
        <v>561</v>
      </c>
      <c r="B261" s="6" t="s">
        <v>84</v>
      </c>
      <c r="C261" s="41">
        <f t="shared" si="9"/>
        <v>0.60930576070901032</v>
      </c>
      <c r="D261" s="42">
        <f t="shared" si="8"/>
        <v>1.606060606060606</v>
      </c>
      <c r="E261" s="31">
        <v>429</v>
      </c>
      <c r="F261" s="24">
        <v>165</v>
      </c>
      <c r="G261" s="24">
        <v>323</v>
      </c>
      <c r="H261" s="8">
        <v>50.8</v>
      </c>
      <c r="I261" s="9">
        <v>145</v>
      </c>
      <c r="J261" s="8">
        <v>32.4</v>
      </c>
      <c r="K261" s="8">
        <v>53</v>
      </c>
      <c r="L261" s="25">
        <v>66</v>
      </c>
      <c r="M261" s="8">
        <v>85.9</v>
      </c>
      <c r="N261" s="9">
        <v>86</v>
      </c>
      <c r="O261" s="9">
        <v>165</v>
      </c>
      <c r="P261" s="9">
        <v>251</v>
      </c>
      <c r="Q261" s="24">
        <v>53</v>
      </c>
      <c r="R261" s="24">
        <v>33</v>
      </c>
      <c r="S261" s="9">
        <v>26</v>
      </c>
      <c r="T261" s="9">
        <v>40</v>
      </c>
      <c r="U261" s="9">
        <v>79</v>
      </c>
      <c r="V261" s="8">
        <v>990</v>
      </c>
      <c r="W261" s="8">
        <v>1</v>
      </c>
      <c r="X261" s="8">
        <v>0</v>
      </c>
      <c r="Y261" s="7">
        <v>-0.6</v>
      </c>
      <c r="Z261" s="7">
        <v>109.9</v>
      </c>
      <c r="AA261" s="7">
        <v>113.4</v>
      </c>
      <c r="AB261" s="7">
        <v>-3.5</v>
      </c>
      <c r="AC261" s="7">
        <v>7.8</v>
      </c>
      <c r="AD261" s="7">
        <v>1.77</v>
      </c>
      <c r="AE261" s="7">
        <v>12.4</v>
      </c>
      <c r="AF261" s="7">
        <v>8.5</v>
      </c>
      <c r="AG261" s="7">
        <v>16.899999999999999</v>
      </c>
      <c r="AH261" s="7">
        <v>12.8</v>
      </c>
      <c r="AI261" s="7">
        <v>7</v>
      </c>
      <c r="AJ261" s="7">
        <v>58.3</v>
      </c>
      <c r="AK261" s="7">
        <v>61.4</v>
      </c>
      <c r="AL261" s="7">
        <v>16.2</v>
      </c>
      <c r="AM261" s="7">
        <v>102.45</v>
      </c>
      <c r="AN261" s="7">
        <v>11</v>
      </c>
      <c r="AO261" s="7">
        <v>2071</v>
      </c>
    </row>
    <row r="262" spans="1:41">
      <c r="A262" s="6" t="s">
        <v>563</v>
      </c>
      <c r="B262" s="6" t="s">
        <v>196</v>
      </c>
      <c r="C262" s="41">
        <f t="shared" si="9"/>
        <v>0.51433762152607287</v>
      </c>
      <c r="D262" s="42">
        <f t="shared" si="8"/>
        <v>0.89130434782608692</v>
      </c>
      <c r="E262" s="31">
        <v>419</v>
      </c>
      <c r="F262" s="24">
        <v>133</v>
      </c>
      <c r="G262" s="24">
        <v>373</v>
      </c>
      <c r="H262" s="8">
        <v>35.799999999999997</v>
      </c>
      <c r="I262" s="9">
        <v>262</v>
      </c>
      <c r="J262" s="8">
        <v>33.299999999999997</v>
      </c>
      <c r="K262" s="8">
        <v>69</v>
      </c>
      <c r="L262" s="25">
        <v>78</v>
      </c>
      <c r="M262" s="8">
        <v>83.8</v>
      </c>
      <c r="N262" s="9">
        <v>41</v>
      </c>
      <c r="O262" s="9">
        <v>138</v>
      </c>
      <c r="P262" s="9">
        <v>179</v>
      </c>
      <c r="Q262" s="24">
        <v>41</v>
      </c>
      <c r="R262" s="24">
        <v>46</v>
      </c>
      <c r="S262" s="9">
        <v>23</v>
      </c>
      <c r="T262" s="9">
        <v>23</v>
      </c>
      <c r="U262" s="9">
        <v>106</v>
      </c>
      <c r="V262" s="8">
        <v>787</v>
      </c>
      <c r="W262" s="8">
        <v>0</v>
      </c>
      <c r="X262" s="8">
        <v>0</v>
      </c>
      <c r="Y262" s="7">
        <v>-5.7</v>
      </c>
      <c r="Z262" s="7">
        <v>103</v>
      </c>
      <c r="AA262" s="7">
        <v>115.2</v>
      </c>
      <c r="AB262" s="7">
        <v>-12.3</v>
      </c>
      <c r="AC262" s="7">
        <v>6.3</v>
      </c>
      <c r="AD262" s="7">
        <v>0.87</v>
      </c>
      <c r="AE262" s="7">
        <v>8.1</v>
      </c>
      <c r="AF262" s="7">
        <v>3.7</v>
      </c>
      <c r="AG262" s="7">
        <v>13.8</v>
      </c>
      <c r="AH262" s="7">
        <v>8.4</v>
      </c>
      <c r="AI262" s="7">
        <v>9.3000000000000007</v>
      </c>
      <c r="AJ262" s="7">
        <v>47.4</v>
      </c>
      <c r="AK262" s="7">
        <v>51.6</v>
      </c>
      <c r="AL262" s="7">
        <v>18.5</v>
      </c>
      <c r="AM262" s="7">
        <v>97.91</v>
      </c>
      <c r="AN262" s="7">
        <v>6.1</v>
      </c>
      <c r="AO262" s="7">
        <v>2126</v>
      </c>
    </row>
    <row r="263" spans="1:41">
      <c r="A263" s="6" t="s">
        <v>565</v>
      </c>
      <c r="B263" s="6" t="s">
        <v>146</v>
      </c>
      <c r="C263" s="41">
        <f t="shared" si="9"/>
        <v>0.58861541919532478</v>
      </c>
      <c r="D263" s="42">
        <f t="shared" si="8"/>
        <v>1.7666666666666666</v>
      </c>
      <c r="E263" s="31">
        <v>419</v>
      </c>
      <c r="F263" s="24">
        <v>148</v>
      </c>
      <c r="G263" s="24">
        <v>348</v>
      </c>
      <c r="H263" s="8">
        <v>42.9</v>
      </c>
      <c r="I263" s="9">
        <v>260</v>
      </c>
      <c r="J263" s="8">
        <v>40.5</v>
      </c>
      <c r="K263" s="8">
        <v>18</v>
      </c>
      <c r="L263" s="25">
        <v>18</v>
      </c>
      <c r="M263" s="8">
        <v>88.9</v>
      </c>
      <c r="N263" s="9">
        <v>35</v>
      </c>
      <c r="O263" s="9">
        <v>124</v>
      </c>
      <c r="P263" s="9">
        <v>159</v>
      </c>
      <c r="Q263" s="24">
        <v>53</v>
      </c>
      <c r="R263" s="24">
        <v>30</v>
      </c>
      <c r="S263" s="9">
        <v>18</v>
      </c>
      <c r="T263" s="9">
        <v>12</v>
      </c>
      <c r="U263" s="9">
        <v>94</v>
      </c>
      <c r="V263" s="8">
        <v>743</v>
      </c>
      <c r="W263" s="8">
        <v>0</v>
      </c>
      <c r="X263" s="8">
        <v>0</v>
      </c>
      <c r="Y263" s="7">
        <v>-3.1</v>
      </c>
      <c r="Z263" s="7">
        <v>105</v>
      </c>
      <c r="AA263" s="7">
        <v>113.4</v>
      </c>
      <c r="AB263" s="7">
        <v>-8.4</v>
      </c>
      <c r="AC263" s="7">
        <v>7.3</v>
      </c>
      <c r="AD263" s="7">
        <v>1.96</v>
      </c>
      <c r="AE263" s="7">
        <v>12.2</v>
      </c>
      <c r="AF263" s="7">
        <v>3.2</v>
      </c>
      <c r="AG263" s="7">
        <v>11.7</v>
      </c>
      <c r="AH263" s="7">
        <v>7.2</v>
      </c>
      <c r="AI263" s="7">
        <v>6.2</v>
      </c>
      <c r="AJ263" s="7">
        <v>58.1</v>
      </c>
      <c r="AK263" s="7">
        <v>59</v>
      </c>
      <c r="AL263" s="7">
        <v>14.7</v>
      </c>
      <c r="AM263" s="7">
        <v>102.32</v>
      </c>
      <c r="AN263" s="7">
        <v>7.2</v>
      </c>
      <c r="AO263" s="7">
        <v>2222</v>
      </c>
    </row>
    <row r="264" spans="1:41">
      <c r="A264" s="6" t="s">
        <v>567</v>
      </c>
      <c r="B264" s="6" t="s">
        <v>164</v>
      </c>
      <c r="C264" s="41">
        <f t="shared" si="9"/>
        <v>0.55716275581270758</v>
      </c>
      <c r="D264" s="42">
        <f t="shared" si="8"/>
        <v>1.6226415094339623</v>
      </c>
      <c r="E264" s="31">
        <v>416</v>
      </c>
      <c r="F264" s="24">
        <v>158</v>
      </c>
      <c r="G264" s="24">
        <v>350</v>
      </c>
      <c r="H264" s="8">
        <v>45.5</v>
      </c>
      <c r="I264" s="9">
        <v>165</v>
      </c>
      <c r="J264" s="8">
        <v>34.1</v>
      </c>
      <c r="K264" s="8">
        <v>46</v>
      </c>
      <c r="L264" s="25">
        <v>53</v>
      </c>
      <c r="M264" s="8">
        <v>83.6</v>
      </c>
      <c r="N264" s="9">
        <v>112</v>
      </c>
      <c r="O264" s="9">
        <v>205</v>
      </c>
      <c r="P264" s="9">
        <v>317</v>
      </c>
      <c r="Q264" s="24">
        <v>86</v>
      </c>
      <c r="R264" s="24">
        <v>53</v>
      </c>
      <c r="S264" s="9">
        <v>40</v>
      </c>
      <c r="T264" s="9">
        <v>7</v>
      </c>
      <c r="U264" s="9">
        <v>79</v>
      </c>
      <c r="V264" s="8">
        <v>1016</v>
      </c>
      <c r="W264" s="8">
        <v>4</v>
      </c>
      <c r="X264" s="8">
        <v>0</v>
      </c>
      <c r="Y264" s="7">
        <v>-5</v>
      </c>
      <c r="Z264" s="7">
        <v>107.2</v>
      </c>
      <c r="AA264" s="7">
        <v>119</v>
      </c>
      <c r="AB264" s="7">
        <v>-11.8</v>
      </c>
      <c r="AC264" s="7">
        <v>10.1</v>
      </c>
      <c r="AD264" s="7">
        <v>1.73</v>
      </c>
      <c r="AE264" s="7">
        <v>17.2</v>
      </c>
      <c r="AF264" s="7">
        <v>8.1999999999999993</v>
      </c>
      <c r="AG264" s="7">
        <v>16.600000000000001</v>
      </c>
      <c r="AH264" s="7">
        <v>12.2</v>
      </c>
      <c r="AI264" s="7">
        <v>10</v>
      </c>
      <c r="AJ264" s="7">
        <v>53.6</v>
      </c>
      <c r="AK264" s="7">
        <v>56.3</v>
      </c>
      <c r="AL264" s="7">
        <v>14</v>
      </c>
      <c r="AM264" s="7">
        <v>100.95</v>
      </c>
      <c r="AN264" s="7">
        <v>8.6999999999999993</v>
      </c>
      <c r="AO264" s="7">
        <v>2595</v>
      </c>
    </row>
    <row r="265" spans="1:41">
      <c r="A265" s="6" t="s">
        <v>569</v>
      </c>
      <c r="B265" s="6" t="s">
        <v>58</v>
      </c>
      <c r="C265" s="41">
        <f t="shared" si="9"/>
        <v>0.65865569978151906</v>
      </c>
      <c r="D265" s="42">
        <f t="shared" si="8"/>
        <v>2.9019607843137254</v>
      </c>
      <c r="E265" s="31">
        <v>410</v>
      </c>
      <c r="F265" s="24">
        <v>143</v>
      </c>
      <c r="G265" s="24">
        <v>291</v>
      </c>
      <c r="H265" s="8">
        <v>49.7</v>
      </c>
      <c r="I265" s="9">
        <v>205</v>
      </c>
      <c r="J265" s="8">
        <v>43.7</v>
      </c>
      <c r="K265" s="8">
        <v>34</v>
      </c>
      <c r="L265" s="25">
        <v>46</v>
      </c>
      <c r="M265" s="8">
        <v>71.099999999999994</v>
      </c>
      <c r="N265" s="9">
        <v>23</v>
      </c>
      <c r="O265" s="9">
        <v>137</v>
      </c>
      <c r="P265" s="9">
        <v>154</v>
      </c>
      <c r="Q265" s="24">
        <v>148</v>
      </c>
      <c r="R265" s="24">
        <v>51</v>
      </c>
      <c r="S265" s="9">
        <v>34</v>
      </c>
      <c r="T265" s="9">
        <v>29</v>
      </c>
      <c r="U265" s="9">
        <v>103</v>
      </c>
      <c r="V265" s="8">
        <v>958</v>
      </c>
      <c r="W265" s="8">
        <v>1</v>
      </c>
      <c r="X265" s="8">
        <v>0</v>
      </c>
      <c r="Y265" s="7">
        <v>-1.2</v>
      </c>
      <c r="Z265" s="7">
        <v>109.7</v>
      </c>
      <c r="AA265" s="7">
        <v>111.6</v>
      </c>
      <c r="AB265" s="7">
        <v>-1.9</v>
      </c>
      <c r="AC265" s="7">
        <v>17.5</v>
      </c>
      <c r="AD265" s="7">
        <v>2.94</v>
      </c>
      <c r="AE265" s="7">
        <v>28.9</v>
      </c>
      <c r="AF265" s="7">
        <v>1.9</v>
      </c>
      <c r="AG265" s="7">
        <v>11.6</v>
      </c>
      <c r="AH265" s="7">
        <v>6.7</v>
      </c>
      <c r="AI265" s="7">
        <v>9.8000000000000007</v>
      </c>
      <c r="AJ265" s="7">
        <v>65.099999999999994</v>
      </c>
      <c r="AK265" s="7">
        <v>66.099999999999994</v>
      </c>
      <c r="AL265" s="7">
        <v>13.1</v>
      </c>
      <c r="AM265" s="7">
        <v>102.63</v>
      </c>
      <c r="AN265" s="7">
        <v>8.6</v>
      </c>
      <c r="AO265" s="7">
        <v>2456</v>
      </c>
    </row>
    <row r="266" spans="1:41">
      <c r="A266" s="6" t="s">
        <v>571</v>
      </c>
      <c r="B266" s="6" t="s">
        <v>88</v>
      </c>
      <c r="C266" s="41">
        <f t="shared" si="9"/>
        <v>0.61215957955088396</v>
      </c>
      <c r="D266" s="42">
        <f t="shared" si="8"/>
        <v>1.8793103448275863</v>
      </c>
      <c r="E266" s="31">
        <v>410</v>
      </c>
      <c r="F266" s="24">
        <v>154</v>
      </c>
      <c r="G266" s="24">
        <v>301</v>
      </c>
      <c r="H266" s="8">
        <v>50.7</v>
      </c>
      <c r="I266" s="9">
        <v>109</v>
      </c>
      <c r="J266" s="8">
        <v>30.2</v>
      </c>
      <c r="K266" s="8">
        <v>70</v>
      </c>
      <c r="L266" s="25">
        <v>77</v>
      </c>
      <c r="M266" s="8">
        <v>88.5</v>
      </c>
      <c r="N266" s="9">
        <v>102</v>
      </c>
      <c r="O266" s="9">
        <v>186</v>
      </c>
      <c r="P266" s="9">
        <v>288</v>
      </c>
      <c r="Q266" s="24">
        <v>109</v>
      </c>
      <c r="R266" s="24">
        <v>58</v>
      </c>
      <c r="S266" s="9">
        <v>32</v>
      </c>
      <c r="T266" s="9">
        <v>32</v>
      </c>
      <c r="U266" s="9">
        <v>134</v>
      </c>
      <c r="V266" s="8">
        <v>1030</v>
      </c>
      <c r="W266" s="8">
        <v>4</v>
      </c>
      <c r="X266" s="8">
        <v>0</v>
      </c>
      <c r="Y266" s="7">
        <v>-0.5</v>
      </c>
      <c r="Z266" s="7">
        <v>109.4</v>
      </c>
      <c r="AA266" s="7">
        <v>109.9</v>
      </c>
      <c r="AB266" s="7">
        <v>-0.4</v>
      </c>
      <c r="AC266" s="7">
        <v>16.2</v>
      </c>
      <c r="AD266" s="7">
        <v>1.85</v>
      </c>
      <c r="AE266" s="7">
        <v>21.9</v>
      </c>
      <c r="AF266" s="7">
        <v>9.6</v>
      </c>
      <c r="AG266" s="7">
        <v>17.7</v>
      </c>
      <c r="AH266" s="7">
        <v>13.6</v>
      </c>
      <c r="AI266" s="7">
        <v>11.8</v>
      </c>
      <c r="AJ266" s="7">
        <v>56</v>
      </c>
      <c r="AK266" s="7">
        <v>60.5</v>
      </c>
      <c r="AL266" s="7">
        <v>16.600000000000001</v>
      </c>
      <c r="AM266" s="7">
        <v>102.77</v>
      </c>
      <c r="AN266" s="7">
        <v>10.6</v>
      </c>
      <c r="AO266" s="7">
        <v>2083</v>
      </c>
    </row>
    <row r="267" spans="1:41">
      <c r="A267" s="6" t="s">
        <v>573</v>
      </c>
      <c r="B267" s="6" t="s">
        <v>70</v>
      </c>
      <c r="C267" s="41">
        <f t="shared" si="9"/>
        <v>0.58838761652664284</v>
      </c>
      <c r="D267" s="42">
        <f t="shared" si="8"/>
        <v>2.441860465116279</v>
      </c>
      <c r="E267" s="31">
        <v>409</v>
      </c>
      <c r="F267" s="24">
        <v>174</v>
      </c>
      <c r="G267" s="24">
        <v>304</v>
      </c>
      <c r="H267" s="8">
        <v>57.6</v>
      </c>
      <c r="I267" s="8">
        <v>0</v>
      </c>
      <c r="J267" s="8">
        <v>0</v>
      </c>
      <c r="K267" s="8">
        <v>62</v>
      </c>
      <c r="L267" s="25">
        <v>99</v>
      </c>
      <c r="M267" s="8">
        <v>57.8</v>
      </c>
      <c r="N267" s="9">
        <v>124</v>
      </c>
      <c r="O267" s="9">
        <v>186</v>
      </c>
      <c r="P267" s="9">
        <v>310</v>
      </c>
      <c r="Q267" s="24">
        <v>105</v>
      </c>
      <c r="R267" s="24">
        <v>43</v>
      </c>
      <c r="S267" s="9">
        <v>25</v>
      </c>
      <c r="T267" s="9">
        <v>37</v>
      </c>
      <c r="U267" s="9">
        <v>74</v>
      </c>
      <c r="V267" s="8">
        <v>1073</v>
      </c>
      <c r="W267" s="8">
        <v>4</v>
      </c>
      <c r="X267" s="8">
        <v>0</v>
      </c>
      <c r="Y267" s="7">
        <v>-1</v>
      </c>
      <c r="Z267" s="7">
        <v>107.8</v>
      </c>
      <c r="AA267" s="7">
        <v>111.3</v>
      </c>
      <c r="AB267" s="7">
        <v>-3.5</v>
      </c>
      <c r="AC267" s="7">
        <v>16.3</v>
      </c>
      <c r="AD267" s="7">
        <v>2.31</v>
      </c>
      <c r="AE267" s="7">
        <v>21.1</v>
      </c>
      <c r="AF267" s="7">
        <v>11.5</v>
      </c>
      <c r="AG267" s="7">
        <v>19.2</v>
      </c>
      <c r="AH267" s="7">
        <v>15.2</v>
      </c>
      <c r="AI267" s="7">
        <v>9.1</v>
      </c>
      <c r="AJ267" s="7">
        <v>57.6</v>
      </c>
      <c r="AK267" s="7">
        <v>58.7</v>
      </c>
      <c r="AL267" s="7">
        <v>16.399999999999999</v>
      </c>
      <c r="AM267" s="7">
        <v>101.53</v>
      </c>
      <c r="AN267" s="7">
        <v>12</v>
      </c>
      <c r="AO267" s="7">
        <v>2050</v>
      </c>
    </row>
    <row r="268" spans="1:41">
      <c r="A268" s="6" t="s">
        <v>575</v>
      </c>
      <c r="B268" s="6" t="s">
        <v>140</v>
      </c>
      <c r="C268" s="41">
        <f t="shared" si="9"/>
        <v>0.61896319843501646</v>
      </c>
      <c r="D268" s="42">
        <f t="shared" si="8"/>
        <v>0.890625</v>
      </c>
      <c r="E268" s="31">
        <v>405</v>
      </c>
      <c r="F268" s="24">
        <v>170</v>
      </c>
      <c r="G268" s="24">
        <v>277</v>
      </c>
      <c r="H268" s="8">
        <v>59.6</v>
      </c>
      <c r="I268" s="9">
        <v>7</v>
      </c>
      <c r="J268" s="8">
        <v>0</v>
      </c>
      <c r="K268" s="8">
        <v>71</v>
      </c>
      <c r="L268" s="25">
        <v>114</v>
      </c>
      <c r="M268" s="8">
        <v>59.5</v>
      </c>
      <c r="N268" s="9">
        <v>185</v>
      </c>
      <c r="O268" s="9">
        <v>249</v>
      </c>
      <c r="P268" s="9">
        <v>440</v>
      </c>
      <c r="Q268" s="24">
        <v>57</v>
      </c>
      <c r="R268" s="24">
        <v>64</v>
      </c>
      <c r="S268" s="9">
        <v>43</v>
      </c>
      <c r="T268" s="9">
        <v>43</v>
      </c>
      <c r="U268" s="9">
        <v>107</v>
      </c>
      <c r="V268" s="8">
        <v>1207</v>
      </c>
      <c r="W268" s="8">
        <v>7</v>
      </c>
      <c r="X268" s="8">
        <v>0</v>
      </c>
      <c r="Y268" s="7">
        <v>-1.7</v>
      </c>
      <c r="Z268" s="7">
        <v>106.9</v>
      </c>
      <c r="AA268" s="7">
        <v>110.3</v>
      </c>
      <c r="AB268" s="7">
        <v>-3.4</v>
      </c>
      <c r="AC268" s="7">
        <v>6.9</v>
      </c>
      <c r="AD268" s="7">
        <v>0.92</v>
      </c>
      <c r="AE268" s="7">
        <v>12.5</v>
      </c>
      <c r="AF268" s="7">
        <v>13.5</v>
      </c>
      <c r="AG268" s="7">
        <v>20.9</v>
      </c>
      <c r="AH268" s="7">
        <v>16.899999999999999</v>
      </c>
      <c r="AI268" s="7">
        <v>13.6</v>
      </c>
      <c r="AJ268" s="7">
        <v>59.6</v>
      </c>
      <c r="AK268" s="7">
        <v>60.9</v>
      </c>
      <c r="AL268" s="7">
        <v>13</v>
      </c>
      <c r="AM268" s="7">
        <v>97.32</v>
      </c>
      <c r="AN268" s="7">
        <v>11.5</v>
      </c>
      <c r="AO268" s="7">
        <v>2498</v>
      </c>
    </row>
    <row r="269" spans="1:41">
      <c r="A269" s="6" t="s">
        <v>577</v>
      </c>
      <c r="B269" s="6" t="s">
        <v>70</v>
      </c>
      <c r="C269" s="41">
        <f t="shared" si="9"/>
        <v>0.64114802087310685</v>
      </c>
      <c r="D269" s="42">
        <f t="shared" si="8"/>
        <v>2.189189189189189</v>
      </c>
      <c r="E269" s="31">
        <v>403</v>
      </c>
      <c r="F269" s="24">
        <v>174</v>
      </c>
      <c r="G269" s="24">
        <v>298</v>
      </c>
      <c r="H269" s="8">
        <v>57.4</v>
      </c>
      <c r="I269" s="9">
        <v>93</v>
      </c>
      <c r="J269" s="8">
        <v>32.6</v>
      </c>
      <c r="K269" s="8">
        <v>25</v>
      </c>
      <c r="L269" s="25">
        <v>37</v>
      </c>
      <c r="M269" s="8">
        <v>71.099999999999994</v>
      </c>
      <c r="N269" s="9">
        <v>56</v>
      </c>
      <c r="O269" s="9">
        <v>130</v>
      </c>
      <c r="P269" s="9">
        <v>186</v>
      </c>
      <c r="Q269" s="24">
        <v>81</v>
      </c>
      <c r="R269" s="24">
        <v>37</v>
      </c>
      <c r="S269" s="9">
        <v>50</v>
      </c>
      <c r="T269" s="9">
        <v>19</v>
      </c>
      <c r="U269" s="9">
        <v>105</v>
      </c>
      <c r="V269" s="8">
        <v>918</v>
      </c>
      <c r="W269" s="8">
        <v>0</v>
      </c>
      <c r="X269" s="8">
        <v>0</v>
      </c>
      <c r="Y269" s="7">
        <v>0.7</v>
      </c>
      <c r="Z269" s="7">
        <v>113.5</v>
      </c>
      <c r="AA269" s="7">
        <v>110.1</v>
      </c>
      <c r="AB269" s="7">
        <v>3.4</v>
      </c>
      <c r="AC269" s="7">
        <v>13.2</v>
      </c>
      <c r="AD269" s="7">
        <v>2.13</v>
      </c>
      <c r="AE269" s="7">
        <v>19.100000000000001</v>
      </c>
      <c r="AF269" s="7">
        <v>5.6</v>
      </c>
      <c r="AG269" s="7">
        <v>13.4</v>
      </c>
      <c r="AH269" s="7">
        <v>9.6</v>
      </c>
      <c r="AI269" s="7">
        <v>9</v>
      </c>
      <c r="AJ269" s="7">
        <v>62.6</v>
      </c>
      <c r="AK269" s="7">
        <v>63.5</v>
      </c>
      <c r="AL269" s="7">
        <v>15.6</v>
      </c>
      <c r="AM269" s="7">
        <v>102.12</v>
      </c>
      <c r="AN269" s="7">
        <v>10.4</v>
      </c>
      <c r="AO269" s="7">
        <v>1963</v>
      </c>
    </row>
    <row r="270" spans="1:41">
      <c r="A270" s="6" t="s">
        <v>579</v>
      </c>
      <c r="B270" s="6" t="s">
        <v>146</v>
      </c>
      <c r="C270" s="41">
        <f t="shared" si="9"/>
        <v>0.55922156358349184</v>
      </c>
      <c r="D270" s="42">
        <f t="shared" si="8"/>
        <v>1.3823529411764706</v>
      </c>
      <c r="E270" s="31">
        <v>400</v>
      </c>
      <c r="F270" s="24">
        <v>155</v>
      </c>
      <c r="G270" s="24">
        <v>333</v>
      </c>
      <c r="H270" s="8">
        <v>46.5</v>
      </c>
      <c r="I270" s="9">
        <v>115</v>
      </c>
      <c r="J270" s="8">
        <v>37.4</v>
      </c>
      <c r="K270" s="8">
        <v>47</v>
      </c>
      <c r="L270" s="25">
        <v>56</v>
      </c>
      <c r="M270" s="8">
        <v>85.5</v>
      </c>
      <c r="N270" s="9">
        <v>16</v>
      </c>
      <c r="O270" s="9">
        <v>83</v>
      </c>
      <c r="P270" s="9">
        <v>101</v>
      </c>
      <c r="Q270" s="24">
        <v>94</v>
      </c>
      <c r="R270" s="24">
        <v>68</v>
      </c>
      <c r="S270" s="9">
        <v>16</v>
      </c>
      <c r="T270" s="9">
        <v>11</v>
      </c>
      <c r="U270" s="9">
        <v>45</v>
      </c>
      <c r="V270" s="8">
        <v>671</v>
      </c>
      <c r="W270" s="8">
        <v>0</v>
      </c>
      <c r="X270" s="8">
        <v>0</v>
      </c>
      <c r="Y270" s="7">
        <v>-7.1</v>
      </c>
      <c r="Z270" s="7">
        <v>107</v>
      </c>
      <c r="AA270" s="7">
        <v>117.7</v>
      </c>
      <c r="AB270" s="7">
        <v>-10.7</v>
      </c>
      <c r="AC270" s="7">
        <v>28</v>
      </c>
      <c r="AD270" s="7">
        <v>1.35</v>
      </c>
      <c r="AE270" s="7">
        <v>18</v>
      </c>
      <c r="AF270" s="7">
        <v>2.7</v>
      </c>
      <c r="AG270" s="7">
        <v>14</v>
      </c>
      <c r="AH270" s="7">
        <v>8.3000000000000007</v>
      </c>
      <c r="AI270" s="7">
        <v>13.3</v>
      </c>
      <c r="AJ270" s="7">
        <v>53</v>
      </c>
      <c r="AK270" s="7">
        <v>56</v>
      </c>
      <c r="AL270" s="7">
        <v>30.5</v>
      </c>
      <c r="AM270" s="7">
        <v>97.49</v>
      </c>
      <c r="AN270" s="7">
        <v>12.2</v>
      </c>
      <c r="AO270" s="7">
        <v>1209</v>
      </c>
    </row>
    <row r="271" spans="1:41">
      <c r="A271" s="6" t="s">
        <v>581</v>
      </c>
      <c r="B271" s="6" t="s">
        <v>196</v>
      </c>
      <c r="C271" s="41">
        <f t="shared" si="9"/>
        <v>0.56752873563218387</v>
      </c>
      <c r="D271" s="42">
        <f t="shared" si="8"/>
        <v>1.3846153846153846</v>
      </c>
      <c r="E271" s="31">
        <v>395</v>
      </c>
      <c r="F271" s="24">
        <v>165</v>
      </c>
      <c r="G271" s="24">
        <v>315</v>
      </c>
      <c r="H271" s="8">
        <v>52.1</v>
      </c>
      <c r="I271" s="9">
        <v>45</v>
      </c>
      <c r="J271" s="8">
        <v>24.4</v>
      </c>
      <c r="K271" s="8">
        <v>55</v>
      </c>
      <c r="L271" s="25">
        <v>75</v>
      </c>
      <c r="M271" s="8">
        <v>75.7</v>
      </c>
      <c r="N271" s="9">
        <v>150</v>
      </c>
      <c r="O271" s="9">
        <v>180</v>
      </c>
      <c r="P271" s="9">
        <v>330</v>
      </c>
      <c r="Q271" s="24">
        <v>90</v>
      </c>
      <c r="R271" s="24">
        <v>65</v>
      </c>
      <c r="S271" s="9">
        <v>40</v>
      </c>
      <c r="T271" s="9">
        <v>40</v>
      </c>
      <c r="U271" s="9">
        <v>115</v>
      </c>
      <c r="V271" s="8">
        <v>1115</v>
      </c>
      <c r="W271" s="8">
        <v>4</v>
      </c>
      <c r="X271" s="8">
        <v>0</v>
      </c>
      <c r="Y271" s="7">
        <v>1.3</v>
      </c>
      <c r="Z271" s="7">
        <v>109.2</v>
      </c>
      <c r="AA271" s="7">
        <v>107.1</v>
      </c>
      <c r="AB271" s="7">
        <v>2.1</v>
      </c>
      <c r="AC271" s="7">
        <v>15.8</v>
      </c>
      <c r="AD271" s="7">
        <v>1.44</v>
      </c>
      <c r="AE271" s="7">
        <v>18.100000000000001</v>
      </c>
      <c r="AF271" s="7">
        <v>14.9</v>
      </c>
      <c r="AG271" s="7">
        <v>20.2</v>
      </c>
      <c r="AH271" s="7">
        <v>17.399999999999999</v>
      </c>
      <c r="AI271" s="7">
        <v>12.5</v>
      </c>
      <c r="AJ271" s="7">
        <v>53.8</v>
      </c>
      <c r="AK271" s="7">
        <v>56.8</v>
      </c>
      <c r="AL271" s="7">
        <v>18.600000000000001</v>
      </c>
      <c r="AM271" s="7">
        <v>97.35</v>
      </c>
      <c r="AN271" s="7">
        <v>13.4</v>
      </c>
      <c r="AO271" s="7">
        <v>1852</v>
      </c>
    </row>
    <row r="272" spans="1:41">
      <c r="A272" s="6" t="s">
        <v>583</v>
      </c>
      <c r="B272" s="6" t="s">
        <v>146</v>
      </c>
      <c r="C272" s="41">
        <f t="shared" si="9"/>
        <v>0.49483648881239245</v>
      </c>
      <c r="D272" s="42">
        <f t="shared" si="8"/>
        <v>2.1014492753623188</v>
      </c>
      <c r="E272" s="31">
        <v>391</v>
      </c>
      <c r="F272" s="24">
        <v>158</v>
      </c>
      <c r="G272" s="24">
        <v>359</v>
      </c>
      <c r="H272" s="8">
        <v>43.8</v>
      </c>
      <c r="I272" s="9">
        <v>69</v>
      </c>
      <c r="J272" s="8">
        <v>24.3</v>
      </c>
      <c r="K272" s="8">
        <v>63</v>
      </c>
      <c r="L272" s="25">
        <v>82</v>
      </c>
      <c r="M272" s="8">
        <v>73.2</v>
      </c>
      <c r="N272" s="9">
        <v>107</v>
      </c>
      <c r="O272" s="9">
        <v>202</v>
      </c>
      <c r="P272" s="9">
        <v>309</v>
      </c>
      <c r="Q272" s="24">
        <v>145</v>
      </c>
      <c r="R272" s="24">
        <v>69</v>
      </c>
      <c r="S272" s="9">
        <v>57</v>
      </c>
      <c r="T272" s="9">
        <v>32</v>
      </c>
      <c r="U272" s="9">
        <v>139</v>
      </c>
      <c r="V272" s="8">
        <v>1178</v>
      </c>
      <c r="W272" s="8">
        <v>3</v>
      </c>
      <c r="X272" s="8">
        <v>1</v>
      </c>
      <c r="Y272" s="7">
        <v>-3.8</v>
      </c>
      <c r="Z272" s="7">
        <v>103.7</v>
      </c>
      <c r="AA272" s="7">
        <v>111.9</v>
      </c>
      <c r="AB272" s="7">
        <v>-8.1999999999999993</v>
      </c>
      <c r="AC272" s="7">
        <v>16</v>
      </c>
      <c r="AD272" s="7">
        <v>2.09</v>
      </c>
      <c r="AE272" s="7">
        <v>24.1</v>
      </c>
      <c r="AF272" s="7">
        <v>7.6</v>
      </c>
      <c r="AG272" s="7">
        <v>15.7</v>
      </c>
      <c r="AH272" s="7">
        <v>11.4</v>
      </c>
      <c r="AI272" s="7">
        <v>11.5</v>
      </c>
      <c r="AJ272" s="7">
        <v>46.2</v>
      </c>
      <c r="AK272" s="7">
        <v>49.6</v>
      </c>
      <c r="AL272" s="7">
        <v>14.5</v>
      </c>
      <c r="AM272" s="7">
        <v>102.69</v>
      </c>
      <c r="AN272" s="7">
        <v>8.3000000000000007</v>
      </c>
      <c r="AO272" s="7">
        <v>2743</v>
      </c>
    </row>
    <row r="273" spans="1:41">
      <c r="A273" s="6" t="s">
        <v>585</v>
      </c>
      <c r="B273" s="6" t="s">
        <v>98</v>
      </c>
      <c r="C273" s="41">
        <f t="shared" si="9"/>
        <v>0.64967767929089437</v>
      </c>
      <c r="D273" s="42">
        <f t="shared" si="8"/>
        <v>0.875</v>
      </c>
      <c r="E273" s="31">
        <v>387</v>
      </c>
      <c r="F273" s="24">
        <v>141</v>
      </c>
      <c r="G273" s="24">
        <v>249</v>
      </c>
      <c r="H273" s="8">
        <v>56.2</v>
      </c>
      <c r="I273" s="9">
        <v>75</v>
      </c>
      <c r="J273" s="8">
        <v>36</v>
      </c>
      <c r="K273" s="8">
        <v>78</v>
      </c>
      <c r="L273" s="25">
        <v>111</v>
      </c>
      <c r="M273" s="8">
        <v>71.8</v>
      </c>
      <c r="N273" s="9">
        <v>39</v>
      </c>
      <c r="O273" s="9">
        <v>108</v>
      </c>
      <c r="P273" s="9">
        <v>147</v>
      </c>
      <c r="Q273" s="24">
        <v>42</v>
      </c>
      <c r="R273" s="24">
        <v>48</v>
      </c>
      <c r="S273" s="9">
        <v>24</v>
      </c>
      <c r="T273" s="9">
        <v>12</v>
      </c>
      <c r="U273" s="9">
        <v>54</v>
      </c>
      <c r="V273" s="8">
        <v>687</v>
      </c>
      <c r="W273" s="8">
        <v>1</v>
      </c>
      <c r="X273" s="8">
        <v>0</v>
      </c>
      <c r="Y273" s="7">
        <v>-0.6</v>
      </c>
      <c r="Z273" s="7">
        <v>106.1</v>
      </c>
      <c r="AA273" s="7">
        <v>107</v>
      </c>
      <c r="AB273" s="7">
        <v>-0.9</v>
      </c>
      <c r="AC273" s="7">
        <v>13.5</v>
      </c>
      <c r="AD273" s="7">
        <v>0.86</v>
      </c>
      <c r="AE273" s="7">
        <v>10.9</v>
      </c>
      <c r="AF273" s="7">
        <v>6.7</v>
      </c>
      <c r="AG273" s="7">
        <v>20.100000000000001</v>
      </c>
      <c r="AH273" s="7">
        <v>13.1</v>
      </c>
      <c r="AI273" s="7">
        <v>12.7</v>
      </c>
      <c r="AJ273" s="7">
        <v>61.6</v>
      </c>
      <c r="AK273" s="7">
        <v>64.900000000000006</v>
      </c>
      <c r="AL273" s="7">
        <v>25.4</v>
      </c>
      <c r="AM273" s="7">
        <v>99.97</v>
      </c>
      <c r="AN273" s="7">
        <v>16.5</v>
      </c>
      <c r="AO273" s="7">
        <v>1172</v>
      </c>
    </row>
    <row r="274" spans="1:41">
      <c r="A274" s="6" t="s">
        <v>587</v>
      </c>
      <c r="B274" s="6" t="s">
        <v>94</v>
      </c>
      <c r="C274" s="41">
        <f t="shared" si="9"/>
        <v>0.62370062370062374</v>
      </c>
      <c r="D274" s="42">
        <f t="shared" si="8"/>
        <v>2.0416666666666665</v>
      </c>
      <c r="E274" s="31">
        <v>384</v>
      </c>
      <c r="F274" s="24">
        <v>140</v>
      </c>
      <c r="G274" s="24">
        <v>281</v>
      </c>
      <c r="H274" s="8">
        <v>50.2</v>
      </c>
      <c r="I274" s="9">
        <v>159</v>
      </c>
      <c r="J274" s="8">
        <v>37.299999999999997</v>
      </c>
      <c r="K274" s="8">
        <v>43</v>
      </c>
      <c r="L274" s="25">
        <v>61</v>
      </c>
      <c r="M274" s="8">
        <v>74.099999999999994</v>
      </c>
      <c r="N274" s="9">
        <v>61</v>
      </c>
      <c r="O274" s="9">
        <v>122</v>
      </c>
      <c r="P274" s="9">
        <v>189</v>
      </c>
      <c r="Q274" s="24">
        <v>49</v>
      </c>
      <c r="R274" s="24">
        <v>24</v>
      </c>
      <c r="S274" s="9">
        <v>18</v>
      </c>
      <c r="T274" s="9">
        <v>18</v>
      </c>
      <c r="U274" s="9">
        <v>61</v>
      </c>
      <c r="V274" s="8">
        <v>769</v>
      </c>
      <c r="W274" s="8">
        <v>2</v>
      </c>
      <c r="X274" s="8">
        <v>0</v>
      </c>
      <c r="Y274" s="7">
        <v>-0.5</v>
      </c>
      <c r="Z274" s="7">
        <v>111.6</v>
      </c>
      <c r="AA274" s="7">
        <v>112.9</v>
      </c>
      <c r="AB274" s="7">
        <v>-1.4</v>
      </c>
      <c r="AC274" s="7">
        <v>10.8</v>
      </c>
      <c r="AD274" s="7">
        <v>1.85</v>
      </c>
      <c r="AE274" s="7">
        <v>12.6</v>
      </c>
      <c r="AF274" s="7">
        <v>8.6</v>
      </c>
      <c r="AG274" s="7">
        <v>17.600000000000001</v>
      </c>
      <c r="AH274" s="7">
        <v>13.1</v>
      </c>
      <c r="AI274" s="7">
        <v>6.8</v>
      </c>
      <c r="AJ274" s="7">
        <v>60.9</v>
      </c>
      <c r="AK274" s="7">
        <v>62.8</v>
      </c>
      <c r="AL274" s="7">
        <v>20.2</v>
      </c>
      <c r="AM274" s="7">
        <v>102.07</v>
      </c>
      <c r="AN274" s="7">
        <v>12.4</v>
      </c>
      <c r="AO274" s="7">
        <v>1445</v>
      </c>
    </row>
    <row r="275" spans="1:41">
      <c r="A275" s="6" t="s">
        <v>589</v>
      </c>
      <c r="B275" s="6" t="s">
        <v>164</v>
      </c>
      <c r="C275" s="41">
        <f t="shared" si="9"/>
        <v>0.60524652338811635</v>
      </c>
      <c r="D275" s="42">
        <f t="shared" si="8"/>
        <v>1.7066666666666668</v>
      </c>
      <c r="E275" s="31">
        <v>383</v>
      </c>
      <c r="F275" s="24">
        <v>132</v>
      </c>
      <c r="G275" s="24">
        <v>268</v>
      </c>
      <c r="H275" s="8">
        <v>50</v>
      </c>
      <c r="I275" s="9">
        <v>79</v>
      </c>
      <c r="J275" s="8">
        <v>41.8</v>
      </c>
      <c r="K275" s="8">
        <v>84</v>
      </c>
      <c r="L275" s="25">
        <v>110</v>
      </c>
      <c r="M275" s="8">
        <v>76.900000000000006</v>
      </c>
      <c r="N275" s="9">
        <v>62</v>
      </c>
      <c r="O275" s="9">
        <v>145</v>
      </c>
      <c r="P275" s="9">
        <v>207</v>
      </c>
      <c r="Q275" s="24">
        <v>128</v>
      </c>
      <c r="R275" s="24">
        <v>75</v>
      </c>
      <c r="S275" s="9">
        <v>35</v>
      </c>
      <c r="T275" s="9">
        <v>18</v>
      </c>
      <c r="U275" s="9">
        <v>123</v>
      </c>
      <c r="V275" s="8">
        <v>902</v>
      </c>
      <c r="W275" s="8">
        <v>2</v>
      </c>
      <c r="X275" s="8">
        <v>0</v>
      </c>
      <c r="Y275" s="7">
        <v>-1.3</v>
      </c>
      <c r="Z275" s="7">
        <v>110.7</v>
      </c>
      <c r="AA275" s="7">
        <v>113.4</v>
      </c>
      <c r="AB275" s="7">
        <v>-2.7</v>
      </c>
      <c r="AC275" s="7">
        <v>20</v>
      </c>
      <c r="AD275" s="7">
        <v>1.68</v>
      </c>
      <c r="AE275" s="7">
        <v>24.4</v>
      </c>
      <c r="AF275" s="7">
        <v>6.9</v>
      </c>
      <c r="AG275" s="7">
        <v>15.4</v>
      </c>
      <c r="AH275" s="7">
        <v>11.2</v>
      </c>
      <c r="AI275" s="7">
        <v>14.5</v>
      </c>
      <c r="AJ275" s="7">
        <v>56.2</v>
      </c>
      <c r="AK275" s="7">
        <v>60.9</v>
      </c>
      <c r="AL275" s="7">
        <v>18.5</v>
      </c>
      <c r="AM275" s="7">
        <v>100.28</v>
      </c>
      <c r="AN275" s="7">
        <v>9.8000000000000007</v>
      </c>
      <c r="AO275" s="7">
        <v>1858</v>
      </c>
    </row>
    <row r="276" spans="1:41">
      <c r="A276" s="6" t="s">
        <v>591</v>
      </c>
      <c r="B276" s="6" t="s">
        <v>44</v>
      </c>
      <c r="C276" s="41">
        <f t="shared" si="9"/>
        <v>0.57239359158297465</v>
      </c>
      <c r="D276" s="42">
        <f t="shared" si="8"/>
        <v>3.5526315789473686</v>
      </c>
      <c r="E276" s="31">
        <v>383</v>
      </c>
      <c r="F276" s="24">
        <v>140</v>
      </c>
      <c r="G276" s="24">
        <v>313</v>
      </c>
      <c r="H276" s="8">
        <v>44.6</v>
      </c>
      <c r="I276" s="9">
        <v>167</v>
      </c>
      <c r="J276" s="8">
        <v>35.299999999999997</v>
      </c>
      <c r="K276" s="8">
        <v>43</v>
      </c>
      <c r="L276" s="25">
        <v>49</v>
      </c>
      <c r="M276" s="8">
        <v>82.4</v>
      </c>
      <c r="N276" s="9">
        <v>38</v>
      </c>
      <c r="O276" s="9">
        <v>119</v>
      </c>
      <c r="P276" s="9">
        <v>157</v>
      </c>
      <c r="Q276" s="24">
        <v>135</v>
      </c>
      <c r="R276" s="24">
        <v>38</v>
      </c>
      <c r="S276" s="9">
        <v>86</v>
      </c>
      <c r="T276" s="9">
        <v>32</v>
      </c>
      <c r="U276" s="9">
        <v>103</v>
      </c>
      <c r="V276" s="8">
        <v>1091</v>
      </c>
      <c r="W276" s="8">
        <v>0</v>
      </c>
      <c r="X276" s="8">
        <v>0</v>
      </c>
      <c r="Y276" s="7">
        <v>5.9</v>
      </c>
      <c r="Z276" s="7">
        <v>117.5</v>
      </c>
      <c r="AA276" s="7">
        <v>102.5</v>
      </c>
      <c r="AB276" s="7">
        <v>15</v>
      </c>
      <c r="AC276" s="7">
        <v>17.100000000000001</v>
      </c>
      <c r="AD276" s="7">
        <v>3.7</v>
      </c>
      <c r="AE276" s="7">
        <v>26.9</v>
      </c>
      <c r="AF276" s="7">
        <v>3.5</v>
      </c>
      <c r="AG276" s="7">
        <v>10.8</v>
      </c>
      <c r="AH276" s="7">
        <v>7.2</v>
      </c>
      <c r="AI276" s="7">
        <v>7.3</v>
      </c>
      <c r="AJ276" s="7">
        <v>54.1</v>
      </c>
      <c r="AK276" s="7">
        <v>56.8</v>
      </c>
      <c r="AL276" s="7">
        <v>14.7</v>
      </c>
      <c r="AM276" s="7">
        <v>102.7</v>
      </c>
      <c r="AN276" s="7">
        <v>10.1</v>
      </c>
      <c r="AO276" s="7">
        <v>2221</v>
      </c>
    </row>
    <row r="277" spans="1:41">
      <c r="A277" s="6" t="s">
        <v>593</v>
      </c>
      <c r="B277" s="6" t="s">
        <v>98</v>
      </c>
      <c r="C277" s="41">
        <f t="shared" si="9"/>
        <v>0.51192258340461938</v>
      </c>
      <c r="D277" s="42">
        <f t="shared" si="8"/>
        <v>1.1944444444444444</v>
      </c>
      <c r="E277" s="31">
        <v>383</v>
      </c>
      <c r="F277" s="24">
        <v>135</v>
      </c>
      <c r="G277" s="24">
        <v>327</v>
      </c>
      <c r="H277" s="8">
        <v>41.4</v>
      </c>
      <c r="I277" s="9">
        <v>149</v>
      </c>
      <c r="J277" s="8">
        <v>25.8</v>
      </c>
      <c r="K277" s="8">
        <v>71</v>
      </c>
      <c r="L277" s="25">
        <v>107</v>
      </c>
      <c r="M277" s="8">
        <v>68.2</v>
      </c>
      <c r="N277" s="9">
        <v>121</v>
      </c>
      <c r="O277" s="9">
        <v>192</v>
      </c>
      <c r="P277" s="9">
        <v>312</v>
      </c>
      <c r="Q277" s="24">
        <v>43</v>
      </c>
      <c r="R277" s="24">
        <v>36</v>
      </c>
      <c r="S277" s="9">
        <v>64</v>
      </c>
      <c r="T277" s="9">
        <v>78</v>
      </c>
      <c r="U277" s="9">
        <v>92</v>
      </c>
      <c r="V277" s="8">
        <v>1207</v>
      </c>
      <c r="W277" s="8">
        <v>2</v>
      </c>
      <c r="X277" s="8">
        <v>0</v>
      </c>
      <c r="Y277" s="7">
        <v>-0.5</v>
      </c>
      <c r="Z277" s="7">
        <v>105.9</v>
      </c>
      <c r="AA277" s="7">
        <v>106.6</v>
      </c>
      <c r="AB277" s="7">
        <v>-0.7</v>
      </c>
      <c r="AC277" s="7">
        <v>5.6</v>
      </c>
      <c r="AD277" s="7">
        <v>1.21</v>
      </c>
      <c r="AE277" s="7">
        <v>9</v>
      </c>
      <c r="AF277" s="7">
        <v>10</v>
      </c>
      <c r="AG277" s="7">
        <v>18.8</v>
      </c>
      <c r="AH277" s="7">
        <v>14.1</v>
      </c>
      <c r="AI277" s="7">
        <v>7.4</v>
      </c>
      <c r="AJ277" s="7">
        <v>47.4</v>
      </c>
      <c r="AK277" s="7">
        <v>51.2</v>
      </c>
      <c r="AL277" s="7">
        <v>15.5</v>
      </c>
      <c r="AM277" s="7">
        <v>98.62</v>
      </c>
      <c r="AN277" s="7">
        <v>10.8</v>
      </c>
      <c r="AO277" s="7">
        <v>2229</v>
      </c>
    </row>
    <row r="278" spans="1:41">
      <c r="A278" s="6" t="s">
        <v>595</v>
      </c>
      <c r="B278" s="6" t="s">
        <v>74</v>
      </c>
      <c r="C278" s="41">
        <f t="shared" si="9"/>
        <v>0.7096557890031292</v>
      </c>
      <c r="D278" s="42">
        <f t="shared" si="8"/>
        <v>1.2444444444444445</v>
      </c>
      <c r="E278" s="31">
        <v>381</v>
      </c>
      <c r="F278" s="24">
        <v>162</v>
      </c>
      <c r="G278" s="24">
        <v>224</v>
      </c>
      <c r="H278" s="8">
        <v>72.2</v>
      </c>
      <c r="I278" s="9">
        <v>6</v>
      </c>
      <c r="J278" s="8">
        <v>0</v>
      </c>
      <c r="K278" s="8">
        <v>62</v>
      </c>
      <c r="L278" s="25">
        <v>101</v>
      </c>
      <c r="M278" s="8">
        <v>62.2</v>
      </c>
      <c r="N278" s="9">
        <v>78</v>
      </c>
      <c r="O278" s="9">
        <v>190</v>
      </c>
      <c r="P278" s="9">
        <v>269</v>
      </c>
      <c r="Q278" s="24">
        <v>56</v>
      </c>
      <c r="R278" s="24">
        <v>45</v>
      </c>
      <c r="S278" s="9">
        <v>34</v>
      </c>
      <c r="T278" s="9">
        <v>50</v>
      </c>
      <c r="U278" s="9">
        <v>134</v>
      </c>
      <c r="V278" s="8">
        <v>997</v>
      </c>
      <c r="W278" s="8">
        <v>2</v>
      </c>
      <c r="X278" s="8">
        <v>0</v>
      </c>
      <c r="Y278" s="7">
        <v>1.6</v>
      </c>
      <c r="Z278" s="7">
        <v>112.3</v>
      </c>
      <c r="AA278" s="7">
        <v>109.8</v>
      </c>
      <c r="AB278" s="7">
        <v>2.5</v>
      </c>
      <c r="AC278" s="7">
        <v>7.6</v>
      </c>
      <c r="AD278" s="7">
        <v>1.35</v>
      </c>
      <c r="AE278" s="7">
        <v>15.8</v>
      </c>
      <c r="AF278" s="7">
        <v>7.4</v>
      </c>
      <c r="AG278" s="7">
        <v>16.3</v>
      </c>
      <c r="AH278" s="7">
        <v>12.1</v>
      </c>
      <c r="AI278" s="7">
        <v>11.7</v>
      </c>
      <c r="AJ278" s="7">
        <v>72.2</v>
      </c>
      <c r="AK278" s="7">
        <v>72</v>
      </c>
      <c r="AL278" s="7">
        <v>12</v>
      </c>
      <c r="AM278" s="7">
        <v>100.51</v>
      </c>
      <c r="AN278" s="7">
        <v>9.6999999999999993</v>
      </c>
      <c r="AO278" s="7">
        <v>2301</v>
      </c>
    </row>
    <row r="279" spans="1:41">
      <c r="A279" s="6" t="s">
        <v>597</v>
      </c>
      <c r="B279" s="6" t="s">
        <v>88</v>
      </c>
      <c r="C279" s="41">
        <f t="shared" si="9"/>
        <v>0.56511572130950949</v>
      </c>
      <c r="D279" s="42">
        <f t="shared" si="8"/>
        <v>1.975609756097561</v>
      </c>
      <c r="E279" s="31">
        <v>377</v>
      </c>
      <c r="F279" s="24">
        <v>133</v>
      </c>
      <c r="G279" s="24">
        <v>290</v>
      </c>
      <c r="H279" s="8">
        <v>45.7</v>
      </c>
      <c r="I279" s="9">
        <v>122</v>
      </c>
      <c r="J279" s="8">
        <v>33.6</v>
      </c>
      <c r="K279" s="8">
        <v>70</v>
      </c>
      <c r="L279" s="25">
        <v>99</v>
      </c>
      <c r="M279" s="8">
        <v>73.5</v>
      </c>
      <c r="N279" s="9">
        <v>17</v>
      </c>
      <c r="O279" s="9">
        <v>81</v>
      </c>
      <c r="P279" s="9">
        <v>99</v>
      </c>
      <c r="Q279" s="24">
        <v>81</v>
      </c>
      <c r="R279" s="24">
        <v>41</v>
      </c>
      <c r="S279" s="9">
        <v>23</v>
      </c>
      <c r="T279" s="9">
        <v>12</v>
      </c>
      <c r="U279" s="9">
        <v>58</v>
      </c>
      <c r="V279" s="8">
        <v>679</v>
      </c>
      <c r="W279" s="8">
        <v>0</v>
      </c>
      <c r="X279" s="8">
        <v>0</v>
      </c>
      <c r="Y279" s="7">
        <v>0.3</v>
      </c>
      <c r="Z279" s="7">
        <v>111.4</v>
      </c>
      <c r="AA279" s="7">
        <v>109.8</v>
      </c>
      <c r="AB279" s="7">
        <v>1.7</v>
      </c>
      <c r="AC279" s="7">
        <v>16.2</v>
      </c>
      <c r="AD279" s="7">
        <v>2.08</v>
      </c>
      <c r="AE279" s="7">
        <v>18.100000000000001</v>
      </c>
      <c r="AF279" s="7">
        <v>2.5</v>
      </c>
      <c r="AG279" s="7">
        <v>9.6999999999999993</v>
      </c>
      <c r="AH279" s="7">
        <v>6.3</v>
      </c>
      <c r="AI279" s="7">
        <v>8.6999999999999993</v>
      </c>
      <c r="AJ279" s="7">
        <v>52.7</v>
      </c>
      <c r="AK279" s="7">
        <v>56.7</v>
      </c>
      <c r="AL279" s="7">
        <v>20.8</v>
      </c>
      <c r="AM279" s="7">
        <v>106.82</v>
      </c>
      <c r="AN279" s="7">
        <v>9</v>
      </c>
      <c r="AO279" s="7">
        <v>1607</v>
      </c>
    </row>
    <row r="280" spans="1:41">
      <c r="A280" s="6" t="s">
        <v>599</v>
      </c>
      <c r="B280" s="6" t="s">
        <v>60</v>
      </c>
      <c r="C280" s="41">
        <f t="shared" si="9"/>
        <v>0.59037809320437129</v>
      </c>
      <c r="D280" s="42">
        <f t="shared" si="8"/>
        <v>2.5686274509803924</v>
      </c>
      <c r="E280" s="31">
        <v>376</v>
      </c>
      <c r="F280" s="24">
        <v>137</v>
      </c>
      <c r="G280" s="24">
        <v>296</v>
      </c>
      <c r="H280" s="8">
        <v>46.3</v>
      </c>
      <c r="I280" s="9">
        <v>154</v>
      </c>
      <c r="J280" s="8">
        <v>38.200000000000003</v>
      </c>
      <c r="K280" s="8">
        <v>46</v>
      </c>
      <c r="L280" s="25">
        <v>51</v>
      </c>
      <c r="M280" s="8">
        <v>84.3</v>
      </c>
      <c r="N280" s="9">
        <v>17</v>
      </c>
      <c r="O280" s="9">
        <v>51</v>
      </c>
      <c r="P280" s="9">
        <v>68</v>
      </c>
      <c r="Q280" s="24">
        <v>131</v>
      </c>
      <c r="R280" s="24">
        <v>51</v>
      </c>
      <c r="S280" s="9">
        <v>34</v>
      </c>
      <c r="T280" s="9">
        <v>6</v>
      </c>
      <c r="U280" s="9">
        <v>74</v>
      </c>
      <c r="V280" s="8">
        <v>724</v>
      </c>
      <c r="W280" s="8">
        <v>1</v>
      </c>
      <c r="X280" s="8">
        <v>0</v>
      </c>
      <c r="Y280" s="7">
        <v>0.7</v>
      </c>
      <c r="Z280" s="7">
        <v>110.4</v>
      </c>
      <c r="AA280" s="7">
        <v>107.5</v>
      </c>
      <c r="AB280" s="7">
        <v>2.9</v>
      </c>
      <c r="AC280" s="7">
        <v>23.9</v>
      </c>
      <c r="AD280" s="7">
        <v>2.46</v>
      </c>
      <c r="AE280" s="7">
        <v>26.4</v>
      </c>
      <c r="AF280" s="7">
        <v>2.1</v>
      </c>
      <c r="AG280" s="7">
        <v>6</v>
      </c>
      <c r="AH280" s="7">
        <v>4</v>
      </c>
      <c r="AI280" s="7">
        <v>10.7</v>
      </c>
      <c r="AJ280" s="7">
        <v>56.1</v>
      </c>
      <c r="AK280" s="7">
        <v>58.9</v>
      </c>
      <c r="AL280" s="7">
        <v>18.7</v>
      </c>
      <c r="AM280" s="7">
        <v>102</v>
      </c>
      <c r="AN280" s="7">
        <v>9.5</v>
      </c>
      <c r="AO280" s="7">
        <v>1719</v>
      </c>
    </row>
    <row r="281" spans="1:41">
      <c r="A281" s="6" t="s">
        <v>601</v>
      </c>
      <c r="B281" s="6" t="s">
        <v>64</v>
      </c>
      <c r="C281" s="41">
        <f t="shared" si="9"/>
        <v>0.52969683308914683</v>
      </c>
      <c r="D281" s="42">
        <f t="shared" si="8"/>
        <v>1.2391304347826086</v>
      </c>
      <c r="E281" s="31">
        <v>376</v>
      </c>
      <c r="F281" s="24">
        <v>165</v>
      </c>
      <c r="G281" s="24">
        <v>325</v>
      </c>
      <c r="H281" s="8">
        <v>50.2</v>
      </c>
      <c r="I281" s="9">
        <v>34</v>
      </c>
      <c r="J281" s="8">
        <v>27.8</v>
      </c>
      <c r="K281" s="8">
        <v>40</v>
      </c>
      <c r="L281" s="25">
        <v>68</v>
      </c>
      <c r="M281" s="8">
        <v>59.4</v>
      </c>
      <c r="N281" s="9">
        <v>103</v>
      </c>
      <c r="O281" s="9">
        <v>217</v>
      </c>
      <c r="P281" s="9">
        <v>319</v>
      </c>
      <c r="Q281" s="24">
        <v>57</v>
      </c>
      <c r="R281" s="24">
        <v>46</v>
      </c>
      <c r="S281" s="9">
        <v>46</v>
      </c>
      <c r="T281" s="9">
        <v>40</v>
      </c>
      <c r="U281" s="9">
        <v>80</v>
      </c>
      <c r="V281" s="8">
        <v>1066</v>
      </c>
      <c r="W281" s="8">
        <v>3</v>
      </c>
      <c r="X281" s="8">
        <v>0</v>
      </c>
      <c r="Y281" s="7">
        <v>-0.8</v>
      </c>
      <c r="Z281" s="7">
        <v>110.2</v>
      </c>
      <c r="AA281" s="7">
        <v>111.4</v>
      </c>
      <c r="AB281" s="7">
        <v>-1.2</v>
      </c>
      <c r="AC281" s="7">
        <v>6.5</v>
      </c>
      <c r="AD281" s="7">
        <v>1.22</v>
      </c>
      <c r="AE281" s="7">
        <v>12.1</v>
      </c>
      <c r="AF281" s="7">
        <v>8.4</v>
      </c>
      <c r="AG281" s="7">
        <v>18.8</v>
      </c>
      <c r="AH281" s="7">
        <v>13.5</v>
      </c>
      <c r="AI281" s="7">
        <v>9.9</v>
      </c>
      <c r="AJ281" s="7">
        <v>51.7</v>
      </c>
      <c r="AK281" s="7">
        <v>53</v>
      </c>
      <c r="AL281" s="7">
        <v>14.3</v>
      </c>
      <c r="AM281" s="7">
        <v>100.16</v>
      </c>
      <c r="AN281" s="7">
        <v>9.1999999999999993</v>
      </c>
      <c r="AO281" s="7">
        <v>2432</v>
      </c>
    </row>
    <row r="282" spans="1:41">
      <c r="A282" s="6" t="s">
        <v>603</v>
      </c>
      <c r="B282" s="6" t="s">
        <v>88</v>
      </c>
      <c r="C282" s="41">
        <f t="shared" si="9"/>
        <v>0.56939390136780021</v>
      </c>
      <c r="D282" s="42">
        <f t="shared" si="8"/>
        <v>1.6666666666666667</v>
      </c>
      <c r="E282" s="31">
        <v>363</v>
      </c>
      <c r="F282" s="24">
        <v>126</v>
      </c>
      <c r="G282" s="24">
        <v>284</v>
      </c>
      <c r="H282" s="8">
        <v>44.6</v>
      </c>
      <c r="I282" s="9">
        <v>150</v>
      </c>
      <c r="J282" s="8">
        <v>32.700000000000003</v>
      </c>
      <c r="K282" s="8">
        <v>63</v>
      </c>
      <c r="L282" s="25">
        <v>79</v>
      </c>
      <c r="M282" s="8">
        <v>78.900000000000006</v>
      </c>
      <c r="N282" s="9">
        <v>63</v>
      </c>
      <c r="O282" s="9">
        <v>103</v>
      </c>
      <c r="P282" s="9">
        <v>166</v>
      </c>
      <c r="Q282" s="24">
        <v>40</v>
      </c>
      <c r="R282" s="24">
        <v>24</v>
      </c>
      <c r="S282" s="9">
        <v>40</v>
      </c>
      <c r="T282" s="9">
        <v>24</v>
      </c>
      <c r="U282" s="9">
        <v>111</v>
      </c>
      <c r="V282" s="8">
        <v>774</v>
      </c>
      <c r="W282" s="8">
        <v>0</v>
      </c>
      <c r="X282" s="8">
        <v>0</v>
      </c>
      <c r="Y282" s="7">
        <v>0.4</v>
      </c>
      <c r="Z282" s="7">
        <v>112.9</v>
      </c>
      <c r="AA282" s="7">
        <v>111.1</v>
      </c>
      <c r="AB282" s="7">
        <v>1.8</v>
      </c>
      <c r="AC282" s="7">
        <v>4.5</v>
      </c>
      <c r="AD282" s="7">
        <v>1.44</v>
      </c>
      <c r="AE282" s="7">
        <v>10.1</v>
      </c>
      <c r="AF282" s="7">
        <v>5.6</v>
      </c>
      <c r="AG282" s="7">
        <v>8.1999999999999993</v>
      </c>
      <c r="AH282" s="7">
        <v>7</v>
      </c>
      <c r="AI282" s="7">
        <v>7</v>
      </c>
      <c r="AJ282" s="7">
        <v>53.3</v>
      </c>
      <c r="AK282" s="7">
        <v>57.1</v>
      </c>
      <c r="AL282" s="7">
        <v>12.6</v>
      </c>
      <c r="AM282" s="7">
        <v>104</v>
      </c>
      <c r="AN282" s="7">
        <v>5.5</v>
      </c>
      <c r="AO282" s="7">
        <v>2427</v>
      </c>
    </row>
    <row r="283" spans="1:41">
      <c r="A283" s="6" t="s">
        <v>605</v>
      </c>
      <c r="B283" s="6" t="s">
        <v>56</v>
      </c>
      <c r="C283" s="41">
        <f t="shared" si="9"/>
        <v>0.53814876823726376</v>
      </c>
      <c r="D283" s="42">
        <f t="shared" si="8"/>
        <v>3.9459459459459461</v>
      </c>
      <c r="E283" s="31">
        <v>360</v>
      </c>
      <c r="F283" s="24">
        <v>140</v>
      </c>
      <c r="G283" s="24">
        <v>305</v>
      </c>
      <c r="H283" s="8">
        <v>46.9</v>
      </c>
      <c r="I283" s="9">
        <v>67</v>
      </c>
      <c r="J283" s="8">
        <v>35.700000000000003</v>
      </c>
      <c r="K283" s="8">
        <v>49</v>
      </c>
      <c r="L283" s="25">
        <v>67</v>
      </c>
      <c r="M283" s="8">
        <v>73.8</v>
      </c>
      <c r="N283" s="9">
        <v>55</v>
      </c>
      <c r="O283" s="9">
        <v>153</v>
      </c>
      <c r="P283" s="9">
        <v>207</v>
      </c>
      <c r="Q283" s="24">
        <v>146</v>
      </c>
      <c r="R283" s="24">
        <v>37</v>
      </c>
      <c r="S283" s="9">
        <v>43</v>
      </c>
      <c r="T283" s="9">
        <v>31</v>
      </c>
      <c r="U283" s="9">
        <v>79</v>
      </c>
      <c r="V283" s="8">
        <v>1007</v>
      </c>
      <c r="W283" s="8">
        <v>2</v>
      </c>
      <c r="X283" s="8">
        <v>0</v>
      </c>
      <c r="Y283" s="7">
        <v>-0.4</v>
      </c>
      <c r="Z283" s="7">
        <v>106.1</v>
      </c>
      <c r="AA283" s="7">
        <v>107.6</v>
      </c>
      <c r="AB283" s="7">
        <v>-1.5</v>
      </c>
      <c r="AC283" s="7">
        <v>21.1</v>
      </c>
      <c r="AD283" s="7">
        <v>3.92</v>
      </c>
      <c r="AE283" s="7">
        <v>28.3</v>
      </c>
      <c r="AF283" s="7">
        <v>4.9000000000000004</v>
      </c>
      <c r="AG283" s="7">
        <v>14.8</v>
      </c>
      <c r="AH283" s="7">
        <v>9.6999999999999993</v>
      </c>
      <c r="AI283" s="7">
        <v>7.2</v>
      </c>
      <c r="AJ283" s="7">
        <v>51</v>
      </c>
      <c r="AK283" s="7">
        <v>53.8</v>
      </c>
      <c r="AL283" s="7">
        <v>15.2</v>
      </c>
      <c r="AM283" s="7">
        <v>100.06</v>
      </c>
      <c r="AN283" s="7">
        <v>10.8</v>
      </c>
      <c r="AO283" s="7">
        <v>2093</v>
      </c>
    </row>
    <row r="284" spans="1:41">
      <c r="A284" s="6" t="s">
        <v>607</v>
      </c>
      <c r="B284" s="6" t="s">
        <v>54</v>
      </c>
      <c r="C284" s="41">
        <f t="shared" si="9"/>
        <v>0.51258685499487411</v>
      </c>
      <c r="D284" s="42">
        <f t="shared" si="8"/>
        <v>2</v>
      </c>
      <c r="E284" s="31">
        <v>360</v>
      </c>
      <c r="F284" s="24">
        <v>138</v>
      </c>
      <c r="G284" s="24">
        <v>323</v>
      </c>
      <c r="H284" s="8">
        <v>41.8</v>
      </c>
      <c r="I284" s="9">
        <v>148</v>
      </c>
      <c r="J284" s="8">
        <v>28.5</v>
      </c>
      <c r="K284" s="8">
        <v>42</v>
      </c>
      <c r="L284" s="25">
        <v>64</v>
      </c>
      <c r="M284" s="8">
        <v>70.5</v>
      </c>
      <c r="N284" s="9">
        <v>53</v>
      </c>
      <c r="O284" s="9">
        <v>170</v>
      </c>
      <c r="P284" s="9">
        <v>223</v>
      </c>
      <c r="Q284" s="24">
        <v>106</v>
      </c>
      <c r="R284" s="24">
        <v>53</v>
      </c>
      <c r="S284" s="9">
        <v>58</v>
      </c>
      <c r="T284" s="9">
        <v>32</v>
      </c>
      <c r="U284" s="9">
        <v>95</v>
      </c>
      <c r="V284" s="8">
        <v>996</v>
      </c>
      <c r="W284" s="8">
        <v>0</v>
      </c>
      <c r="X284" s="8">
        <v>0</v>
      </c>
      <c r="Y284" s="7">
        <v>-2</v>
      </c>
      <c r="Z284" s="7">
        <v>108.1</v>
      </c>
      <c r="AA284" s="7">
        <v>111.3</v>
      </c>
      <c r="AB284" s="7">
        <v>-3.2</v>
      </c>
      <c r="AC284" s="7">
        <v>12.8</v>
      </c>
      <c r="AD284" s="7">
        <v>2.06</v>
      </c>
      <c r="AE284" s="7">
        <v>20.6</v>
      </c>
      <c r="AF284" s="7">
        <v>4.0999999999999996</v>
      </c>
      <c r="AG284" s="7">
        <v>13.6</v>
      </c>
      <c r="AH284" s="7">
        <v>8.8000000000000007</v>
      </c>
      <c r="AI284" s="7">
        <v>10</v>
      </c>
      <c r="AJ284" s="7">
        <v>48.5</v>
      </c>
      <c r="AK284" s="7">
        <v>50.9</v>
      </c>
      <c r="AL284" s="7">
        <v>14.2</v>
      </c>
      <c r="AM284" s="7">
        <v>101.2</v>
      </c>
      <c r="AN284" s="7">
        <v>8</v>
      </c>
      <c r="AO284" s="7">
        <v>2462</v>
      </c>
    </row>
    <row r="285" spans="1:41">
      <c r="A285" s="6" t="s">
        <v>609</v>
      </c>
      <c r="B285" s="6" t="s">
        <v>56</v>
      </c>
      <c r="C285" s="41">
        <f t="shared" si="9"/>
        <v>0.61393881190835509</v>
      </c>
      <c r="D285" s="42">
        <f t="shared" si="8"/>
        <v>1.8620689655172413</v>
      </c>
      <c r="E285" s="31">
        <v>358</v>
      </c>
      <c r="F285" s="24">
        <v>113</v>
      </c>
      <c r="G285" s="24">
        <v>270</v>
      </c>
      <c r="H285" s="8">
        <v>42.4</v>
      </c>
      <c r="I285" s="9">
        <v>206</v>
      </c>
      <c r="J285" s="8">
        <v>42.5</v>
      </c>
      <c r="K285" s="8">
        <v>39</v>
      </c>
      <c r="L285" s="25">
        <v>49</v>
      </c>
      <c r="M285" s="8">
        <v>77.599999999999994</v>
      </c>
      <c r="N285" s="9">
        <v>15</v>
      </c>
      <c r="O285" s="9">
        <v>108</v>
      </c>
      <c r="P285" s="9">
        <v>123</v>
      </c>
      <c r="Q285" s="24">
        <v>54</v>
      </c>
      <c r="R285" s="24">
        <v>29</v>
      </c>
      <c r="S285" s="9">
        <v>29</v>
      </c>
      <c r="T285" s="9">
        <v>5</v>
      </c>
      <c r="U285" s="9">
        <v>39</v>
      </c>
      <c r="V285" s="8">
        <v>662</v>
      </c>
      <c r="W285" s="8">
        <v>0</v>
      </c>
      <c r="X285" s="8">
        <v>0</v>
      </c>
      <c r="Y285" s="7">
        <v>2.2000000000000002</v>
      </c>
      <c r="Z285" s="7">
        <v>113.5</v>
      </c>
      <c r="AA285" s="7">
        <v>107.6</v>
      </c>
      <c r="AB285" s="7">
        <v>5.9</v>
      </c>
      <c r="AC285" s="7">
        <v>9</v>
      </c>
      <c r="AD285" s="7">
        <v>1.9</v>
      </c>
      <c r="AE285" s="7">
        <v>14.7</v>
      </c>
      <c r="AF285" s="7">
        <v>1.8</v>
      </c>
      <c r="AG285" s="7">
        <v>11.9</v>
      </c>
      <c r="AH285" s="7">
        <v>7</v>
      </c>
      <c r="AI285" s="7">
        <v>7.8</v>
      </c>
      <c r="AJ285" s="7">
        <v>58.7</v>
      </c>
      <c r="AK285" s="7">
        <v>60.8</v>
      </c>
      <c r="AL285" s="7">
        <v>16</v>
      </c>
      <c r="AM285" s="7">
        <v>98.03</v>
      </c>
      <c r="AN285" s="7">
        <v>8.8000000000000007</v>
      </c>
      <c r="AO285" s="7">
        <v>1766</v>
      </c>
    </row>
    <row r="286" spans="1:41">
      <c r="A286" s="6" t="s">
        <v>611</v>
      </c>
      <c r="B286" s="6" t="s">
        <v>144</v>
      </c>
      <c r="C286" s="41">
        <f t="shared" si="9"/>
        <v>0.50921158027234237</v>
      </c>
      <c r="D286" s="42">
        <f t="shared" si="8"/>
        <v>1.7592592592592593</v>
      </c>
      <c r="E286" s="31">
        <v>356</v>
      </c>
      <c r="F286" s="24">
        <v>131</v>
      </c>
      <c r="G286" s="24">
        <v>306</v>
      </c>
      <c r="H286" s="8">
        <v>42.4</v>
      </c>
      <c r="I286" s="9">
        <v>104</v>
      </c>
      <c r="J286" s="8">
        <v>35.9</v>
      </c>
      <c r="K286" s="8">
        <v>63</v>
      </c>
      <c r="L286" s="25">
        <v>99</v>
      </c>
      <c r="M286" s="8">
        <v>62.2</v>
      </c>
      <c r="N286" s="9">
        <v>54</v>
      </c>
      <c r="O286" s="9">
        <v>126</v>
      </c>
      <c r="P286" s="9">
        <v>176</v>
      </c>
      <c r="Q286" s="24">
        <v>95</v>
      </c>
      <c r="R286" s="24">
        <v>54</v>
      </c>
      <c r="S286" s="9">
        <v>45</v>
      </c>
      <c r="T286" s="9">
        <v>23</v>
      </c>
      <c r="U286" s="9">
        <v>86</v>
      </c>
      <c r="V286" s="8">
        <v>864</v>
      </c>
      <c r="W286" s="8">
        <v>1</v>
      </c>
      <c r="X286" s="8">
        <v>0</v>
      </c>
      <c r="Y286" s="7">
        <v>-3.4</v>
      </c>
      <c r="Z286" s="7">
        <v>106.5</v>
      </c>
      <c r="AA286" s="7">
        <v>112.8</v>
      </c>
      <c r="AB286" s="7">
        <v>-6.3</v>
      </c>
      <c r="AC286" s="7">
        <v>11.6</v>
      </c>
      <c r="AD286" s="7">
        <v>1.7</v>
      </c>
      <c r="AE286" s="7">
        <v>19</v>
      </c>
      <c r="AF286" s="7">
        <v>4.2</v>
      </c>
      <c r="AG286" s="7">
        <v>10.5</v>
      </c>
      <c r="AH286" s="7">
        <v>7.3</v>
      </c>
      <c r="AI286" s="7">
        <v>11.2</v>
      </c>
      <c r="AJ286" s="7">
        <v>48.5</v>
      </c>
      <c r="AK286" s="7">
        <v>51.3</v>
      </c>
      <c r="AL286" s="7">
        <v>14.3</v>
      </c>
      <c r="AM286" s="7">
        <v>98.64</v>
      </c>
      <c r="AN286" s="7">
        <v>6.3</v>
      </c>
      <c r="AO286" s="7">
        <v>2504</v>
      </c>
    </row>
    <row r="287" spans="1:41">
      <c r="A287" s="6" t="s">
        <v>613</v>
      </c>
      <c r="B287" s="6" t="s">
        <v>140</v>
      </c>
      <c r="C287" s="41">
        <f t="shared" si="9"/>
        <v>0.45356703567035667</v>
      </c>
      <c r="D287" s="42">
        <f t="shared" si="8"/>
        <v>1.2</v>
      </c>
      <c r="E287" s="31">
        <v>354</v>
      </c>
      <c r="F287" s="24">
        <v>114</v>
      </c>
      <c r="G287" s="24">
        <v>348</v>
      </c>
      <c r="H287" s="8">
        <v>33</v>
      </c>
      <c r="I287" s="9">
        <v>204</v>
      </c>
      <c r="J287" s="8">
        <v>28.3</v>
      </c>
      <c r="K287" s="8">
        <v>66</v>
      </c>
      <c r="L287" s="25">
        <v>96</v>
      </c>
      <c r="M287" s="8">
        <v>71.3</v>
      </c>
      <c r="N287" s="9">
        <v>72</v>
      </c>
      <c r="O287" s="9">
        <v>210</v>
      </c>
      <c r="P287" s="9">
        <v>282</v>
      </c>
      <c r="Q287" s="24">
        <v>72</v>
      </c>
      <c r="R287" s="24">
        <v>60</v>
      </c>
      <c r="S287" s="9">
        <v>30</v>
      </c>
      <c r="T287" s="9">
        <v>12</v>
      </c>
      <c r="U287" s="9">
        <v>84</v>
      </c>
      <c r="V287" s="8">
        <v>870</v>
      </c>
      <c r="W287" s="8">
        <v>2</v>
      </c>
      <c r="X287" s="8">
        <v>0</v>
      </c>
      <c r="Y287" s="7">
        <v>-5.4</v>
      </c>
      <c r="Z287" s="7">
        <v>99.4</v>
      </c>
      <c r="AA287" s="7">
        <v>111.2</v>
      </c>
      <c r="AB287" s="7">
        <v>-11.9</v>
      </c>
      <c r="AC287" s="7">
        <v>9.1999999999999993</v>
      </c>
      <c r="AD287" s="7">
        <v>1.28</v>
      </c>
      <c r="AE287" s="7">
        <v>14.2</v>
      </c>
      <c r="AF287" s="7">
        <v>5</v>
      </c>
      <c r="AG287" s="7">
        <v>16.8</v>
      </c>
      <c r="AH287" s="7">
        <v>10.6</v>
      </c>
      <c r="AI287" s="7">
        <v>11.2</v>
      </c>
      <c r="AJ287" s="7">
        <v>41.4</v>
      </c>
      <c r="AK287" s="7">
        <v>45.7</v>
      </c>
      <c r="AL287" s="7">
        <v>15</v>
      </c>
      <c r="AM287" s="7">
        <v>98.5</v>
      </c>
      <c r="AN287" s="7">
        <v>6.5</v>
      </c>
      <c r="AO287" s="7">
        <v>2545</v>
      </c>
    </row>
    <row r="288" spans="1:41">
      <c r="A288" s="6" t="s">
        <v>615</v>
      </c>
      <c r="B288" s="6" t="s">
        <v>58</v>
      </c>
      <c r="C288" s="41">
        <f t="shared" si="9"/>
        <v>0.59993201903467031</v>
      </c>
      <c r="D288" s="42">
        <f t="shared" si="8"/>
        <v>1.8484848484848484</v>
      </c>
      <c r="E288" s="31">
        <v>353</v>
      </c>
      <c r="F288" s="24">
        <v>103</v>
      </c>
      <c r="G288" s="24">
        <v>259</v>
      </c>
      <c r="H288" s="8">
        <v>39.700000000000003</v>
      </c>
      <c r="I288" s="9">
        <v>216</v>
      </c>
      <c r="J288" s="8">
        <v>39</v>
      </c>
      <c r="K288" s="8">
        <v>66</v>
      </c>
      <c r="L288" s="25">
        <v>80</v>
      </c>
      <c r="M288" s="8">
        <v>82.1</v>
      </c>
      <c r="N288" s="9">
        <v>14</v>
      </c>
      <c r="O288" s="9">
        <v>75</v>
      </c>
      <c r="P288" s="9">
        <v>89</v>
      </c>
      <c r="Q288" s="24">
        <v>61</v>
      </c>
      <c r="R288" s="24">
        <v>33</v>
      </c>
      <c r="S288" s="9">
        <v>28</v>
      </c>
      <c r="T288" s="9">
        <v>14</v>
      </c>
      <c r="U288" s="9">
        <v>80</v>
      </c>
      <c r="V288" s="8">
        <v>639</v>
      </c>
      <c r="W288" s="8">
        <v>0</v>
      </c>
      <c r="X288" s="8">
        <v>0</v>
      </c>
      <c r="Y288" s="7">
        <v>-1.3</v>
      </c>
      <c r="Z288" s="7">
        <v>107.9</v>
      </c>
      <c r="AA288" s="7">
        <v>111.4</v>
      </c>
      <c r="AB288" s="7">
        <v>-3.5</v>
      </c>
      <c r="AC288" s="7">
        <v>10.199999999999999</v>
      </c>
      <c r="AD288" s="7">
        <v>1.94</v>
      </c>
      <c r="AE288" s="7">
        <v>16</v>
      </c>
      <c r="AF288" s="7">
        <v>1.5</v>
      </c>
      <c r="AG288" s="7">
        <v>8.5</v>
      </c>
      <c r="AH288" s="7">
        <v>4.9000000000000004</v>
      </c>
      <c r="AI288" s="7">
        <v>8.1999999999999993</v>
      </c>
      <c r="AJ288" s="7">
        <v>56.2</v>
      </c>
      <c r="AK288" s="7">
        <v>60.6</v>
      </c>
      <c r="AL288" s="7">
        <v>15.3</v>
      </c>
      <c r="AM288" s="7">
        <v>105.43</v>
      </c>
      <c r="AN288" s="7">
        <v>6.8</v>
      </c>
      <c r="AO288" s="7">
        <v>1824</v>
      </c>
    </row>
    <row r="289" spans="1:41">
      <c r="A289" s="6" t="s">
        <v>617</v>
      </c>
      <c r="B289" s="6" t="s">
        <v>116</v>
      </c>
      <c r="C289" s="41">
        <f t="shared" si="9"/>
        <v>0.59020791415157614</v>
      </c>
      <c r="D289" s="42">
        <f t="shared" si="8"/>
        <v>1.6216216216216217</v>
      </c>
      <c r="E289" s="31">
        <v>352</v>
      </c>
      <c r="F289" s="24">
        <v>127</v>
      </c>
      <c r="G289" s="24">
        <v>274</v>
      </c>
      <c r="H289" s="8">
        <v>46</v>
      </c>
      <c r="I289" s="9">
        <v>133</v>
      </c>
      <c r="J289" s="8">
        <v>38.299999999999997</v>
      </c>
      <c r="K289" s="8">
        <v>48</v>
      </c>
      <c r="L289" s="25">
        <v>55</v>
      </c>
      <c r="M289" s="8">
        <v>87.5</v>
      </c>
      <c r="N289" s="9">
        <v>14</v>
      </c>
      <c r="O289" s="9">
        <v>44</v>
      </c>
      <c r="P289" s="9">
        <v>55</v>
      </c>
      <c r="Q289" s="24">
        <v>60</v>
      </c>
      <c r="R289" s="24">
        <v>37</v>
      </c>
      <c r="S289" s="9">
        <v>16</v>
      </c>
      <c r="T289" s="8">
        <v>0</v>
      </c>
      <c r="U289" s="9">
        <v>37</v>
      </c>
      <c r="V289" s="8">
        <v>518</v>
      </c>
      <c r="W289" s="8">
        <v>1</v>
      </c>
      <c r="X289" s="8">
        <v>0</v>
      </c>
      <c r="Y289" s="7">
        <v>-1.2</v>
      </c>
      <c r="Z289" s="7">
        <v>109.3</v>
      </c>
      <c r="AA289" s="7">
        <v>111.4</v>
      </c>
      <c r="AB289" s="7">
        <v>-2.1</v>
      </c>
      <c r="AC289" s="7">
        <v>17.100000000000001</v>
      </c>
      <c r="AD289" s="7">
        <v>1.62</v>
      </c>
      <c r="AE289" s="7">
        <v>15.2</v>
      </c>
      <c r="AF289" s="7">
        <v>2.2000000000000002</v>
      </c>
      <c r="AG289" s="7">
        <v>7.6</v>
      </c>
      <c r="AH289" s="7">
        <v>4.8</v>
      </c>
      <c r="AI289" s="7">
        <v>9.3000000000000007</v>
      </c>
      <c r="AJ289" s="7">
        <v>55.3</v>
      </c>
      <c r="AK289" s="7">
        <v>58.9</v>
      </c>
      <c r="AL289" s="7">
        <v>24.3</v>
      </c>
      <c r="AM289" s="7">
        <v>98.18</v>
      </c>
      <c r="AN289" s="7">
        <v>10.6</v>
      </c>
      <c r="AO289" s="7">
        <v>1210</v>
      </c>
    </row>
    <row r="290" spans="1:41">
      <c r="A290" s="6" t="s">
        <v>619</v>
      </c>
      <c r="B290" s="6" t="s">
        <v>76</v>
      </c>
      <c r="C290" s="41">
        <f t="shared" si="9"/>
        <v>0.5438871473354232</v>
      </c>
      <c r="D290" s="42">
        <f t="shared" si="8"/>
        <v>1.588235294117647</v>
      </c>
      <c r="E290" s="31">
        <v>347</v>
      </c>
      <c r="F290" s="24">
        <v>122</v>
      </c>
      <c r="G290" s="24">
        <v>286</v>
      </c>
      <c r="H290" s="8">
        <v>42.9</v>
      </c>
      <c r="I290" s="9">
        <v>143</v>
      </c>
      <c r="J290" s="8">
        <v>32.6</v>
      </c>
      <c r="K290" s="8">
        <v>54</v>
      </c>
      <c r="L290" s="25">
        <v>75</v>
      </c>
      <c r="M290" s="8">
        <v>72.400000000000006</v>
      </c>
      <c r="N290" s="9">
        <v>61</v>
      </c>
      <c r="O290" s="9">
        <v>156</v>
      </c>
      <c r="P290" s="9">
        <v>218</v>
      </c>
      <c r="Q290" s="24">
        <v>54</v>
      </c>
      <c r="R290" s="24">
        <v>34</v>
      </c>
      <c r="S290" s="9">
        <v>68</v>
      </c>
      <c r="T290" s="9">
        <v>34</v>
      </c>
      <c r="U290" s="9">
        <v>95</v>
      </c>
      <c r="V290" s="8">
        <v>952</v>
      </c>
      <c r="W290" s="8">
        <v>0</v>
      </c>
      <c r="X290" s="8">
        <v>0</v>
      </c>
      <c r="Y290" s="7">
        <v>-3.1</v>
      </c>
      <c r="Z290" s="7">
        <v>109.1</v>
      </c>
      <c r="AA290" s="7">
        <v>117</v>
      </c>
      <c r="AB290" s="7">
        <v>-7.8</v>
      </c>
      <c r="AC290" s="7">
        <v>5.9</v>
      </c>
      <c r="AD290" s="7">
        <v>1.75</v>
      </c>
      <c r="AE290" s="7">
        <v>13.8</v>
      </c>
      <c r="AF290" s="7">
        <v>4.2</v>
      </c>
      <c r="AG290" s="7">
        <v>12.2</v>
      </c>
      <c r="AH290" s="7">
        <v>8.1</v>
      </c>
      <c r="AI290" s="7">
        <v>7.9</v>
      </c>
      <c r="AJ290" s="7">
        <v>50.9</v>
      </c>
      <c r="AK290" s="7">
        <v>54.1</v>
      </c>
      <c r="AL290" s="7">
        <v>11.3</v>
      </c>
      <c r="AM290" s="7">
        <v>101.97</v>
      </c>
      <c r="AN290" s="7">
        <v>6.4</v>
      </c>
      <c r="AO290" s="7">
        <v>2671</v>
      </c>
    </row>
    <row r="291" spans="1:41">
      <c r="A291" s="6" t="s">
        <v>621</v>
      </c>
      <c r="B291" s="6" t="s">
        <v>50</v>
      </c>
      <c r="C291" s="41">
        <f t="shared" si="9"/>
        <v>0.60076177285318555</v>
      </c>
      <c r="D291" s="42">
        <f t="shared" si="8"/>
        <v>2.12</v>
      </c>
      <c r="E291" s="31">
        <v>347</v>
      </c>
      <c r="F291" s="24">
        <v>134</v>
      </c>
      <c r="G291" s="24">
        <v>269</v>
      </c>
      <c r="H291" s="8">
        <v>48.7</v>
      </c>
      <c r="I291" s="9">
        <v>118</v>
      </c>
      <c r="J291" s="8">
        <v>40.799999999999997</v>
      </c>
      <c r="K291" s="8">
        <v>34</v>
      </c>
      <c r="L291" s="25">
        <v>45</v>
      </c>
      <c r="M291" s="8">
        <v>80</v>
      </c>
      <c r="N291" s="9">
        <v>22</v>
      </c>
      <c r="O291" s="9">
        <v>90</v>
      </c>
      <c r="P291" s="9">
        <v>106</v>
      </c>
      <c r="Q291" s="24">
        <v>106</v>
      </c>
      <c r="R291" s="24">
        <v>50</v>
      </c>
      <c r="S291" s="9">
        <v>45</v>
      </c>
      <c r="T291" s="9">
        <v>17</v>
      </c>
      <c r="U291" s="9">
        <v>90</v>
      </c>
      <c r="V291" s="8">
        <v>756</v>
      </c>
      <c r="W291" s="8">
        <v>1</v>
      </c>
      <c r="X291" s="8">
        <v>0</v>
      </c>
      <c r="Y291" s="7">
        <v>1.5</v>
      </c>
      <c r="Z291" s="7">
        <v>114</v>
      </c>
      <c r="AA291" s="7">
        <v>108.6</v>
      </c>
      <c r="AB291" s="7">
        <v>5.4</v>
      </c>
      <c r="AC291" s="7">
        <v>17.3</v>
      </c>
      <c r="AD291" s="7">
        <v>1.96</v>
      </c>
      <c r="AE291" s="7">
        <v>23.3</v>
      </c>
      <c r="AF291" s="7">
        <v>2.7</v>
      </c>
      <c r="AG291" s="7">
        <v>9.8000000000000007</v>
      </c>
      <c r="AH291" s="7">
        <v>6.5</v>
      </c>
      <c r="AI291" s="7">
        <v>11.9</v>
      </c>
      <c r="AJ291" s="7">
        <v>57.7</v>
      </c>
      <c r="AK291" s="7">
        <v>60</v>
      </c>
      <c r="AL291" s="7">
        <v>17.899999999999999</v>
      </c>
      <c r="AM291" s="7">
        <v>101.74</v>
      </c>
      <c r="AN291" s="7">
        <v>8.8000000000000007</v>
      </c>
      <c r="AO291" s="7">
        <v>1732</v>
      </c>
    </row>
    <row r="292" spans="1:41">
      <c r="A292" s="6" t="s">
        <v>623</v>
      </c>
      <c r="B292" s="6" t="s">
        <v>70</v>
      </c>
      <c r="C292" s="41">
        <f t="shared" si="9"/>
        <v>0.52686714320926797</v>
      </c>
      <c r="D292" s="42">
        <f t="shared" si="8"/>
        <v>3.2105263157894739</v>
      </c>
      <c r="E292" s="31">
        <v>342</v>
      </c>
      <c r="F292" s="24">
        <v>144</v>
      </c>
      <c r="G292" s="24">
        <v>281</v>
      </c>
      <c r="H292" s="8">
        <v>51.4</v>
      </c>
      <c r="I292" s="9">
        <v>8</v>
      </c>
      <c r="J292" s="8">
        <v>40</v>
      </c>
      <c r="K292" s="8">
        <v>53</v>
      </c>
      <c r="L292" s="25">
        <v>99</v>
      </c>
      <c r="M292" s="8">
        <v>56.6</v>
      </c>
      <c r="N292" s="9">
        <v>182</v>
      </c>
      <c r="O292" s="9">
        <v>274</v>
      </c>
      <c r="P292" s="9">
        <v>464</v>
      </c>
      <c r="Q292" s="24">
        <v>122</v>
      </c>
      <c r="R292" s="24">
        <v>38</v>
      </c>
      <c r="S292" s="9">
        <v>46</v>
      </c>
      <c r="T292" s="9">
        <v>38</v>
      </c>
      <c r="U292" s="9">
        <v>152</v>
      </c>
      <c r="V292" s="8">
        <v>1284</v>
      </c>
      <c r="W292" s="8">
        <v>2</v>
      </c>
      <c r="X292" s="8">
        <v>0</v>
      </c>
      <c r="Y292" s="7">
        <v>1.5</v>
      </c>
      <c r="Z292" s="7">
        <v>112.5</v>
      </c>
      <c r="AA292" s="7">
        <v>106.9</v>
      </c>
      <c r="AB292" s="7">
        <v>5.6</v>
      </c>
      <c r="AC292" s="7">
        <v>14.3</v>
      </c>
      <c r="AD292" s="7">
        <v>3.03</v>
      </c>
      <c r="AE292" s="7">
        <v>24.7</v>
      </c>
      <c r="AF292" s="7">
        <v>13.9</v>
      </c>
      <c r="AG292" s="7">
        <v>22.7</v>
      </c>
      <c r="AH292" s="7">
        <v>18.100000000000001</v>
      </c>
      <c r="AI292" s="7">
        <v>8.1999999999999993</v>
      </c>
      <c r="AJ292" s="7">
        <v>51.8</v>
      </c>
      <c r="AK292" s="7">
        <v>53.5</v>
      </c>
      <c r="AL292" s="7">
        <v>12.5</v>
      </c>
      <c r="AM292" s="7">
        <v>100.61</v>
      </c>
      <c r="AN292" s="7">
        <v>11.4</v>
      </c>
      <c r="AO292" s="7">
        <v>2386</v>
      </c>
    </row>
    <row r="293" spans="1:41">
      <c r="A293" s="6" t="s">
        <v>625</v>
      </c>
      <c r="B293" s="6" t="s">
        <v>68</v>
      </c>
      <c r="C293" s="41">
        <f t="shared" si="9"/>
        <v>0.5963206491326245</v>
      </c>
      <c r="D293" s="42">
        <f t="shared" si="8"/>
        <v>2.189189189189189</v>
      </c>
      <c r="E293" s="31">
        <v>341</v>
      </c>
      <c r="F293" s="24">
        <v>118</v>
      </c>
      <c r="G293" s="24">
        <v>267</v>
      </c>
      <c r="H293" s="8">
        <v>43.7</v>
      </c>
      <c r="I293" s="9">
        <v>180</v>
      </c>
      <c r="J293" s="8">
        <v>39.799999999999997</v>
      </c>
      <c r="K293" s="8">
        <v>31</v>
      </c>
      <c r="L293" s="25">
        <v>43</v>
      </c>
      <c r="M293" s="8">
        <v>82.9</v>
      </c>
      <c r="N293" s="9">
        <v>12</v>
      </c>
      <c r="O293" s="9">
        <v>62</v>
      </c>
      <c r="P293" s="9">
        <v>81</v>
      </c>
      <c r="Q293" s="24">
        <v>81</v>
      </c>
      <c r="R293" s="24">
        <v>37</v>
      </c>
      <c r="S293" s="9">
        <v>19</v>
      </c>
      <c r="T293" s="9">
        <v>12</v>
      </c>
      <c r="U293" s="9">
        <v>62</v>
      </c>
      <c r="V293" s="8">
        <v>614</v>
      </c>
      <c r="W293" s="8">
        <v>0</v>
      </c>
      <c r="X293" s="8">
        <v>0</v>
      </c>
      <c r="Y293" s="7">
        <v>1.4</v>
      </c>
      <c r="Z293" s="7">
        <v>110.3</v>
      </c>
      <c r="AA293" s="7">
        <v>103.6</v>
      </c>
      <c r="AB293" s="7">
        <v>6.7</v>
      </c>
      <c r="AC293" s="7">
        <v>14.2</v>
      </c>
      <c r="AD293" s="7">
        <v>2.2400000000000002</v>
      </c>
      <c r="AE293" s="7">
        <v>20.5</v>
      </c>
      <c r="AF293" s="7">
        <v>1.5</v>
      </c>
      <c r="AG293" s="7">
        <v>7.3</v>
      </c>
      <c r="AH293" s="7">
        <v>4.4000000000000004</v>
      </c>
      <c r="AI293" s="7">
        <v>9.1</v>
      </c>
      <c r="AJ293" s="7">
        <v>57.1</v>
      </c>
      <c r="AK293" s="7">
        <v>59.4</v>
      </c>
      <c r="AL293" s="7">
        <v>16.2</v>
      </c>
      <c r="AM293" s="7">
        <v>103.09</v>
      </c>
      <c r="AN293" s="7">
        <v>8.1999999999999993</v>
      </c>
      <c r="AO293" s="7">
        <v>1689</v>
      </c>
    </row>
    <row r="294" spans="1:41">
      <c r="A294" s="6" t="s">
        <v>627</v>
      </c>
      <c r="B294" s="6" t="s">
        <v>70</v>
      </c>
      <c r="C294" s="41">
        <f t="shared" si="9"/>
        <v>0.59859154929577463</v>
      </c>
      <c r="D294" s="42">
        <f t="shared" si="8"/>
        <v>1.6176470588235294</v>
      </c>
      <c r="E294" s="31">
        <v>340</v>
      </c>
      <c r="F294" s="24">
        <v>122</v>
      </c>
      <c r="G294" s="24">
        <v>273</v>
      </c>
      <c r="H294" s="8">
        <v>44.9</v>
      </c>
      <c r="I294" s="9">
        <v>181</v>
      </c>
      <c r="J294" s="8">
        <v>40.799999999999997</v>
      </c>
      <c r="K294" s="8">
        <v>21</v>
      </c>
      <c r="L294" s="25">
        <v>25</v>
      </c>
      <c r="M294" s="8">
        <v>77.8</v>
      </c>
      <c r="N294" s="9">
        <v>34</v>
      </c>
      <c r="O294" s="9">
        <v>113</v>
      </c>
      <c r="P294" s="9">
        <v>147</v>
      </c>
      <c r="Q294" s="24">
        <v>55</v>
      </c>
      <c r="R294" s="24">
        <v>34</v>
      </c>
      <c r="S294" s="9">
        <v>17</v>
      </c>
      <c r="T294" s="9">
        <v>17</v>
      </c>
      <c r="U294" s="9">
        <v>84</v>
      </c>
      <c r="V294" s="8">
        <v>672</v>
      </c>
      <c r="W294" s="8">
        <v>0</v>
      </c>
      <c r="X294" s="8">
        <v>0</v>
      </c>
      <c r="Y294" s="7">
        <v>1</v>
      </c>
      <c r="Z294" s="7">
        <v>111.5</v>
      </c>
      <c r="AA294" s="7">
        <v>109.1</v>
      </c>
      <c r="AB294" s="7">
        <v>2.4</v>
      </c>
      <c r="AC294" s="7">
        <v>13.1</v>
      </c>
      <c r="AD294" s="7">
        <v>1.7</v>
      </c>
      <c r="AE294" s="7">
        <v>14.9</v>
      </c>
      <c r="AF294" s="7">
        <v>4.9000000000000004</v>
      </c>
      <c r="AG294" s="7">
        <v>16.600000000000001</v>
      </c>
      <c r="AH294" s="7">
        <v>10.6</v>
      </c>
      <c r="AI294" s="7">
        <v>8.8000000000000007</v>
      </c>
      <c r="AJ294" s="7">
        <v>58.2</v>
      </c>
      <c r="AK294" s="7">
        <v>59.5</v>
      </c>
      <c r="AL294" s="7">
        <v>19.7</v>
      </c>
      <c r="AM294" s="7">
        <v>100.02</v>
      </c>
      <c r="AN294" s="7">
        <v>9.5</v>
      </c>
      <c r="AO294" s="7">
        <v>1433</v>
      </c>
    </row>
    <row r="295" spans="1:41">
      <c r="A295" s="6" t="s">
        <v>629</v>
      </c>
      <c r="B295" s="6" t="s">
        <v>164</v>
      </c>
      <c r="C295" s="41">
        <f t="shared" si="9"/>
        <v>0.50439117018751478</v>
      </c>
      <c r="D295" s="42">
        <f t="shared" si="8"/>
        <v>2</v>
      </c>
      <c r="E295" s="31">
        <v>340</v>
      </c>
      <c r="F295" s="24">
        <v>131</v>
      </c>
      <c r="G295" s="24">
        <v>308</v>
      </c>
      <c r="H295" s="8">
        <v>42.1</v>
      </c>
      <c r="I295" s="9">
        <v>82</v>
      </c>
      <c r="J295" s="8">
        <v>33.299999999999997</v>
      </c>
      <c r="K295" s="8">
        <v>53</v>
      </c>
      <c r="L295" s="25">
        <v>66</v>
      </c>
      <c r="M295" s="8">
        <v>81.5</v>
      </c>
      <c r="N295" s="9">
        <v>41</v>
      </c>
      <c r="O295" s="9">
        <v>123</v>
      </c>
      <c r="P295" s="9">
        <v>164</v>
      </c>
      <c r="Q295" s="24">
        <v>82</v>
      </c>
      <c r="R295" s="24">
        <v>41</v>
      </c>
      <c r="S295" s="9">
        <v>33</v>
      </c>
      <c r="T295" s="9">
        <v>8</v>
      </c>
      <c r="U295" s="9">
        <v>70</v>
      </c>
      <c r="V295" s="8">
        <v>754</v>
      </c>
      <c r="W295" s="8">
        <v>0</v>
      </c>
      <c r="X295" s="8">
        <v>0</v>
      </c>
      <c r="Y295" s="7">
        <v>-5.5</v>
      </c>
      <c r="Z295" s="7">
        <v>104.8</v>
      </c>
      <c r="AA295" s="7">
        <v>116.8</v>
      </c>
      <c r="AB295" s="7">
        <v>-11.9</v>
      </c>
      <c r="AC295" s="7">
        <v>13.3</v>
      </c>
      <c r="AD295" s="7">
        <v>2.15</v>
      </c>
      <c r="AE295" s="7">
        <v>18.3</v>
      </c>
      <c r="AF295" s="7">
        <v>4</v>
      </c>
      <c r="AG295" s="7">
        <v>13.4</v>
      </c>
      <c r="AH295" s="7">
        <v>8.5</v>
      </c>
      <c r="AI295" s="7">
        <v>8.5</v>
      </c>
      <c r="AJ295" s="7">
        <v>46.4</v>
      </c>
      <c r="AK295" s="7">
        <v>50.4</v>
      </c>
      <c r="AL295" s="7">
        <v>16.899999999999999</v>
      </c>
      <c r="AM295" s="7">
        <v>100.19</v>
      </c>
      <c r="AN295" s="7">
        <v>7.8</v>
      </c>
      <c r="AO295" s="7">
        <v>1925</v>
      </c>
    </row>
    <row r="296" spans="1:41">
      <c r="A296" s="6" t="s">
        <v>631</v>
      </c>
      <c r="B296" s="6" t="s">
        <v>76</v>
      </c>
      <c r="C296" s="41">
        <f t="shared" si="9"/>
        <v>0.58059165053912076</v>
      </c>
      <c r="D296" s="42">
        <f t="shared" si="8"/>
        <v>3</v>
      </c>
      <c r="E296" s="31">
        <v>336</v>
      </c>
      <c r="F296" s="24">
        <v>127</v>
      </c>
      <c r="G296" s="24">
        <v>270</v>
      </c>
      <c r="H296" s="8">
        <v>46.4</v>
      </c>
      <c r="I296" s="9">
        <v>149</v>
      </c>
      <c r="J296" s="8">
        <v>37.1</v>
      </c>
      <c r="K296" s="8">
        <v>33</v>
      </c>
      <c r="L296" s="25">
        <v>44</v>
      </c>
      <c r="M296" s="8">
        <v>71.7</v>
      </c>
      <c r="N296" s="9">
        <v>50</v>
      </c>
      <c r="O296" s="9">
        <v>83</v>
      </c>
      <c r="P296" s="9">
        <v>132</v>
      </c>
      <c r="Q296" s="24">
        <v>66</v>
      </c>
      <c r="R296" s="24">
        <v>22</v>
      </c>
      <c r="S296" s="9">
        <v>33</v>
      </c>
      <c r="T296" s="9">
        <v>17</v>
      </c>
      <c r="U296" s="9">
        <v>105</v>
      </c>
      <c r="V296" s="8">
        <v>715</v>
      </c>
      <c r="W296" s="8">
        <v>0</v>
      </c>
      <c r="X296" s="8">
        <v>0</v>
      </c>
      <c r="Y296" s="7">
        <v>4.5999999999999996</v>
      </c>
      <c r="Z296" s="7">
        <v>122.1</v>
      </c>
      <c r="AA296" s="7">
        <v>109.7</v>
      </c>
      <c r="AB296" s="7">
        <v>12.5</v>
      </c>
      <c r="AC296" s="7">
        <v>7.8</v>
      </c>
      <c r="AD296" s="7">
        <v>2.96</v>
      </c>
      <c r="AE296" s="7">
        <v>17.899999999999999</v>
      </c>
      <c r="AF296" s="7">
        <v>4.7</v>
      </c>
      <c r="AG296" s="7">
        <v>7.2</v>
      </c>
      <c r="AH296" s="7">
        <v>6</v>
      </c>
      <c r="AI296" s="7">
        <v>6.1</v>
      </c>
      <c r="AJ296" s="7">
        <v>56.9</v>
      </c>
      <c r="AK296" s="7">
        <v>58.7</v>
      </c>
      <c r="AL296" s="7">
        <v>12.4</v>
      </c>
      <c r="AM296" s="7">
        <v>100.08</v>
      </c>
      <c r="AN296" s="7">
        <v>5.7</v>
      </c>
      <c r="AO296" s="7">
        <v>2187</v>
      </c>
    </row>
    <row r="297" spans="1:41">
      <c r="A297" s="6" t="s">
        <v>633</v>
      </c>
      <c r="B297" s="6" t="s">
        <v>116</v>
      </c>
      <c r="C297" s="41">
        <f t="shared" si="9"/>
        <v>0.71623465211459758</v>
      </c>
      <c r="D297" s="42">
        <f t="shared" si="8"/>
        <v>0.453125</v>
      </c>
      <c r="E297" s="31">
        <v>336</v>
      </c>
      <c r="F297" s="24">
        <v>133</v>
      </c>
      <c r="G297" s="24">
        <v>191</v>
      </c>
      <c r="H297" s="8">
        <v>70.3</v>
      </c>
      <c r="I297" s="8">
        <v>0</v>
      </c>
      <c r="J297" s="8">
        <v>0</v>
      </c>
      <c r="K297" s="8">
        <v>70</v>
      </c>
      <c r="L297" s="25">
        <v>99</v>
      </c>
      <c r="M297" s="8">
        <v>67</v>
      </c>
      <c r="N297" s="9">
        <v>93</v>
      </c>
      <c r="O297" s="9">
        <v>151</v>
      </c>
      <c r="P297" s="9">
        <v>244</v>
      </c>
      <c r="Q297" s="24">
        <v>29</v>
      </c>
      <c r="R297" s="24">
        <v>64</v>
      </c>
      <c r="S297" s="9">
        <v>23</v>
      </c>
      <c r="T297" s="9">
        <v>70</v>
      </c>
      <c r="U297" s="9">
        <v>128</v>
      </c>
      <c r="V297" s="8">
        <v>893</v>
      </c>
      <c r="W297" s="8">
        <v>3</v>
      </c>
      <c r="X297" s="8">
        <v>0</v>
      </c>
      <c r="Y297" s="7">
        <v>-1.9</v>
      </c>
      <c r="Z297" s="7">
        <v>107.4</v>
      </c>
      <c r="AA297" s="7">
        <v>114</v>
      </c>
      <c r="AB297" s="7">
        <v>-6.6</v>
      </c>
      <c r="AC297" s="7">
        <v>4.3</v>
      </c>
      <c r="AD297" s="7">
        <v>0.44</v>
      </c>
      <c r="AE297" s="7">
        <v>8.4</v>
      </c>
      <c r="AF297" s="7">
        <v>9.6999999999999993</v>
      </c>
      <c r="AG297" s="7">
        <v>16.399999999999999</v>
      </c>
      <c r="AH297" s="7">
        <v>13</v>
      </c>
      <c r="AI297" s="7">
        <v>18.899999999999999</v>
      </c>
      <c r="AJ297" s="7">
        <v>70.3</v>
      </c>
      <c r="AK297" s="7">
        <v>71.400000000000006</v>
      </c>
      <c r="AL297" s="7">
        <v>13.5</v>
      </c>
      <c r="AM297" s="7">
        <v>100.51</v>
      </c>
      <c r="AN297" s="7">
        <v>9.3000000000000007</v>
      </c>
      <c r="AO297" s="7">
        <v>1900</v>
      </c>
    </row>
    <row r="298" spans="1:41">
      <c r="A298" s="6" t="s">
        <v>635</v>
      </c>
      <c r="B298" s="6" t="s">
        <v>84</v>
      </c>
      <c r="C298" s="41">
        <f t="shared" si="9"/>
        <v>0.55481727574750828</v>
      </c>
      <c r="D298" s="42">
        <f t="shared" si="8"/>
        <v>4.3157894736842106</v>
      </c>
      <c r="E298" s="31">
        <v>334</v>
      </c>
      <c r="F298" s="24">
        <v>120</v>
      </c>
      <c r="G298" s="24">
        <v>290</v>
      </c>
      <c r="H298" s="8">
        <v>41.8</v>
      </c>
      <c r="I298" s="9">
        <v>202</v>
      </c>
      <c r="J298" s="8">
        <v>34.200000000000003</v>
      </c>
      <c r="K298" s="8">
        <v>25</v>
      </c>
      <c r="L298" s="25">
        <v>25</v>
      </c>
      <c r="M298" s="8">
        <v>88.9</v>
      </c>
      <c r="N298" s="9">
        <v>44</v>
      </c>
      <c r="O298" s="9">
        <v>132</v>
      </c>
      <c r="P298" s="9">
        <v>176</v>
      </c>
      <c r="Q298" s="24">
        <v>82</v>
      </c>
      <c r="R298" s="24">
        <v>19</v>
      </c>
      <c r="S298" s="9">
        <v>38</v>
      </c>
      <c r="T298" s="9">
        <v>13</v>
      </c>
      <c r="U298" s="9">
        <v>126</v>
      </c>
      <c r="V298" s="8">
        <v>806</v>
      </c>
      <c r="W298" s="8">
        <v>0</v>
      </c>
      <c r="X298" s="8">
        <v>0</v>
      </c>
      <c r="Y298" s="7">
        <v>-0.9</v>
      </c>
      <c r="Z298" s="7">
        <v>111.2</v>
      </c>
      <c r="AA298" s="7">
        <v>113.4</v>
      </c>
      <c r="AB298" s="7">
        <v>-2.2000000000000002</v>
      </c>
      <c r="AC298" s="7">
        <v>8.6999999999999993</v>
      </c>
      <c r="AD298" s="7">
        <v>3.86</v>
      </c>
      <c r="AE298" s="7">
        <v>21</v>
      </c>
      <c r="AF298" s="7">
        <v>3.5</v>
      </c>
      <c r="AG298" s="7">
        <v>10.6</v>
      </c>
      <c r="AH298" s="7">
        <v>7</v>
      </c>
      <c r="AI298" s="7">
        <v>5.4</v>
      </c>
      <c r="AJ298" s="7">
        <v>53.7</v>
      </c>
      <c r="AK298" s="7">
        <v>55.5</v>
      </c>
      <c r="AL298" s="7">
        <v>10.8</v>
      </c>
      <c r="AM298" s="7">
        <v>102.92</v>
      </c>
      <c r="AN298" s="7">
        <v>5.5</v>
      </c>
      <c r="AO298" s="7">
        <v>2636</v>
      </c>
    </row>
    <row r="299" spans="1:41">
      <c r="A299" s="6" t="s">
        <v>637</v>
      </c>
      <c r="B299" s="6" t="s">
        <v>170</v>
      </c>
      <c r="C299" s="41">
        <f t="shared" si="9"/>
        <v>0.53022606045212095</v>
      </c>
      <c r="D299" s="42">
        <f t="shared" si="8"/>
        <v>1.4339622641509433</v>
      </c>
      <c r="E299" s="31">
        <v>334</v>
      </c>
      <c r="F299" s="24">
        <v>118</v>
      </c>
      <c r="G299" s="24">
        <v>300</v>
      </c>
      <c r="H299" s="8">
        <v>39.1</v>
      </c>
      <c r="I299" s="9">
        <v>201</v>
      </c>
      <c r="J299" s="8">
        <v>34.5</v>
      </c>
      <c r="K299" s="8">
        <v>27</v>
      </c>
      <c r="L299" s="25">
        <v>34</v>
      </c>
      <c r="M299" s="8">
        <v>80</v>
      </c>
      <c r="N299" s="9">
        <v>23</v>
      </c>
      <c r="O299" s="9">
        <v>68</v>
      </c>
      <c r="P299" s="9">
        <v>91</v>
      </c>
      <c r="Q299" s="24">
        <v>76</v>
      </c>
      <c r="R299" s="24">
        <v>53</v>
      </c>
      <c r="S299" s="9">
        <v>19</v>
      </c>
      <c r="T299" s="9">
        <v>8</v>
      </c>
      <c r="U299" s="9">
        <v>42</v>
      </c>
      <c r="V299" s="8">
        <v>581</v>
      </c>
      <c r="W299" s="8">
        <v>0</v>
      </c>
      <c r="X299" s="8">
        <v>0</v>
      </c>
      <c r="Y299" s="7">
        <v>-2.8</v>
      </c>
      <c r="Z299" s="7">
        <v>110.3</v>
      </c>
      <c r="AA299" s="7">
        <v>117.7</v>
      </c>
      <c r="AB299" s="7">
        <v>-7.4</v>
      </c>
      <c r="AC299" s="7">
        <v>14.4</v>
      </c>
      <c r="AD299" s="7">
        <v>1.46</v>
      </c>
      <c r="AE299" s="7">
        <v>17.100000000000001</v>
      </c>
      <c r="AF299" s="7">
        <v>2.6</v>
      </c>
      <c r="AG299" s="7">
        <v>8.5</v>
      </c>
      <c r="AH299" s="7">
        <v>5.5</v>
      </c>
      <c r="AI299" s="7">
        <v>11.7</v>
      </c>
      <c r="AJ299" s="7">
        <v>50.7</v>
      </c>
      <c r="AK299" s="7">
        <v>52.6</v>
      </c>
      <c r="AL299" s="7">
        <v>19.8</v>
      </c>
      <c r="AM299" s="7">
        <v>101.83</v>
      </c>
      <c r="AN299" s="7">
        <v>6.7</v>
      </c>
      <c r="AO299" s="7">
        <v>1619</v>
      </c>
    </row>
    <row r="300" spans="1:41">
      <c r="A300" s="6" t="s">
        <v>639</v>
      </c>
      <c r="B300" s="6" t="s">
        <v>54</v>
      </c>
      <c r="C300" s="41">
        <f t="shared" si="9"/>
        <v>0.6518164735358597</v>
      </c>
      <c r="D300" s="42">
        <f t="shared" si="8"/>
        <v>2.2542372881355934</v>
      </c>
      <c r="E300" s="31">
        <v>333</v>
      </c>
      <c r="F300" s="24">
        <v>126</v>
      </c>
      <c r="G300" s="24">
        <v>200</v>
      </c>
      <c r="H300" s="8">
        <v>61.9</v>
      </c>
      <c r="I300" s="9">
        <v>7</v>
      </c>
      <c r="J300" s="8">
        <v>0</v>
      </c>
      <c r="K300" s="8">
        <v>81</v>
      </c>
      <c r="L300" s="25">
        <v>126</v>
      </c>
      <c r="M300" s="8">
        <v>64.8</v>
      </c>
      <c r="N300" s="9">
        <v>118</v>
      </c>
      <c r="O300" s="9">
        <v>340</v>
      </c>
      <c r="P300" s="9">
        <v>451</v>
      </c>
      <c r="Q300" s="24">
        <v>133</v>
      </c>
      <c r="R300" s="24">
        <v>59</v>
      </c>
      <c r="S300" s="9">
        <v>30</v>
      </c>
      <c r="T300" s="9">
        <v>44</v>
      </c>
      <c r="U300" s="9">
        <v>155</v>
      </c>
      <c r="V300" s="8">
        <v>1258</v>
      </c>
      <c r="W300" s="8">
        <v>2</v>
      </c>
      <c r="X300" s="8">
        <v>0</v>
      </c>
      <c r="Y300" s="7">
        <v>0.7</v>
      </c>
      <c r="Z300" s="7">
        <v>115.2</v>
      </c>
      <c r="AA300" s="7">
        <v>115</v>
      </c>
      <c r="AB300" s="7">
        <v>0.2</v>
      </c>
      <c r="AC300" s="7">
        <v>13.3</v>
      </c>
      <c r="AD300" s="7">
        <v>2.27</v>
      </c>
      <c r="AE300" s="7">
        <v>29.5</v>
      </c>
      <c r="AF300" s="7">
        <v>9.4</v>
      </c>
      <c r="AG300" s="7">
        <v>25.3</v>
      </c>
      <c r="AH300" s="7">
        <v>17.600000000000001</v>
      </c>
      <c r="AI300" s="7">
        <v>13</v>
      </c>
      <c r="AJ300" s="7">
        <v>61.9</v>
      </c>
      <c r="AK300" s="7">
        <v>64.5</v>
      </c>
      <c r="AL300" s="7">
        <v>10.5</v>
      </c>
      <c r="AM300" s="7">
        <v>100.08</v>
      </c>
      <c r="AN300" s="7">
        <v>9.8000000000000007</v>
      </c>
      <c r="AO300" s="7">
        <v>2732</v>
      </c>
    </row>
    <row r="301" spans="1:41">
      <c r="A301" s="6" t="s">
        <v>641</v>
      </c>
      <c r="B301" s="6" t="s">
        <v>88</v>
      </c>
      <c r="C301" s="41">
        <f t="shared" si="9"/>
        <v>0.6144193644193644</v>
      </c>
      <c r="D301" s="42">
        <f t="shared" si="8"/>
        <v>5.2162162162162158</v>
      </c>
      <c r="E301" s="31">
        <v>331</v>
      </c>
      <c r="F301" s="24">
        <v>129</v>
      </c>
      <c r="G301" s="24">
        <v>239</v>
      </c>
      <c r="H301" s="8">
        <v>53.8</v>
      </c>
      <c r="I301" s="9">
        <v>46</v>
      </c>
      <c r="J301" s="8">
        <v>39.6</v>
      </c>
      <c r="K301" s="8">
        <v>55</v>
      </c>
      <c r="L301" s="25">
        <v>69</v>
      </c>
      <c r="M301" s="8">
        <v>82.1</v>
      </c>
      <c r="N301" s="9">
        <v>32</v>
      </c>
      <c r="O301" s="9">
        <v>83</v>
      </c>
      <c r="P301" s="9">
        <v>115</v>
      </c>
      <c r="Q301" s="24">
        <v>193</v>
      </c>
      <c r="R301" s="24">
        <v>37</v>
      </c>
      <c r="S301" s="9">
        <v>37</v>
      </c>
      <c r="T301" s="9">
        <v>9</v>
      </c>
      <c r="U301" s="9">
        <v>55</v>
      </c>
      <c r="V301" s="8">
        <v>865</v>
      </c>
      <c r="W301" s="8">
        <v>1</v>
      </c>
      <c r="X301" s="8">
        <v>0</v>
      </c>
      <c r="Y301" s="7">
        <v>-0.7</v>
      </c>
      <c r="Z301" s="7">
        <v>112</v>
      </c>
      <c r="AA301" s="7">
        <v>113.5</v>
      </c>
      <c r="AB301" s="7">
        <v>-1.5</v>
      </c>
      <c r="AC301" s="7">
        <v>28.9</v>
      </c>
      <c r="AD301" s="7">
        <v>5.49</v>
      </c>
      <c r="AE301" s="7">
        <v>38.9</v>
      </c>
      <c r="AF301" s="7">
        <v>3.2</v>
      </c>
      <c r="AG301" s="7">
        <v>8.6</v>
      </c>
      <c r="AH301" s="7">
        <v>5.9</v>
      </c>
      <c r="AI301" s="7">
        <v>7.1</v>
      </c>
      <c r="AJ301" s="7">
        <v>57.8</v>
      </c>
      <c r="AK301" s="7">
        <v>61.7</v>
      </c>
      <c r="AL301" s="7">
        <v>13.6</v>
      </c>
      <c r="AM301" s="7">
        <v>103.35</v>
      </c>
      <c r="AN301" s="7">
        <v>11</v>
      </c>
      <c r="AO301" s="7">
        <v>1948</v>
      </c>
    </row>
    <row r="302" spans="1:41">
      <c r="A302" s="6" t="s">
        <v>643</v>
      </c>
      <c r="B302" s="6" t="s">
        <v>88</v>
      </c>
      <c r="C302" s="41">
        <f t="shared" si="9"/>
        <v>0.55009363295880143</v>
      </c>
      <c r="D302" s="42">
        <f t="shared" si="8"/>
        <v>1.8627450980392157</v>
      </c>
      <c r="E302" s="31">
        <v>329</v>
      </c>
      <c r="F302" s="24">
        <v>117</v>
      </c>
      <c r="G302" s="24">
        <v>270</v>
      </c>
      <c r="H302" s="8">
        <v>44.8</v>
      </c>
      <c r="I302" s="9">
        <v>102</v>
      </c>
      <c r="J302" s="8">
        <v>35.6</v>
      </c>
      <c r="K302" s="8">
        <v>51</v>
      </c>
      <c r="L302" s="25">
        <v>66</v>
      </c>
      <c r="M302" s="8">
        <v>71</v>
      </c>
      <c r="N302" s="9">
        <v>37</v>
      </c>
      <c r="O302" s="9">
        <v>88</v>
      </c>
      <c r="P302" s="9">
        <v>124</v>
      </c>
      <c r="Q302" s="24">
        <v>95</v>
      </c>
      <c r="R302" s="24">
        <v>51</v>
      </c>
      <c r="S302" s="9">
        <v>44</v>
      </c>
      <c r="T302" s="9">
        <v>15</v>
      </c>
      <c r="U302" s="9">
        <v>117</v>
      </c>
      <c r="V302" s="8">
        <v>745</v>
      </c>
      <c r="W302" s="8">
        <v>0</v>
      </c>
      <c r="X302" s="8">
        <v>0</v>
      </c>
      <c r="Y302" s="7">
        <v>-2.4</v>
      </c>
      <c r="Z302" s="7">
        <v>104</v>
      </c>
      <c r="AA302" s="7">
        <v>111.6</v>
      </c>
      <c r="AB302" s="7">
        <v>-7.6</v>
      </c>
      <c r="AC302" s="7">
        <v>13.6</v>
      </c>
      <c r="AD302" s="7">
        <v>1.83</v>
      </c>
      <c r="AE302" s="7">
        <v>21.6</v>
      </c>
      <c r="AF302" s="7">
        <v>3.4</v>
      </c>
      <c r="AG302" s="7">
        <v>8</v>
      </c>
      <c r="AH302" s="7">
        <v>5.7</v>
      </c>
      <c r="AI302" s="7">
        <v>11.8</v>
      </c>
      <c r="AJ302" s="7">
        <v>51.7</v>
      </c>
      <c r="AK302" s="7">
        <v>54.6</v>
      </c>
      <c r="AL302" s="7">
        <v>14.2</v>
      </c>
      <c r="AM302" s="7">
        <v>106.51</v>
      </c>
      <c r="AN302" s="7">
        <v>5.6</v>
      </c>
      <c r="AO302" s="7">
        <v>2188</v>
      </c>
    </row>
    <row r="303" spans="1:41">
      <c r="A303" s="6" t="s">
        <v>645</v>
      </c>
      <c r="B303" s="6" t="s">
        <v>114</v>
      </c>
      <c r="C303" s="41">
        <f t="shared" si="9"/>
        <v>0.60593782230735227</v>
      </c>
      <c r="D303" s="42">
        <f t="shared" si="8"/>
        <v>0.9285714285714286</v>
      </c>
      <c r="E303" s="31">
        <v>329</v>
      </c>
      <c r="F303" s="24">
        <v>119</v>
      </c>
      <c r="G303" s="24">
        <v>242</v>
      </c>
      <c r="H303" s="8">
        <v>49.6</v>
      </c>
      <c r="I303" s="9">
        <v>102</v>
      </c>
      <c r="J303" s="8">
        <v>37.299999999999997</v>
      </c>
      <c r="K303" s="8">
        <v>53</v>
      </c>
      <c r="L303" s="25">
        <v>67</v>
      </c>
      <c r="M303" s="8">
        <v>77.599999999999994</v>
      </c>
      <c r="N303" s="9">
        <v>25</v>
      </c>
      <c r="O303" s="9">
        <v>105</v>
      </c>
      <c r="P303" s="9">
        <v>130</v>
      </c>
      <c r="Q303" s="24">
        <v>39</v>
      </c>
      <c r="R303" s="24">
        <v>42</v>
      </c>
      <c r="S303" s="9">
        <v>11</v>
      </c>
      <c r="T303" s="9">
        <v>25</v>
      </c>
      <c r="U303" s="9">
        <v>56</v>
      </c>
      <c r="V303" s="8">
        <v>606</v>
      </c>
      <c r="W303" s="8">
        <v>1</v>
      </c>
      <c r="X303" s="8">
        <v>0</v>
      </c>
      <c r="Y303" s="7">
        <v>-3.6</v>
      </c>
      <c r="Z303" s="7">
        <v>102.6</v>
      </c>
      <c r="AA303" s="7">
        <v>114.3</v>
      </c>
      <c r="AB303" s="7">
        <v>-11.7</v>
      </c>
      <c r="AC303" s="7">
        <v>13.6</v>
      </c>
      <c r="AD303" s="7">
        <v>0.93</v>
      </c>
      <c r="AE303" s="7">
        <v>11.1</v>
      </c>
      <c r="AF303" s="7">
        <v>4.5999999999999996</v>
      </c>
      <c r="AG303" s="7">
        <v>18.600000000000001</v>
      </c>
      <c r="AH303" s="7">
        <v>11.6</v>
      </c>
      <c r="AI303" s="7">
        <v>12</v>
      </c>
      <c r="AJ303" s="7">
        <v>57.4</v>
      </c>
      <c r="AK303" s="7">
        <v>60.8</v>
      </c>
      <c r="AL303" s="7">
        <v>25.2</v>
      </c>
      <c r="AM303" s="7">
        <v>102.79</v>
      </c>
      <c r="AN303" s="7">
        <v>12.7</v>
      </c>
      <c r="AO303" s="7">
        <v>1099</v>
      </c>
    </row>
    <row r="304" spans="1:41">
      <c r="A304" s="6" t="s">
        <v>647</v>
      </c>
      <c r="B304" s="6" t="s">
        <v>164</v>
      </c>
      <c r="C304" s="41">
        <f t="shared" si="9"/>
        <v>0.63713113460628057</v>
      </c>
      <c r="D304" s="42">
        <f t="shared" si="8"/>
        <v>1.0952380952380953</v>
      </c>
      <c r="E304" s="31">
        <v>323</v>
      </c>
      <c r="F304" s="24">
        <v>134</v>
      </c>
      <c r="G304" s="24">
        <v>235</v>
      </c>
      <c r="H304" s="8">
        <v>57.4</v>
      </c>
      <c r="I304" s="9">
        <v>67</v>
      </c>
      <c r="J304" s="8">
        <v>31.8</v>
      </c>
      <c r="K304" s="8">
        <v>34</v>
      </c>
      <c r="L304" s="25">
        <v>42</v>
      </c>
      <c r="M304" s="8">
        <v>77.3</v>
      </c>
      <c r="N304" s="9">
        <v>63</v>
      </c>
      <c r="O304" s="9">
        <v>147</v>
      </c>
      <c r="P304" s="9">
        <v>210</v>
      </c>
      <c r="Q304" s="24">
        <v>46</v>
      </c>
      <c r="R304" s="24">
        <v>42</v>
      </c>
      <c r="S304" s="9">
        <v>21</v>
      </c>
      <c r="T304" s="9">
        <v>42</v>
      </c>
      <c r="U304" s="9">
        <v>105</v>
      </c>
      <c r="V304" s="8">
        <v>790</v>
      </c>
      <c r="W304" s="8">
        <v>4</v>
      </c>
      <c r="X304" s="8">
        <v>0</v>
      </c>
      <c r="Y304" s="7">
        <v>-2.1</v>
      </c>
      <c r="Z304" s="7">
        <v>109.4</v>
      </c>
      <c r="AA304" s="7">
        <v>114.1</v>
      </c>
      <c r="AB304" s="7">
        <v>-4.7</v>
      </c>
      <c r="AC304" s="7">
        <v>8.3000000000000007</v>
      </c>
      <c r="AD304" s="7">
        <v>1.07</v>
      </c>
      <c r="AE304" s="7">
        <v>13.5</v>
      </c>
      <c r="AF304" s="7">
        <v>7.9</v>
      </c>
      <c r="AG304" s="7">
        <v>17.7</v>
      </c>
      <c r="AH304" s="7">
        <v>12.9</v>
      </c>
      <c r="AI304" s="7">
        <v>12.6</v>
      </c>
      <c r="AJ304" s="7">
        <v>61.9</v>
      </c>
      <c r="AK304" s="7">
        <v>63.9</v>
      </c>
      <c r="AL304" s="7">
        <v>15.5</v>
      </c>
      <c r="AM304" s="7">
        <v>101.91</v>
      </c>
      <c r="AN304" s="7">
        <v>9.6</v>
      </c>
      <c r="AO304" s="7">
        <v>1674</v>
      </c>
    </row>
    <row r="305" spans="1:41">
      <c r="A305" s="6" t="s">
        <v>649</v>
      </c>
      <c r="B305" s="6" t="s">
        <v>76</v>
      </c>
      <c r="C305" s="41">
        <f t="shared" si="9"/>
        <v>0.56122448979591844</v>
      </c>
      <c r="D305" s="42">
        <f t="shared" si="8"/>
        <v>3.2083333333333335</v>
      </c>
      <c r="E305" s="31">
        <v>319</v>
      </c>
      <c r="F305" s="24">
        <v>112</v>
      </c>
      <c r="G305" s="24">
        <v>271</v>
      </c>
      <c r="H305" s="8">
        <v>41.3</v>
      </c>
      <c r="I305" s="9">
        <v>224</v>
      </c>
      <c r="J305" s="8">
        <v>36</v>
      </c>
      <c r="K305" s="8">
        <v>18</v>
      </c>
      <c r="L305" s="25">
        <v>30</v>
      </c>
      <c r="M305" s="8">
        <v>53.3</v>
      </c>
      <c r="N305" s="9">
        <v>53</v>
      </c>
      <c r="O305" s="9">
        <v>201</v>
      </c>
      <c r="P305" s="9">
        <v>248</v>
      </c>
      <c r="Q305" s="24">
        <v>77</v>
      </c>
      <c r="R305" s="24">
        <v>24</v>
      </c>
      <c r="S305" s="9">
        <v>41</v>
      </c>
      <c r="T305" s="9">
        <v>18</v>
      </c>
      <c r="U305" s="9">
        <v>100</v>
      </c>
      <c r="V305" s="8">
        <v>897</v>
      </c>
      <c r="W305" s="8">
        <v>1</v>
      </c>
      <c r="X305" s="8">
        <v>0</v>
      </c>
      <c r="Y305" s="7">
        <v>4.8</v>
      </c>
      <c r="Z305" s="7">
        <v>120</v>
      </c>
      <c r="AA305" s="7">
        <v>109.4</v>
      </c>
      <c r="AB305" s="7">
        <v>10.7</v>
      </c>
      <c r="AC305" s="7">
        <v>7.3</v>
      </c>
      <c r="AD305" s="7">
        <v>3.45</v>
      </c>
      <c r="AE305" s="7">
        <v>20.100000000000001</v>
      </c>
      <c r="AF305" s="7">
        <v>4.0999999999999996</v>
      </c>
      <c r="AG305" s="7">
        <v>15</v>
      </c>
      <c r="AH305" s="7">
        <v>9.6999999999999993</v>
      </c>
      <c r="AI305" s="7">
        <v>5.8</v>
      </c>
      <c r="AJ305" s="7">
        <v>56.1</v>
      </c>
      <c r="AK305" s="7">
        <v>56.3</v>
      </c>
      <c r="AL305" s="7">
        <v>10.1</v>
      </c>
      <c r="AM305" s="7">
        <v>101.1</v>
      </c>
      <c r="AN305" s="7">
        <v>6.7</v>
      </c>
      <c r="AO305" s="7">
        <v>2639</v>
      </c>
    </row>
    <row r="306" spans="1:41">
      <c r="A306" s="6" t="s">
        <v>651</v>
      </c>
      <c r="B306" s="6" t="s">
        <v>140</v>
      </c>
      <c r="C306" s="41">
        <f t="shared" si="9"/>
        <v>0.51925359356455225</v>
      </c>
      <c r="D306" s="42">
        <f t="shared" si="8"/>
        <v>1.5757575757575757</v>
      </c>
      <c r="E306" s="31">
        <v>315</v>
      </c>
      <c r="F306" s="24">
        <v>118</v>
      </c>
      <c r="G306" s="24">
        <v>291</v>
      </c>
      <c r="H306" s="8">
        <v>40.5</v>
      </c>
      <c r="I306" s="9">
        <v>165</v>
      </c>
      <c r="J306" s="8">
        <v>33.5</v>
      </c>
      <c r="K306" s="8">
        <v>24</v>
      </c>
      <c r="L306" s="25">
        <v>28</v>
      </c>
      <c r="M306" s="8">
        <v>80</v>
      </c>
      <c r="N306" s="9">
        <v>38</v>
      </c>
      <c r="O306" s="9">
        <v>99</v>
      </c>
      <c r="P306" s="9">
        <v>136</v>
      </c>
      <c r="Q306" s="24">
        <v>52</v>
      </c>
      <c r="R306" s="24">
        <v>33</v>
      </c>
      <c r="S306" s="9">
        <v>28</v>
      </c>
      <c r="T306" s="9">
        <v>24</v>
      </c>
      <c r="U306" s="9">
        <v>99</v>
      </c>
      <c r="V306" s="8">
        <v>677</v>
      </c>
      <c r="W306" s="8">
        <v>0</v>
      </c>
      <c r="X306" s="8">
        <v>0</v>
      </c>
      <c r="Y306" s="7">
        <v>-5.9</v>
      </c>
      <c r="Z306" s="7">
        <v>106.6</v>
      </c>
      <c r="AA306" s="7">
        <v>118.2</v>
      </c>
      <c r="AB306" s="7">
        <v>-11.6</v>
      </c>
      <c r="AC306" s="7">
        <v>7.3</v>
      </c>
      <c r="AD306" s="7">
        <v>1.51</v>
      </c>
      <c r="AE306" s="7">
        <v>13.5</v>
      </c>
      <c r="AF306" s="7">
        <v>3.3</v>
      </c>
      <c r="AG306" s="7">
        <v>8.6999999999999993</v>
      </c>
      <c r="AH306" s="7">
        <v>6</v>
      </c>
      <c r="AI306" s="7">
        <v>8.9</v>
      </c>
      <c r="AJ306" s="7">
        <v>50</v>
      </c>
      <c r="AK306" s="7">
        <v>51.8</v>
      </c>
      <c r="AL306" s="7">
        <v>13.6</v>
      </c>
      <c r="AM306" s="7">
        <v>98.04</v>
      </c>
      <c r="AN306" s="7">
        <v>4.5999999999999996</v>
      </c>
      <c r="AO306" s="7">
        <v>2179</v>
      </c>
    </row>
    <row r="307" spans="1:41">
      <c r="A307" s="6" t="s">
        <v>653</v>
      </c>
      <c r="B307" s="6" t="s">
        <v>74</v>
      </c>
      <c r="C307" s="41">
        <f t="shared" si="9"/>
        <v>0.5565796937039138</v>
      </c>
      <c r="D307" s="42">
        <f t="shared" si="8"/>
        <v>2.5750000000000002</v>
      </c>
      <c r="E307" s="31">
        <v>314</v>
      </c>
      <c r="F307" s="24">
        <v>114</v>
      </c>
      <c r="G307" s="24">
        <v>257</v>
      </c>
      <c r="H307" s="8">
        <v>45.3</v>
      </c>
      <c r="I307" s="9">
        <v>108</v>
      </c>
      <c r="J307" s="8">
        <v>35.799999999999997</v>
      </c>
      <c r="K307" s="8">
        <v>46</v>
      </c>
      <c r="L307" s="25">
        <v>57</v>
      </c>
      <c r="M307" s="8">
        <v>79.7</v>
      </c>
      <c r="N307" s="9">
        <v>29</v>
      </c>
      <c r="O307" s="9">
        <v>74</v>
      </c>
      <c r="P307" s="9">
        <v>103</v>
      </c>
      <c r="Q307" s="24">
        <v>103</v>
      </c>
      <c r="R307" s="24">
        <v>40</v>
      </c>
      <c r="S307" s="9">
        <v>23</v>
      </c>
      <c r="T307" s="9">
        <v>6</v>
      </c>
      <c r="U307" s="9">
        <v>68</v>
      </c>
      <c r="V307" s="8">
        <v>638</v>
      </c>
      <c r="W307" s="8">
        <v>1</v>
      </c>
      <c r="X307" s="8">
        <v>0</v>
      </c>
      <c r="Y307" s="7">
        <v>-2.1</v>
      </c>
      <c r="Z307" s="7">
        <v>106.2</v>
      </c>
      <c r="AA307" s="7">
        <v>113.1</v>
      </c>
      <c r="AB307" s="7">
        <v>-6.9</v>
      </c>
      <c r="AC307" s="7">
        <v>18.399999999999999</v>
      </c>
      <c r="AD307" s="7">
        <v>2.5499999999999998</v>
      </c>
      <c r="AE307" s="7">
        <v>24.2</v>
      </c>
      <c r="AF307" s="7">
        <v>3.6</v>
      </c>
      <c r="AG307" s="7">
        <v>8.6</v>
      </c>
      <c r="AH307" s="7">
        <v>6.1</v>
      </c>
      <c r="AI307" s="7">
        <v>9.5</v>
      </c>
      <c r="AJ307" s="7">
        <v>52.8</v>
      </c>
      <c r="AK307" s="7">
        <v>56.3</v>
      </c>
      <c r="AL307" s="7">
        <v>16.2</v>
      </c>
      <c r="AM307" s="7">
        <v>98.81</v>
      </c>
      <c r="AN307" s="7">
        <v>8.1</v>
      </c>
      <c r="AO307" s="7">
        <v>1722</v>
      </c>
    </row>
    <row r="308" spans="1:41">
      <c r="A308" s="6" t="s">
        <v>655</v>
      </c>
      <c r="B308" s="6" t="s">
        <v>144</v>
      </c>
      <c r="C308" s="41">
        <f t="shared" si="9"/>
        <v>0.7028022274115322</v>
      </c>
      <c r="D308" s="42">
        <f t="shared" si="8"/>
        <v>2.15</v>
      </c>
      <c r="E308" s="31">
        <v>313</v>
      </c>
      <c r="F308" s="24">
        <v>133</v>
      </c>
      <c r="G308" s="24">
        <v>191</v>
      </c>
      <c r="H308" s="8">
        <v>70.2</v>
      </c>
      <c r="I308" s="8">
        <v>0</v>
      </c>
      <c r="J308" s="8">
        <v>0</v>
      </c>
      <c r="K308" s="8">
        <v>47</v>
      </c>
      <c r="L308" s="25">
        <v>72</v>
      </c>
      <c r="M308" s="8">
        <v>63</v>
      </c>
      <c r="N308" s="9">
        <v>104</v>
      </c>
      <c r="O308" s="9">
        <v>166</v>
      </c>
      <c r="P308" s="9">
        <v>270</v>
      </c>
      <c r="Q308" s="24">
        <v>86</v>
      </c>
      <c r="R308" s="24">
        <v>40</v>
      </c>
      <c r="S308" s="9">
        <v>22</v>
      </c>
      <c r="T308" s="9">
        <v>58</v>
      </c>
      <c r="U308" s="9">
        <v>101</v>
      </c>
      <c r="V308" s="8">
        <v>954</v>
      </c>
      <c r="W308" s="8">
        <v>8</v>
      </c>
      <c r="X308" s="8">
        <v>0</v>
      </c>
      <c r="Y308" s="7">
        <v>3.4</v>
      </c>
      <c r="Z308" s="7">
        <v>114.1</v>
      </c>
      <c r="AA308" s="7">
        <v>106.4</v>
      </c>
      <c r="AB308" s="7">
        <v>7.7</v>
      </c>
      <c r="AC308" s="7">
        <v>14.3</v>
      </c>
      <c r="AD308" s="7">
        <v>2.0699999999999998</v>
      </c>
      <c r="AE308" s="7">
        <v>24.3</v>
      </c>
      <c r="AF308" s="7">
        <v>12.2</v>
      </c>
      <c r="AG308" s="7">
        <v>18.600000000000001</v>
      </c>
      <c r="AH308" s="7">
        <v>15.5</v>
      </c>
      <c r="AI308" s="7">
        <v>11.7</v>
      </c>
      <c r="AJ308" s="7">
        <v>70.2</v>
      </c>
      <c r="AK308" s="7">
        <v>70.400000000000006</v>
      </c>
      <c r="AL308" s="7">
        <v>13.2</v>
      </c>
      <c r="AM308" s="7">
        <v>100.99</v>
      </c>
      <c r="AN308" s="7">
        <v>12.4</v>
      </c>
      <c r="AO308" s="7">
        <v>1746</v>
      </c>
    </row>
    <row r="309" spans="1:41">
      <c r="A309" s="6" t="s">
        <v>657</v>
      </c>
      <c r="B309" s="6" t="s">
        <v>62</v>
      </c>
      <c r="C309" s="41">
        <f t="shared" si="9"/>
        <v>0.61875297477391722</v>
      </c>
      <c r="D309" s="42">
        <f t="shared" si="8"/>
        <v>2.774193548387097</v>
      </c>
      <c r="E309" s="31">
        <v>312</v>
      </c>
      <c r="F309" s="24">
        <v>101</v>
      </c>
      <c r="G309" s="24">
        <v>242</v>
      </c>
      <c r="H309" s="8">
        <v>43.7</v>
      </c>
      <c r="I309" s="9">
        <v>203</v>
      </c>
      <c r="J309" s="8">
        <v>43.3</v>
      </c>
      <c r="K309" s="8">
        <v>16</v>
      </c>
      <c r="L309" s="25">
        <v>23</v>
      </c>
      <c r="M309" s="8">
        <v>81</v>
      </c>
      <c r="N309" s="9">
        <v>47</v>
      </c>
      <c r="O309" s="9">
        <v>172</v>
      </c>
      <c r="P309" s="9">
        <v>218</v>
      </c>
      <c r="Q309" s="24">
        <v>86</v>
      </c>
      <c r="R309" s="24">
        <v>31</v>
      </c>
      <c r="S309" s="9">
        <v>55</v>
      </c>
      <c r="T309" s="9">
        <v>39</v>
      </c>
      <c r="U309" s="9">
        <v>109</v>
      </c>
      <c r="V309" s="8">
        <v>928</v>
      </c>
      <c r="W309" s="8">
        <v>0</v>
      </c>
      <c r="X309" s="8">
        <v>0</v>
      </c>
      <c r="Y309" s="7">
        <v>1.9</v>
      </c>
      <c r="Z309" s="7">
        <v>110.5</v>
      </c>
      <c r="AA309" s="7">
        <v>104.7</v>
      </c>
      <c r="AB309" s="7">
        <v>5.9</v>
      </c>
      <c r="AC309" s="7">
        <v>8.1999999999999993</v>
      </c>
      <c r="AD309" s="7">
        <v>2.4700000000000002</v>
      </c>
      <c r="AE309" s="7">
        <v>23</v>
      </c>
      <c r="AF309" s="7">
        <v>3.4</v>
      </c>
      <c r="AG309" s="7">
        <v>11.7</v>
      </c>
      <c r="AH309" s="7">
        <v>7.7</v>
      </c>
      <c r="AI309" s="7">
        <v>9.3000000000000007</v>
      </c>
      <c r="AJ309" s="7">
        <v>62.2</v>
      </c>
      <c r="AK309" s="7">
        <v>63.3</v>
      </c>
      <c r="AL309" s="7">
        <v>8.6999999999999993</v>
      </c>
      <c r="AM309" s="7">
        <v>100.22</v>
      </c>
      <c r="AN309" s="7">
        <v>6.9</v>
      </c>
      <c r="AO309" s="7">
        <v>2848</v>
      </c>
    </row>
    <row r="310" spans="1:41">
      <c r="A310" s="6" t="s">
        <v>659</v>
      </c>
      <c r="B310" s="6" t="s">
        <v>122</v>
      </c>
      <c r="C310" s="41">
        <f t="shared" si="9"/>
        <v>0.60073937153419588</v>
      </c>
      <c r="D310" s="42">
        <f t="shared" si="8"/>
        <v>1</v>
      </c>
      <c r="E310" s="31">
        <v>312</v>
      </c>
      <c r="F310" s="24">
        <v>120</v>
      </c>
      <c r="G310" s="24">
        <v>228</v>
      </c>
      <c r="H310" s="8">
        <v>51.5</v>
      </c>
      <c r="I310" s="9">
        <v>72</v>
      </c>
      <c r="J310" s="8">
        <v>38.9</v>
      </c>
      <c r="K310" s="8">
        <v>48</v>
      </c>
      <c r="L310" s="25">
        <v>72</v>
      </c>
      <c r="M310" s="8">
        <v>69</v>
      </c>
      <c r="N310" s="9">
        <v>60</v>
      </c>
      <c r="O310" s="9">
        <v>150</v>
      </c>
      <c r="P310" s="9">
        <v>210</v>
      </c>
      <c r="Q310" s="24">
        <v>36</v>
      </c>
      <c r="R310" s="24">
        <v>36</v>
      </c>
      <c r="S310" s="9">
        <v>36</v>
      </c>
      <c r="T310" s="9">
        <v>6</v>
      </c>
      <c r="U310" s="9">
        <v>90</v>
      </c>
      <c r="V310" s="8">
        <v>702</v>
      </c>
      <c r="W310" s="8">
        <v>1</v>
      </c>
      <c r="X310" s="8">
        <v>0</v>
      </c>
      <c r="Y310" s="7">
        <v>0.3</v>
      </c>
      <c r="Z310" s="7">
        <v>108.1</v>
      </c>
      <c r="AA310" s="7">
        <v>107.6</v>
      </c>
      <c r="AB310" s="7">
        <v>0.5</v>
      </c>
      <c r="AC310" s="7">
        <v>7.1</v>
      </c>
      <c r="AD310" s="7">
        <v>1.0900000000000001</v>
      </c>
      <c r="AE310" s="7">
        <v>11.2</v>
      </c>
      <c r="AF310" s="7">
        <v>7.2</v>
      </c>
      <c r="AG310" s="7">
        <v>19.8</v>
      </c>
      <c r="AH310" s="7">
        <v>13.3</v>
      </c>
      <c r="AI310" s="7">
        <v>10.3</v>
      </c>
      <c r="AJ310" s="7">
        <v>57.6</v>
      </c>
      <c r="AK310" s="7">
        <v>60.1</v>
      </c>
      <c r="AL310" s="7">
        <v>15.6</v>
      </c>
      <c r="AM310" s="7">
        <v>103.86</v>
      </c>
      <c r="AN310" s="7">
        <v>10.7</v>
      </c>
      <c r="AO310" s="7">
        <v>1624</v>
      </c>
    </row>
    <row r="311" spans="1:41">
      <c r="A311" s="6" t="s">
        <v>661</v>
      </c>
      <c r="B311" s="6" t="s">
        <v>52</v>
      </c>
      <c r="C311" s="41">
        <f t="shared" si="9"/>
        <v>0.66729808851386263</v>
      </c>
      <c r="D311" s="42">
        <f t="shared" si="8"/>
        <v>1.1621621621621621</v>
      </c>
      <c r="E311" s="31">
        <v>310</v>
      </c>
      <c r="F311" s="24">
        <v>130</v>
      </c>
      <c r="G311" s="24">
        <v>205</v>
      </c>
      <c r="H311" s="8">
        <v>65</v>
      </c>
      <c r="I311" s="8">
        <v>0</v>
      </c>
      <c r="J311" s="8">
        <v>0</v>
      </c>
      <c r="K311" s="8">
        <v>43</v>
      </c>
      <c r="L311" s="25">
        <v>62</v>
      </c>
      <c r="M311" s="8">
        <v>75.400000000000006</v>
      </c>
      <c r="N311" s="9">
        <v>87</v>
      </c>
      <c r="O311" s="9">
        <v>149</v>
      </c>
      <c r="P311" s="9">
        <v>236</v>
      </c>
      <c r="Q311" s="24">
        <v>43</v>
      </c>
      <c r="R311" s="24">
        <v>37</v>
      </c>
      <c r="S311" s="9">
        <v>19</v>
      </c>
      <c r="T311" s="9">
        <v>43</v>
      </c>
      <c r="U311" s="9">
        <v>105</v>
      </c>
      <c r="V311" s="8">
        <v>800</v>
      </c>
      <c r="W311" s="8">
        <v>0</v>
      </c>
      <c r="X311" s="8">
        <v>0</v>
      </c>
      <c r="Y311" s="7">
        <v>2.5</v>
      </c>
      <c r="Z311" s="7">
        <v>117.4</v>
      </c>
      <c r="AA311" s="7">
        <v>108.3</v>
      </c>
      <c r="AB311" s="7">
        <v>9.1</v>
      </c>
      <c r="AC311" s="7">
        <v>7.6</v>
      </c>
      <c r="AD311" s="7">
        <v>1.1299999999999999</v>
      </c>
      <c r="AE311" s="7">
        <v>14.2</v>
      </c>
      <c r="AF311" s="7">
        <v>10.5</v>
      </c>
      <c r="AG311" s="7">
        <v>16.8</v>
      </c>
      <c r="AH311" s="7">
        <v>13.7</v>
      </c>
      <c r="AI311" s="7">
        <v>12.7</v>
      </c>
      <c r="AJ311" s="7">
        <v>65</v>
      </c>
      <c r="AK311" s="7">
        <v>67.400000000000006</v>
      </c>
      <c r="AL311" s="7">
        <v>13.6</v>
      </c>
      <c r="AM311" s="7">
        <v>95.52</v>
      </c>
      <c r="AN311" s="7">
        <v>10.199999999999999</v>
      </c>
      <c r="AO311" s="7">
        <v>1717</v>
      </c>
    </row>
    <row r="312" spans="1:41">
      <c r="A312" s="6" t="s">
        <v>663</v>
      </c>
      <c r="B312" s="6" t="s">
        <v>114</v>
      </c>
      <c r="C312" s="41">
        <f t="shared" si="9"/>
        <v>0.52897247960171478</v>
      </c>
      <c r="D312" s="42">
        <f t="shared" si="8"/>
        <v>2.0185185185185186</v>
      </c>
      <c r="E312" s="31">
        <v>306</v>
      </c>
      <c r="F312" s="24">
        <v>102</v>
      </c>
      <c r="G312" s="24">
        <v>258</v>
      </c>
      <c r="H312" s="8">
        <v>39.299999999999997</v>
      </c>
      <c r="I312" s="9">
        <v>139</v>
      </c>
      <c r="J312" s="8">
        <v>34.799999999999997</v>
      </c>
      <c r="K312" s="8">
        <v>54</v>
      </c>
      <c r="L312" s="25">
        <v>71</v>
      </c>
      <c r="M312" s="8">
        <v>76.099999999999994</v>
      </c>
      <c r="N312" s="9">
        <v>17</v>
      </c>
      <c r="O312" s="9">
        <v>54</v>
      </c>
      <c r="P312" s="9">
        <v>71</v>
      </c>
      <c r="Q312" s="24">
        <v>109</v>
      </c>
      <c r="R312" s="24">
        <v>54</v>
      </c>
      <c r="S312" s="9">
        <v>37</v>
      </c>
      <c r="T312" s="9">
        <v>10</v>
      </c>
      <c r="U312" s="9">
        <v>54</v>
      </c>
      <c r="V312" s="8">
        <v>646</v>
      </c>
      <c r="W312" s="8">
        <v>0</v>
      </c>
      <c r="X312" s="8">
        <v>0</v>
      </c>
      <c r="Y312" s="7">
        <v>1.2</v>
      </c>
      <c r="Z312" s="7">
        <v>109.9</v>
      </c>
      <c r="AA312" s="7">
        <v>107.3</v>
      </c>
      <c r="AB312" s="7">
        <v>2.6</v>
      </c>
      <c r="AC312" s="7">
        <v>22.1</v>
      </c>
      <c r="AD312" s="7">
        <v>2.02</v>
      </c>
      <c r="AE312" s="7">
        <v>24.1</v>
      </c>
      <c r="AF312" s="7">
        <v>2.4</v>
      </c>
      <c r="AG312" s="7">
        <v>6.9</v>
      </c>
      <c r="AH312" s="7">
        <v>4.7</v>
      </c>
      <c r="AI312" s="7">
        <v>11.9</v>
      </c>
      <c r="AJ312" s="7">
        <v>48.8</v>
      </c>
      <c r="AK312" s="7">
        <v>52.9</v>
      </c>
      <c r="AL312" s="7">
        <v>19.8</v>
      </c>
      <c r="AM312" s="7">
        <v>107.13</v>
      </c>
      <c r="AN312" s="7">
        <v>8.6</v>
      </c>
      <c r="AO312" s="7">
        <v>1520</v>
      </c>
    </row>
    <row r="313" spans="1:41">
      <c r="A313" s="6" t="s">
        <v>665</v>
      </c>
      <c r="B313" s="6" t="s">
        <v>114</v>
      </c>
      <c r="C313" s="41">
        <f t="shared" si="9"/>
        <v>0.54456506213398082</v>
      </c>
      <c r="D313" s="42">
        <f t="shared" si="8"/>
        <v>2.5789473684210527</v>
      </c>
      <c r="E313" s="31">
        <v>305</v>
      </c>
      <c r="F313" s="24">
        <v>103</v>
      </c>
      <c r="G313" s="24">
        <v>240</v>
      </c>
      <c r="H313" s="8">
        <v>43.3</v>
      </c>
      <c r="I313" s="9">
        <v>55</v>
      </c>
      <c r="J313" s="8">
        <v>28.6</v>
      </c>
      <c r="K313" s="8">
        <v>82</v>
      </c>
      <c r="L313" s="25">
        <v>91</v>
      </c>
      <c r="M313" s="8">
        <v>88</v>
      </c>
      <c r="N313" s="9">
        <v>22</v>
      </c>
      <c r="O313" s="9">
        <v>70</v>
      </c>
      <c r="P313" s="9">
        <v>91</v>
      </c>
      <c r="Q313" s="24">
        <v>98</v>
      </c>
      <c r="R313" s="24">
        <v>38</v>
      </c>
      <c r="S313" s="9">
        <v>12</v>
      </c>
      <c r="T313" s="9">
        <v>5</v>
      </c>
      <c r="U313" s="9">
        <v>31</v>
      </c>
      <c r="V313" s="8">
        <v>578</v>
      </c>
      <c r="W313" s="8">
        <v>2</v>
      </c>
      <c r="X313" s="8">
        <v>0</v>
      </c>
      <c r="Y313" s="7">
        <v>-5</v>
      </c>
      <c r="Z313" s="7">
        <v>106.5</v>
      </c>
      <c r="AA313" s="7">
        <v>116.9</v>
      </c>
      <c r="AB313" s="7">
        <v>-10.4</v>
      </c>
      <c r="AC313" s="7">
        <v>26.7</v>
      </c>
      <c r="AD313" s="7">
        <v>2.58</v>
      </c>
      <c r="AE313" s="7">
        <v>23.5</v>
      </c>
      <c r="AF313" s="7">
        <v>3.6</v>
      </c>
      <c r="AG313" s="7">
        <v>11.9</v>
      </c>
      <c r="AH313" s="7">
        <v>7.7</v>
      </c>
      <c r="AI313" s="7">
        <v>9.1</v>
      </c>
      <c r="AJ313" s="7">
        <v>46.7</v>
      </c>
      <c r="AK313" s="7">
        <v>54.4</v>
      </c>
      <c r="AL313" s="7">
        <v>23.1</v>
      </c>
      <c r="AM313" s="7">
        <v>103.18</v>
      </c>
      <c r="AN313" s="7">
        <v>11.3</v>
      </c>
      <c r="AO313" s="7">
        <v>1215</v>
      </c>
    </row>
    <row r="314" spans="1:41">
      <c r="A314" s="6" t="s">
        <v>667</v>
      </c>
      <c r="B314" s="6" t="s">
        <v>164</v>
      </c>
      <c r="C314" s="41">
        <f t="shared" si="9"/>
        <v>0.58148431522570776</v>
      </c>
      <c r="D314" s="42">
        <f t="shared" si="8"/>
        <v>1.2903225806451613</v>
      </c>
      <c r="E314" s="31">
        <v>304</v>
      </c>
      <c r="F314" s="24">
        <v>114</v>
      </c>
      <c r="G314" s="24">
        <v>246</v>
      </c>
      <c r="H314" s="8">
        <v>45.6</v>
      </c>
      <c r="I314" s="9">
        <v>128</v>
      </c>
      <c r="J314" s="8">
        <v>39.5</v>
      </c>
      <c r="K314" s="8">
        <v>26</v>
      </c>
      <c r="L314" s="25">
        <v>35</v>
      </c>
      <c r="M314" s="8">
        <v>80</v>
      </c>
      <c r="N314" s="9">
        <v>18</v>
      </c>
      <c r="O314" s="9">
        <v>44</v>
      </c>
      <c r="P314" s="9">
        <v>62</v>
      </c>
      <c r="Q314" s="24">
        <v>40</v>
      </c>
      <c r="R314" s="24">
        <v>31</v>
      </c>
      <c r="S314" s="9">
        <v>22</v>
      </c>
      <c r="T314" s="9">
        <v>4</v>
      </c>
      <c r="U314" s="9">
        <v>40</v>
      </c>
      <c r="V314" s="8">
        <v>484</v>
      </c>
      <c r="W314" s="8">
        <v>0</v>
      </c>
      <c r="X314" s="8">
        <v>0</v>
      </c>
      <c r="Y314" s="7">
        <v>-3.4</v>
      </c>
      <c r="Z314" s="7">
        <v>107.3</v>
      </c>
      <c r="AA314" s="7">
        <v>117.5</v>
      </c>
      <c r="AB314" s="7">
        <v>-10.199999999999999</v>
      </c>
      <c r="AC314" s="7">
        <v>8.9</v>
      </c>
      <c r="AD314" s="7">
        <v>1.3</v>
      </c>
      <c r="AE314" s="7">
        <v>11.8</v>
      </c>
      <c r="AF314" s="7">
        <v>2.6</v>
      </c>
      <c r="AG314" s="7">
        <v>7</v>
      </c>
      <c r="AH314" s="7">
        <v>4.7</v>
      </c>
      <c r="AI314" s="7">
        <v>9.1</v>
      </c>
      <c r="AJ314" s="7">
        <v>55.8</v>
      </c>
      <c r="AK314" s="7">
        <v>57.9</v>
      </c>
      <c r="AL314" s="7">
        <v>18.3</v>
      </c>
      <c r="AM314" s="7">
        <v>101.12</v>
      </c>
      <c r="AN314" s="7">
        <v>7.2</v>
      </c>
      <c r="AO314" s="7">
        <v>1386</v>
      </c>
    </row>
    <row r="315" spans="1:41">
      <c r="A315" s="6" t="s">
        <v>669</v>
      </c>
      <c r="B315" s="6" t="s">
        <v>146</v>
      </c>
      <c r="C315" s="41">
        <f t="shared" si="9"/>
        <v>0.52269601100412655</v>
      </c>
      <c r="D315" s="42">
        <f t="shared" si="8"/>
        <v>1.6458333333333333</v>
      </c>
      <c r="E315" s="31">
        <v>304</v>
      </c>
      <c r="F315" s="24">
        <v>114</v>
      </c>
      <c r="G315" s="24">
        <v>260</v>
      </c>
      <c r="H315" s="8">
        <v>44.4</v>
      </c>
      <c r="I315" s="9">
        <v>53</v>
      </c>
      <c r="J315" s="8">
        <v>32.700000000000003</v>
      </c>
      <c r="K315" s="8">
        <v>53</v>
      </c>
      <c r="L315" s="25">
        <v>70</v>
      </c>
      <c r="M315" s="8">
        <v>77.099999999999994</v>
      </c>
      <c r="N315" s="9">
        <v>88</v>
      </c>
      <c r="O315" s="9">
        <v>132</v>
      </c>
      <c r="P315" s="9">
        <v>220</v>
      </c>
      <c r="Q315" s="24">
        <v>79</v>
      </c>
      <c r="R315" s="24">
        <v>48</v>
      </c>
      <c r="S315" s="9">
        <v>18</v>
      </c>
      <c r="T315" s="9">
        <v>18</v>
      </c>
      <c r="U315" s="9">
        <v>101</v>
      </c>
      <c r="V315" s="8">
        <v>730</v>
      </c>
      <c r="W315" s="8">
        <v>4</v>
      </c>
      <c r="X315" s="8">
        <v>0</v>
      </c>
      <c r="Y315" s="7">
        <v>-2</v>
      </c>
      <c r="Z315" s="7">
        <v>104.5</v>
      </c>
      <c r="AA315" s="7">
        <v>109.2</v>
      </c>
      <c r="AB315" s="7">
        <v>-4.8</v>
      </c>
      <c r="AC315" s="7">
        <v>15.2</v>
      </c>
      <c r="AD315" s="7">
        <v>1.57</v>
      </c>
      <c r="AE315" s="7">
        <v>18.3</v>
      </c>
      <c r="AF315" s="7">
        <v>9.6999999999999993</v>
      </c>
      <c r="AG315" s="7">
        <v>16.100000000000001</v>
      </c>
      <c r="AH315" s="7">
        <v>12.7</v>
      </c>
      <c r="AI315" s="7">
        <v>11.6</v>
      </c>
      <c r="AJ315" s="7">
        <v>47.7</v>
      </c>
      <c r="AK315" s="7">
        <v>51.9</v>
      </c>
      <c r="AL315" s="7">
        <v>17.7</v>
      </c>
      <c r="AM315" s="7">
        <v>102.45</v>
      </c>
      <c r="AN315" s="7">
        <v>8.8000000000000007</v>
      </c>
      <c r="AO315" s="7">
        <v>1639</v>
      </c>
    </row>
    <row r="316" spans="1:41">
      <c r="A316" s="6" t="s">
        <v>671</v>
      </c>
      <c r="B316" s="6" t="s">
        <v>116</v>
      </c>
      <c r="C316" s="41">
        <f t="shared" si="9"/>
        <v>0.52806712962962965</v>
      </c>
      <c r="D316" s="42">
        <f t="shared" si="8"/>
        <v>0.6428571428571429</v>
      </c>
      <c r="E316" s="31">
        <v>292</v>
      </c>
      <c r="F316" s="24">
        <v>116</v>
      </c>
      <c r="G316" s="24">
        <v>236</v>
      </c>
      <c r="H316" s="8">
        <v>50</v>
      </c>
      <c r="I316" s="9">
        <v>20</v>
      </c>
      <c r="J316" s="8">
        <v>15</v>
      </c>
      <c r="K316" s="8">
        <v>56</v>
      </c>
      <c r="L316" s="25">
        <v>92</v>
      </c>
      <c r="M316" s="8">
        <v>62.2</v>
      </c>
      <c r="N316" s="9">
        <v>108</v>
      </c>
      <c r="O316" s="9">
        <v>200</v>
      </c>
      <c r="P316" s="9">
        <v>312</v>
      </c>
      <c r="Q316" s="24">
        <v>36</v>
      </c>
      <c r="R316" s="24">
        <v>56</v>
      </c>
      <c r="S316" s="9">
        <v>40</v>
      </c>
      <c r="T316" s="9">
        <v>20</v>
      </c>
      <c r="U316" s="9">
        <v>96</v>
      </c>
      <c r="V316" s="8">
        <v>832</v>
      </c>
      <c r="W316" s="8">
        <v>5</v>
      </c>
      <c r="X316" s="8">
        <v>0</v>
      </c>
      <c r="Y316" s="7">
        <v>-6.1</v>
      </c>
      <c r="Z316" s="7">
        <v>103.4</v>
      </c>
      <c r="AA316" s="7">
        <v>118.9</v>
      </c>
      <c r="AB316" s="7">
        <v>-15.5</v>
      </c>
      <c r="AC316" s="7">
        <v>7</v>
      </c>
      <c r="AD316" s="7">
        <v>0.62</v>
      </c>
      <c r="AE316" s="7">
        <v>9.4</v>
      </c>
      <c r="AF316" s="7">
        <v>13.4</v>
      </c>
      <c r="AG316" s="7">
        <v>28.8</v>
      </c>
      <c r="AH316" s="7">
        <v>20.5</v>
      </c>
      <c r="AI316" s="7">
        <v>15.2</v>
      </c>
      <c r="AJ316" s="7">
        <v>50.6</v>
      </c>
      <c r="AK316" s="7">
        <v>53.5</v>
      </c>
      <c r="AL316" s="7">
        <v>18.3</v>
      </c>
      <c r="AM316" s="7">
        <v>98.83</v>
      </c>
      <c r="AN316" s="7">
        <v>10.9</v>
      </c>
      <c r="AO316" s="7">
        <v>1543</v>
      </c>
    </row>
    <row r="317" spans="1:41">
      <c r="A317" s="6" t="s">
        <v>673</v>
      </c>
      <c r="B317" s="6" t="s">
        <v>122</v>
      </c>
      <c r="C317" s="41">
        <f t="shared" si="9"/>
        <v>0.48301132578281147</v>
      </c>
      <c r="D317" s="42">
        <f t="shared" si="8"/>
        <v>1.6829268292682926</v>
      </c>
      <c r="E317" s="31">
        <v>290</v>
      </c>
      <c r="F317" s="24">
        <v>117</v>
      </c>
      <c r="G317" s="24">
        <v>276</v>
      </c>
      <c r="H317" s="8">
        <v>41.9</v>
      </c>
      <c r="I317" s="9">
        <v>117</v>
      </c>
      <c r="J317" s="8">
        <v>22.5</v>
      </c>
      <c r="K317" s="8">
        <v>28</v>
      </c>
      <c r="L317" s="25">
        <v>55</v>
      </c>
      <c r="M317" s="8">
        <v>45.6</v>
      </c>
      <c r="N317" s="9">
        <v>76</v>
      </c>
      <c r="O317" s="9">
        <v>104</v>
      </c>
      <c r="P317" s="9">
        <v>179</v>
      </c>
      <c r="Q317" s="24">
        <v>69</v>
      </c>
      <c r="R317" s="24">
        <v>41</v>
      </c>
      <c r="S317" s="9">
        <v>35</v>
      </c>
      <c r="T317" s="9">
        <v>14</v>
      </c>
      <c r="U317" s="9">
        <v>69</v>
      </c>
      <c r="V317" s="8">
        <v>718</v>
      </c>
      <c r="W317" s="8">
        <v>1</v>
      </c>
      <c r="X317" s="8">
        <v>0</v>
      </c>
      <c r="Y317" s="7">
        <v>-0.7</v>
      </c>
      <c r="Z317" s="7">
        <v>106</v>
      </c>
      <c r="AA317" s="7">
        <v>107.8</v>
      </c>
      <c r="AB317" s="7">
        <v>-1.8</v>
      </c>
      <c r="AC317" s="7">
        <v>9</v>
      </c>
      <c r="AD317" s="7">
        <v>1.58</v>
      </c>
      <c r="AE317" s="7">
        <v>16.3</v>
      </c>
      <c r="AF317" s="7">
        <v>6.6</v>
      </c>
      <c r="AG317" s="7">
        <v>9.6</v>
      </c>
      <c r="AH317" s="7">
        <v>8.1</v>
      </c>
      <c r="AI317" s="7">
        <v>10.3</v>
      </c>
      <c r="AJ317" s="7">
        <v>46.8</v>
      </c>
      <c r="AK317" s="7">
        <v>47.2</v>
      </c>
      <c r="AL317" s="7">
        <v>13.3</v>
      </c>
      <c r="AM317" s="7">
        <v>102.7</v>
      </c>
      <c r="AN317" s="7">
        <v>6.1</v>
      </c>
      <c r="AO317" s="7">
        <v>2221</v>
      </c>
    </row>
    <row r="318" spans="1:41">
      <c r="A318" s="13" t="s">
        <v>675</v>
      </c>
      <c r="B318" s="6" t="s">
        <v>116</v>
      </c>
      <c r="C318" s="41">
        <f t="shared" si="9"/>
        <v>0.57445956765412332</v>
      </c>
      <c r="D318" s="42">
        <f t="shared" si="8"/>
        <v>4.875</v>
      </c>
      <c r="E318" s="31">
        <v>287</v>
      </c>
      <c r="F318" s="24">
        <v>111</v>
      </c>
      <c r="G318" s="24">
        <v>230</v>
      </c>
      <c r="H318" s="8">
        <v>48.7</v>
      </c>
      <c r="I318" s="9">
        <v>70</v>
      </c>
      <c r="J318" s="8">
        <v>40</v>
      </c>
      <c r="K318" s="8">
        <v>33</v>
      </c>
      <c r="L318" s="25">
        <v>45</v>
      </c>
      <c r="M318" s="8">
        <v>73.3</v>
      </c>
      <c r="N318" s="9">
        <v>12</v>
      </c>
      <c r="O318" s="9">
        <v>49</v>
      </c>
      <c r="P318" s="9">
        <v>62</v>
      </c>
      <c r="Q318" s="24">
        <v>78</v>
      </c>
      <c r="R318" s="24">
        <v>16</v>
      </c>
      <c r="S318" s="9">
        <v>25</v>
      </c>
      <c r="T318" s="9">
        <v>12</v>
      </c>
      <c r="U318" s="9">
        <v>29</v>
      </c>
      <c r="V318" s="8">
        <v>566</v>
      </c>
      <c r="W318" s="8">
        <v>0</v>
      </c>
      <c r="X318" s="8">
        <v>0</v>
      </c>
      <c r="Y318" s="7">
        <v>-2.5</v>
      </c>
      <c r="Z318" s="7">
        <v>107.6</v>
      </c>
      <c r="AA318" s="7">
        <v>116.7</v>
      </c>
      <c r="AB318" s="7">
        <v>-9.1999999999999993</v>
      </c>
      <c r="AC318" s="7">
        <v>19.600000000000001</v>
      </c>
      <c r="AD318" s="7">
        <v>5.2</v>
      </c>
      <c r="AE318" s="7">
        <v>22.8</v>
      </c>
      <c r="AF318" s="7">
        <v>1.8</v>
      </c>
      <c r="AG318" s="7">
        <v>7.9</v>
      </c>
      <c r="AH318" s="7">
        <v>4.7</v>
      </c>
      <c r="AI318" s="7">
        <v>4.4000000000000004</v>
      </c>
      <c r="AJ318" s="7">
        <v>54.8</v>
      </c>
      <c r="AK318" s="7">
        <v>57</v>
      </c>
      <c r="AL318" s="7">
        <v>17.600000000000001</v>
      </c>
      <c r="AM318" s="7">
        <v>99.32</v>
      </c>
      <c r="AN318" s="7">
        <v>10.6</v>
      </c>
      <c r="AO318" s="7">
        <v>1291</v>
      </c>
    </row>
    <row r="319" spans="1:41">
      <c r="A319" s="6" t="s">
        <v>677</v>
      </c>
      <c r="B319" s="6" t="s">
        <v>64</v>
      </c>
      <c r="C319" s="41">
        <f t="shared" si="9"/>
        <v>0.59673366834170849</v>
      </c>
      <c r="D319" s="42">
        <f t="shared" si="8"/>
        <v>1.25</v>
      </c>
      <c r="E319" s="31">
        <v>285</v>
      </c>
      <c r="F319" s="24">
        <v>105</v>
      </c>
      <c r="G319" s="24">
        <v>230</v>
      </c>
      <c r="H319" s="8">
        <v>46.1</v>
      </c>
      <c r="I319" s="9">
        <v>155</v>
      </c>
      <c r="J319" s="8">
        <v>39.700000000000003</v>
      </c>
      <c r="K319" s="8">
        <v>10</v>
      </c>
      <c r="L319" s="25">
        <v>20</v>
      </c>
      <c r="M319" s="8">
        <v>66.7</v>
      </c>
      <c r="N319" s="9">
        <v>10</v>
      </c>
      <c r="O319" s="9">
        <v>50</v>
      </c>
      <c r="P319" s="9">
        <v>60</v>
      </c>
      <c r="Q319" s="24">
        <v>25</v>
      </c>
      <c r="R319" s="24">
        <v>20</v>
      </c>
      <c r="S319" s="9">
        <v>25</v>
      </c>
      <c r="T319" s="8">
        <v>0</v>
      </c>
      <c r="U319" s="9">
        <v>50</v>
      </c>
      <c r="V319" s="8">
        <v>455</v>
      </c>
      <c r="W319" s="8">
        <v>0</v>
      </c>
      <c r="X319" s="8">
        <v>0</v>
      </c>
      <c r="Y319" s="7">
        <v>1.8</v>
      </c>
      <c r="Z319" s="7">
        <v>111.6</v>
      </c>
      <c r="AA319" s="7">
        <v>106.5</v>
      </c>
      <c r="AB319" s="7">
        <v>5.0999999999999996</v>
      </c>
      <c r="AC319" s="7">
        <v>4.9000000000000004</v>
      </c>
      <c r="AD319" s="7">
        <v>1.23</v>
      </c>
      <c r="AE319" s="7">
        <v>9.4</v>
      </c>
      <c r="AF319" s="7">
        <v>1.4</v>
      </c>
      <c r="AG319" s="7">
        <v>6.4</v>
      </c>
      <c r="AH319" s="7">
        <v>3.9</v>
      </c>
      <c r="AI319" s="7">
        <v>7.7</v>
      </c>
      <c r="AJ319" s="7">
        <v>59.6</v>
      </c>
      <c r="AK319" s="7">
        <v>60.1</v>
      </c>
      <c r="AL319" s="7">
        <v>14.3</v>
      </c>
      <c r="AM319" s="7">
        <v>99.55</v>
      </c>
      <c r="AN319" s="7">
        <v>6.2</v>
      </c>
      <c r="AO319" s="7">
        <v>1583</v>
      </c>
    </row>
    <row r="320" spans="1:41">
      <c r="A320" s="6" t="s">
        <v>679</v>
      </c>
      <c r="B320" s="6" t="s">
        <v>140</v>
      </c>
      <c r="C320" s="41">
        <f t="shared" si="9"/>
        <v>0.57037275064267345</v>
      </c>
      <c r="D320" s="42">
        <f t="shared" si="8"/>
        <v>1</v>
      </c>
      <c r="E320" s="31">
        <v>284</v>
      </c>
      <c r="F320" s="24">
        <v>96</v>
      </c>
      <c r="G320" s="24">
        <v>212</v>
      </c>
      <c r="H320" s="8">
        <v>44.3</v>
      </c>
      <c r="I320" s="9">
        <v>92</v>
      </c>
      <c r="J320" s="8">
        <v>34.799999999999997</v>
      </c>
      <c r="K320" s="8">
        <v>64</v>
      </c>
      <c r="L320" s="25">
        <v>84</v>
      </c>
      <c r="M320" s="8">
        <v>74.099999999999994</v>
      </c>
      <c r="N320" s="9">
        <v>44</v>
      </c>
      <c r="O320" s="9">
        <v>68</v>
      </c>
      <c r="P320" s="9">
        <v>112</v>
      </c>
      <c r="Q320" s="24">
        <v>32</v>
      </c>
      <c r="R320" s="24">
        <v>32</v>
      </c>
      <c r="S320" s="9">
        <v>48</v>
      </c>
      <c r="T320" s="9">
        <v>20</v>
      </c>
      <c r="U320" s="9">
        <v>48</v>
      </c>
      <c r="V320" s="8">
        <v>636</v>
      </c>
      <c r="W320" s="8">
        <v>1</v>
      </c>
      <c r="X320" s="8">
        <v>0</v>
      </c>
      <c r="Y320" s="7">
        <v>-0.3</v>
      </c>
      <c r="Z320" s="7">
        <v>108.8</v>
      </c>
      <c r="AA320" s="7">
        <v>109.3</v>
      </c>
      <c r="AB320" s="7">
        <v>-0.5</v>
      </c>
      <c r="AC320" s="7">
        <v>8.1999999999999993</v>
      </c>
      <c r="AD320" s="7">
        <v>1.06</v>
      </c>
      <c r="AE320" s="7">
        <v>10.5</v>
      </c>
      <c r="AF320" s="7">
        <v>6.6</v>
      </c>
      <c r="AG320" s="7">
        <v>10.8</v>
      </c>
      <c r="AH320" s="7">
        <v>8.6</v>
      </c>
      <c r="AI320" s="7">
        <v>9.9</v>
      </c>
      <c r="AJ320" s="7">
        <v>51.9</v>
      </c>
      <c r="AK320" s="7">
        <v>56.7</v>
      </c>
      <c r="AL320" s="7">
        <v>18.5</v>
      </c>
      <c r="AM320" s="7">
        <v>98.69</v>
      </c>
      <c r="AN320" s="7">
        <v>10</v>
      </c>
      <c r="AO320" s="7">
        <v>1282</v>
      </c>
    </row>
    <row r="321" spans="1:41">
      <c r="A321" s="6" t="s">
        <v>681</v>
      </c>
      <c r="B321" s="6" t="s">
        <v>140</v>
      </c>
      <c r="C321" s="41">
        <f t="shared" si="9"/>
        <v>0.43364197530864196</v>
      </c>
      <c r="D321" s="42">
        <f t="shared" si="8"/>
        <v>1.9310344827586208</v>
      </c>
      <c r="E321" s="31">
        <v>281</v>
      </c>
      <c r="F321" s="24">
        <v>104</v>
      </c>
      <c r="G321" s="24">
        <v>302</v>
      </c>
      <c r="H321" s="8">
        <v>34.6</v>
      </c>
      <c r="I321" s="9">
        <v>130</v>
      </c>
      <c r="J321" s="8">
        <v>25.4</v>
      </c>
      <c r="K321" s="8">
        <v>40</v>
      </c>
      <c r="L321" s="25">
        <v>50</v>
      </c>
      <c r="M321" s="8">
        <v>82</v>
      </c>
      <c r="N321" s="9">
        <v>40</v>
      </c>
      <c r="O321" s="9">
        <v>68</v>
      </c>
      <c r="P321" s="9">
        <v>108</v>
      </c>
      <c r="Q321" s="24">
        <v>112</v>
      </c>
      <c r="R321" s="24">
        <v>58</v>
      </c>
      <c r="S321" s="9">
        <v>32</v>
      </c>
      <c r="T321" s="9">
        <v>7</v>
      </c>
      <c r="U321" s="9">
        <v>58</v>
      </c>
      <c r="V321" s="8">
        <v>644</v>
      </c>
      <c r="W321" s="8">
        <v>0</v>
      </c>
      <c r="X321" s="8">
        <v>0</v>
      </c>
      <c r="Y321" s="7">
        <v>-7.7</v>
      </c>
      <c r="Z321" s="7">
        <v>101</v>
      </c>
      <c r="AA321" s="7">
        <v>116.4</v>
      </c>
      <c r="AB321" s="7">
        <v>-15.4</v>
      </c>
      <c r="AC321" s="7">
        <v>21</v>
      </c>
      <c r="AD321" s="7">
        <v>2</v>
      </c>
      <c r="AE321" s="7">
        <v>22.8</v>
      </c>
      <c r="AF321" s="7">
        <v>4.2</v>
      </c>
      <c r="AG321" s="7">
        <v>8.1</v>
      </c>
      <c r="AH321" s="7">
        <v>6</v>
      </c>
      <c r="AI321" s="7">
        <v>11.4</v>
      </c>
      <c r="AJ321" s="7">
        <v>40</v>
      </c>
      <c r="AK321" s="7">
        <v>43.7</v>
      </c>
      <c r="AL321" s="7">
        <v>18.8</v>
      </c>
      <c r="AM321" s="7">
        <v>99.1</v>
      </c>
      <c r="AN321" s="7">
        <v>6</v>
      </c>
      <c r="AO321" s="7">
        <v>1734</v>
      </c>
    </row>
    <row r="322" spans="1:41">
      <c r="A322" s="6" t="s">
        <v>683</v>
      </c>
      <c r="B322" s="6" t="s">
        <v>62</v>
      </c>
      <c r="C322" s="41">
        <f t="shared" si="9"/>
        <v>0.61861570975695668</v>
      </c>
      <c r="D322" s="42">
        <f t="shared" ref="D322:D385" si="10">IFERROR(Q322/R322,"NA")</f>
        <v>1.2790697674418605</v>
      </c>
      <c r="E322" s="31">
        <v>281</v>
      </c>
      <c r="F322" s="24">
        <v>116</v>
      </c>
      <c r="G322" s="24">
        <v>195</v>
      </c>
      <c r="H322" s="8">
        <v>59.3</v>
      </c>
      <c r="I322" s="9">
        <v>6</v>
      </c>
      <c r="J322" s="8">
        <v>50</v>
      </c>
      <c r="K322" s="8">
        <v>49</v>
      </c>
      <c r="L322" s="25">
        <v>73</v>
      </c>
      <c r="M322" s="8">
        <v>66.2</v>
      </c>
      <c r="N322" s="9">
        <v>61</v>
      </c>
      <c r="O322" s="9">
        <v>165</v>
      </c>
      <c r="P322" s="9">
        <v>226</v>
      </c>
      <c r="Q322" s="24">
        <v>55</v>
      </c>
      <c r="R322" s="24">
        <v>43</v>
      </c>
      <c r="S322" s="9">
        <v>12</v>
      </c>
      <c r="T322" s="9">
        <v>37</v>
      </c>
      <c r="U322" s="9">
        <v>61</v>
      </c>
      <c r="V322" s="8">
        <v>744</v>
      </c>
      <c r="W322" s="8">
        <v>0</v>
      </c>
      <c r="X322" s="8">
        <v>0</v>
      </c>
      <c r="Y322" s="7">
        <v>-2.1</v>
      </c>
      <c r="Z322" s="7">
        <v>106.7</v>
      </c>
      <c r="AA322" s="7">
        <v>114.8</v>
      </c>
      <c r="AB322" s="7">
        <v>-8.1</v>
      </c>
      <c r="AC322" s="7">
        <v>11</v>
      </c>
      <c r="AD322" s="7">
        <v>1.32</v>
      </c>
      <c r="AE322" s="7">
        <v>16.7</v>
      </c>
      <c r="AF322" s="7">
        <v>7.8</v>
      </c>
      <c r="AG322" s="7">
        <v>21.1</v>
      </c>
      <c r="AH322" s="7">
        <v>14.5</v>
      </c>
      <c r="AI322" s="7">
        <v>12.7</v>
      </c>
      <c r="AJ322" s="7">
        <v>60.1</v>
      </c>
      <c r="AK322" s="7">
        <v>62.2</v>
      </c>
      <c r="AL322" s="7">
        <v>14.9</v>
      </c>
      <c r="AM322" s="7">
        <v>102.72</v>
      </c>
      <c r="AN322" s="7">
        <v>11.1</v>
      </c>
      <c r="AO322" s="7">
        <v>1598</v>
      </c>
    </row>
    <row r="323" spans="1:41">
      <c r="A323" s="6" t="s">
        <v>685</v>
      </c>
      <c r="B323" s="6" t="s">
        <v>44</v>
      </c>
      <c r="C323" s="41">
        <f t="shared" ref="C323:C386" si="11">IFERROR((E323/(2*(G323+0.44*L323))),"NA")</f>
        <v>0.59360534887707872</v>
      </c>
      <c r="D323" s="42">
        <f t="shared" si="10"/>
        <v>3.6969696969696968</v>
      </c>
      <c r="E323" s="31">
        <v>277</v>
      </c>
      <c r="F323" s="24">
        <v>99</v>
      </c>
      <c r="G323" s="24">
        <v>221</v>
      </c>
      <c r="H323" s="8">
        <v>43.9</v>
      </c>
      <c r="I323" s="9">
        <v>155</v>
      </c>
      <c r="J323" s="8">
        <v>39.9</v>
      </c>
      <c r="K323" s="8">
        <v>24</v>
      </c>
      <c r="L323" s="25">
        <v>28</v>
      </c>
      <c r="M323" s="8">
        <v>76.7</v>
      </c>
      <c r="N323" s="9">
        <v>47</v>
      </c>
      <c r="O323" s="9">
        <v>216</v>
      </c>
      <c r="P323" s="9">
        <v>263</v>
      </c>
      <c r="Q323" s="24">
        <v>122</v>
      </c>
      <c r="R323" s="24">
        <v>33</v>
      </c>
      <c r="S323" s="9">
        <v>24</v>
      </c>
      <c r="T323" s="9">
        <v>28</v>
      </c>
      <c r="U323" s="9">
        <v>80</v>
      </c>
      <c r="V323" s="8">
        <v>888</v>
      </c>
      <c r="W323" s="8">
        <v>4</v>
      </c>
      <c r="X323" s="8">
        <v>3</v>
      </c>
      <c r="Y323" s="7">
        <v>6.4</v>
      </c>
      <c r="Z323" s="7">
        <v>121</v>
      </c>
      <c r="AA323" s="7">
        <v>103</v>
      </c>
      <c r="AB323" s="7">
        <v>17.899999999999999</v>
      </c>
      <c r="AC323" s="7">
        <v>19</v>
      </c>
      <c r="AD323" s="7">
        <v>3.43</v>
      </c>
      <c r="AE323" s="7">
        <v>30.9</v>
      </c>
      <c r="AF323" s="7">
        <v>5.9</v>
      </c>
      <c r="AG323" s="7">
        <v>25.1</v>
      </c>
      <c r="AH323" s="7">
        <v>15.8</v>
      </c>
      <c r="AI323" s="7">
        <v>9</v>
      </c>
      <c r="AJ323" s="7">
        <v>57.7</v>
      </c>
      <c r="AK323" s="7">
        <v>59.4</v>
      </c>
      <c r="AL323" s="7">
        <v>14.1</v>
      </c>
      <c r="AM323" s="7">
        <v>102.7</v>
      </c>
      <c r="AN323" s="7">
        <v>12.4</v>
      </c>
      <c r="AO323" s="7">
        <v>1678</v>
      </c>
    </row>
    <row r="324" spans="1:41">
      <c r="A324" s="6" t="s">
        <v>687</v>
      </c>
      <c r="B324" s="6" t="s">
        <v>170</v>
      </c>
      <c r="C324" s="41">
        <f t="shared" si="11"/>
        <v>0.617477995329621</v>
      </c>
      <c r="D324" s="42">
        <f t="shared" si="10"/>
        <v>1.8076923076923077</v>
      </c>
      <c r="E324" s="31">
        <v>275</v>
      </c>
      <c r="F324" s="24">
        <v>112</v>
      </c>
      <c r="G324" s="24">
        <v>202</v>
      </c>
      <c r="H324" s="8">
        <v>55.2</v>
      </c>
      <c r="I324" s="9">
        <v>56</v>
      </c>
      <c r="J324" s="8">
        <v>25.9</v>
      </c>
      <c r="K324" s="8">
        <v>39</v>
      </c>
      <c r="L324" s="25">
        <v>47</v>
      </c>
      <c r="M324" s="8">
        <v>78.7</v>
      </c>
      <c r="N324" s="9">
        <v>30</v>
      </c>
      <c r="O324" s="9">
        <v>95</v>
      </c>
      <c r="P324" s="9">
        <v>125</v>
      </c>
      <c r="Q324" s="24">
        <v>47</v>
      </c>
      <c r="R324" s="24">
        <v>26</v>
      </c>
      <c r="S324" s="9">
        <v>17</v>
      </c>
      <c r="T324" s="9">
        <v>22</v>
      </c>
      <c r="U324" s="9">
        <v>99</v>
      </c>
      <c r="V324" s="8">
        <v>589</v>
      </c>
      <c r="W324" s="8">
        <v>0</v>
      </c>
      <c r="X324" s="8">
        <v>0</v>
      </c>
      <c r="Y324" s="7">
        <v>-3.3</v>
      </c>
      <c r="Z324" s="7">
        <v>109.3</v>
      </c>
      <c r="AA324" s="7">
        <v>117.4</v>
      </c>
      <c r="AB324" s="7">
        <v>-8.1</v>
      </c>
      <c r="AC324" s="7">
        <v>7.4</v>
      </c>
      <c r="AD324" s="7">
        <v>2</v>
      </c>
      <c r="AE324" s="7">
        <v>16.399999999999999</v>
      </c>
      <c r="AF324" s="7">
        <v>3.2</v>
      </c>
      <c r="AG324" s="7">
        <v>10.3</v>
      </c>
      <c r="AH324" s="7">
        <v>6.7</v>
      </c>
      <c r="AI324" s="7">
        <v>8.1999999999999993</v>
      </c>
      <c r="AJ324" s="7">
        <v>59</v>
      </c>
      <c r="AK324" s="7">
        <v>61.8</v>
      </c>
      <c r="AL324" s="7">
        <v>11.2</v>
      </c>
      <c r="AM324" s="7">
        <v>100.63</v>
      </c>
      <c r="AN324" s="7">
        <v>6.1</v>
      </c>
      <c r="AO324" s="7">
        <v>1917</v>
      </c>
    </row>
    <row r="325" spans="1:41">
      <c r="A325" s="6" t="s">
        <v>689</v>
      </c>
      <c r="B325" s="6" t="s">
        <v>144</v>
      </c>
      <c r="C325" s="41">
        <f t="shared" si="11"/>
        <v>0.63122005160339112</v>
      </c>
      <c r="D325" s="42">
        <f t="shared" si="10"/>
        <v>1.9</v>
      </c>
      <c r="E325" s="31">
        <v>274</v>
      </c>
      <c r="F325" s="24">
        <v>99</v>
      </c>
      <c r="G325" s="24">
        <v>188</v>
      </c>
      <c r="H325" s="8">
        <v>52.1</v>
      </c>
      <c r="I325" s="9">
        <v>59</v>
      </c>
      <c r="J325" s="8">
        <v>40</v>
      </c>
      <c r="K325" s="8">
        <v>56</v>
      </c>
      <c r="L325" s="25">
        <v>66</v>
      </c>
      <c r="M325" s="8">
        <v>83.3</v>
      </c>
      <c r="N325" s="9">
        <v>13</v>
      </c>
      <c r="O325" s="9">
        <v>46</v>
      </c>
      <c r="P325" s="9">
        <v>59</v>
      </c>
      <c r="Q325" s="24">
        <v>76</v>
      </c>
      <c r="R325" s="24">
        <v>40</v>
      </c>
      <c r="S325" s="9">
        <v>23</v>
      </c>
      <c r="T325" s="9">
        <v>7</v>
      </c>
      <c r="U325" s="9">
        <v>33</v>
      </c>
      <c r="V325" s="8">
        <v>508</v>
      </c>
      <c r="W325" s="8">
        <v>0</v>
      </c>
      <c r="X325" s="8">
        <v>0</v>
      </c>
      <c r="Y325" s="7">
        <v>0.3</v>
      </c>
      <c r="Z325" s="7">
        <v>109.5</v>
      </c>
      <c r="AA325" s="7">
        <v>108.8</v>
      </c>
      <c r="AB325" s="7">
        <v>0.7</v>
      </c>
      <c r="AC325" s="7">
        <v>22.8</v>
      </c>
      <c r="AD325" s="7">
        <v>1.95</v>
      </c>
      <c r="AE325" s="7">
        <v>22.9</v>
      </c>
      <c r="AF325" s="7">
        <v>2.5</v>
      </c>
      <c r="AG325" s="7">
        <v>9.1</v>
      </c>
      <c r="AH325" s="7">
        <v>5.9</v>
      </c>
      <c r="AI325" s="7">
        <v>11.7</v>
      </c>
      <c r="AJ325" s="7">
        <v>58.5</v>
      </c>
      <c r="AK325" s="7">
        <v>63.4</v>
      </c>
      <c r="AL325" s="7">
        <v>21.8</v>
      </c>
      <c r="AM325" s="7">
        <v>104.74</v>
      </c>
      <c r="AN325" s="7">
        <v>11.9</v>
      </c>
      <c r="AO325" s="7">
        <v>1064</v>
      </c>
    </row>
    <row r="326" spans="1:41">
      <c r="A326" s="6" t="s">
        <v>691</v>
      </c>
      <c r="B326" s="6" t="s">
        <v>54</v>
      </c>
      <c r="C326" s="41">
        <f t="shared" si="11"/>
        <v>0.46239421239421236</v>
      </c>
      <c r="D326" s="42">
        <f t="shared" si="10"/>
        <v>1.6282051282051282</v>
      </c>
      <c r="E326" s="31">
        <v>271</v>
      </c>
      <c r="F326" s="24">
        <v>94</v>
      </c>
      <c r="G326" s="24">
        <v>275</v>
      </c>
      <c r="H326" s="8">
        <v>34.799999999999997</v>
      </c>
      <c r="I326" s="9">
        <v>123</v>
      </c>
      <c r="J326" s="8">
        <v>36</v>
      </c>
      <c r="K326" s="8">
        <v>33</v>
      </c>
      <c r="L326" s="25">
        <v>41</v>
      </c>
      <c r="M326" s="8">
        <v>82.9</v>
      </c>
      <c r="N326" s="9">
        <v>21</v>
      </c>
      <c r="O326" s="9">
        <v>70</v>
      </c>
      <c r="P326" s="9">
        <v>90</v>
      </c>
      <c r="Q326" s="24">
        <v>127</v>
      </c>
      <c r="R326" s="24">
        <v>78</v>
      </c>
      <c r="S326" s="9">
        <v>16</v>
      </c>
      <c r="T326" s="8">
        <v>0</v>
      </c>
      <c r="U326" s="9">
        <v>45</v>
      </c>
      <c r="V326" s="8">
        <v>537</v>
      </c>
      <c r="W326" s="8">
        <v>1</v>
      </c>
      <c r="X326" s="8">
        <v>0</v>
      </c>
      <c r="Y326" s="7">
        <v>-3</v>
      </c>
      <c r="Z326" s="7">
        <v>102.2</v>
      </c>
      <c r="AA326" s="7">
        <v>109.4</v>
      </c>
      <c r="AB326" s="7">
        <v>-7.2</v>
      </c>
      <c r="AC326" s="7">
        <v>25.8</v>
      </c>
      <c r="AD326" s="7">
        <v>1.66</v>
      </c>
      <c r="AE326" s="7">
        <v>25.9</v>
      </c>
      <c r="AF326" s="7">
        <v>2.2999999999999998</v>
      </c>
      <c r="AG326" s="7">
        <v>8.5</v>
      </c>
      <c r="AH326" s="7">
        <v>5.3</v>
      </c>
      <c r="AI326" s="7">
        <v>15.6</v>
      </c>
      <c r="AJ326" s="7">
        <v>43</v>
      </c>
      <c r="AK326" s="7">
        <v>46.2</v>
      </c>
      <c r="AL326" s="7">
        <v>19.899999999999999</v>
      </c>
      <c r="AM326" s="7">
        <v>97.45</v>
      </c>
      <c r="AN326" s="7">
        <v>6.1</v>
      </c>
      <c r="AO326" s="7">
        <v>1590</v>
      </c>
    </row>
    <row r="327" spans="1:41">
      <c r="A327" s="6" t="s">
        <v>693</v>
      </c>
      <c r="B327" s="6" t="s">
        <v>98</v>
      </c>
      <c r="C327" s="41">
        <f t="shared" si="11"/>
        <v>0.49169580419580416</v>
      </c>
      <c r="D327" s="42">
        <f t="shared" si="10"/>
        <v>1.1666666666666667</v>
      </c>
      <c r="E327" s="31">
        <v>270</v>
      </c>
      <c r="F327" s="24">
        <v>96</v>
      </c>
      <c r="G327" s="24">
        <v>264</v>
      </c>
      <c r="H327" s="8">
        <v>37.4</v>
      </c>
      <c r="I327" s="9">
        <v>186</v>
      </c>
      <c r="J327" s="8">
        <v>29.6</v>
      </c>
      <c r="K327" s="8">
        <v>18</v>
      </c>
      <c r="L327" s="25">
        <v>24</v>
      </c>
      <c r="M327" s="8">
        <v>69.599999999999994</v>
      </c>
      <c r="N327" s="9">
        <v>18</v>
      </c>
      <c r="O327" s="9">
        <v>48</v>
      </c>
      <c r="P327" s="9">
        <v>72</v>
      </c>
      <c r="Q327" s="24">
        <v>42</v>
      </c>
      <c r="R327" s="24">
        <v>36</v>
      </c>
      <c r="S327" s="9">
        <v>12</v>
      </c>
      <c r="T327" s="9">
        <v>12</v>
      </c>
      <c r="U327" s="9">
        <v>66</v>
      </c>
      <c r="V327" s="8">
        <v>456</v>
      </c>
      <c r="W327" s="8">
        <v>0</v>
      </c>
      <c r="X327" s="8">
        <v>0</v>
      </c>
      <c r="Y327" s="7">
        <v>-1.4</v>
      </c>
      <c r="Z327" s="7">
        <v>103</v>
      </c>
      <c r="AA327" s="7">
        <v>108.7</v>
      </c>
      <c r="AB327" s="7">
        <v>-5.7</v>
      </c>
      <c r="AC327" s="7">
        <v>10.199999999999999</v>
      </c>
      <c r="AD327" s="7">
        <v>1.22</v>
      </c>
      <c r="AE327" s="7">
        <v>12.5</v>
      </c>
      <c r="AF327" s="7">
        <v>2.6</v>
      </c>
      <c r="AG327" s="7">
        <v>7.4</v>
      </c>
      <c r="AH327" s="7">
        <v>4.8</v>
      </c>
      <c r="AI327" s="7">
        <v>10.199999999999999</v>
      </c>
      <c r="AJ327" s="7">
        <v>47.9</v>
      </c>
      <c r="AK327" s="7">
        <v>49.1</v>
      </c>
      <c r="AL327" s="7">
        <v>18.100000000000001</v>
      </c>
      <c r="AM327" s="7">
        <v>99.92</v>
      </c>
      <c r="AN327" s="7">
        <v>4.5</v>
      </c>
      <c r="AO327" s="7">
        <v>1458</v>
      </c>
    </row>
    <row r="328" spans="1:41">
      <c r="A328" s="6" t="s">
        <v>695</v>
      </c>
      <c r="B328" s="6" t="s">
        <v>196</v>
      </c>
      <c r="C328" s="41">
        <f t="shared" si="11"/>
        <v>0.52544247787610621</v>
      </c>
      <c r="D328" s="42">
        <f t="shared" si="10"/>
        <v>1.4358974358974359</v>
      </c>
      <c r="E328" s="31">
        <v>266</v>
      </c>
      <c r="F328" s="24">
        <v>95</v>
      </c>
      <c r="G328" s="24">
        <v>221</v>
      </c>
      <c r="H328" s="8">
        <v>42.7</v>
      </c>
      <c r="I328" s="9">
        <v>78</v>
      </c>
      <c r="J328" s="8">
        <v>31.2</v>
      </c>
      <c r="K328" s="8">
        <v>56</v>
      </c>
      <c r="L328" s="25">
        <v>73</v>
      </c>
      <c r="M328" s="8">
        <v>75.3</v>
      </c>
      <c r="N328" s="9">
        <v>31</v>
      </c>
      <c r="O328" s="9">
        <v>87</v>
      </c>
      <c r="P328" s="9">
        <v>120</v>
      </c>
      <c r="Q328" s="24">
        <v>56</v>
      </c>
      <c r="R328" s="24">
        <v>39</v>
      </c>
      <c r="S328" s="9">
        <v>25</v>
      </c>
      <c r="T328" s="9">
        <v>11</v>
      </c>
      <c r="U328" s="9">
        <v>56</v>
      </c>
      <c r="V328" s="8">
        <v>557</v>
      </c>
      <c r="W328" s="8">
        <v>0</v>
      </c>
      <c r="X328" s="8">
        <v>0</v>
      </c>
      <c r="Y328" s="7">
        <v>-2.4</v>
      </c>
      <c r="Z328" s="7">
        <v>103.4</v>
      </c>
      <c r="AA328" s="7">
        <v>108.4</v>
      </c>
      <c r="AB328" s="7">
        <v>-5</v>
      </c>
      <c r="AC328" s="7">
        <v>13.2</v>
      </c>
      <c r="AD328" s="7">
        <v>1.41</v>
      </c>
      <c r="AE328" s="7">
        <v>15.9</v>
      </c>
      <c r="AF328" s="7">
        <v>4.4000000000000004</v>
      </c>
      <c r="AG328" s="7">
        <v>13.6</v>
      </c>
      <c r="AH328" s="7">
        <v>8.6999999999999993</v>
      </c>
      <c r="AI328" s="7">
        <v>11.2</v>
      </c>
      <c r="AJ328" s="7">
        <v>48.2</v>
      </c>
      <c r="AK328" s="7">
        <v>53</v>
      </c>
      <c r="AL328" s="7">
        <v>18.3</v>
      </c>
      <c r="AM328" s="7">
        <v>97.96</v>
      </c>
      <c r="AN328" s="7">
        <v>8.6999999999999993</v>
      </c>
      <c r="AO328" s="7">
        <v>1358</v>
      </c>
    </row>
    <row r="329" spans="1:41">
      <c r="A329" s="6" t="s">
        <v>697</v>
      </c>
      <c r="B329" s="6" t="s">
        <v>88</v>
      </c>
      <c r="C329" s="41">
        <f t="shared" si="11"/>
        <v>0.52296319597357666</v>
      </c>
      <c r="D329" s="42">
        <f t="shared" si="10"/>
        <v>2.7619047619047619</v>
      </c>
      <c r="E329" s="31">
        <v>266</v>
      </c>
      <c r="F329" s="24">
        <v>88</v>
      </c>
      <c r="G329" s="24">
        <v>242</v>
      </c>
      <c r="H329" s="8">
        <v>36.6</v>
      </c>
      <c r="I329" s="9">
        <v>196</v>
      </c>
      <c r="J329" s="8">
        <v>34.4</v>
      </c>
      <c r="K329" s="8">
        <v>21</v>
      </c>
      <c r="L329" s="25">
        <v>28</v>
      </c>
      <c r="M329" s="8">
        <v>81.5</v>
      </c>
      <c r="N329" s="9">
        <v>25</v>
      </c>
      <c r="O329" s="9">
        <v>95</v>
      </c>
      <c r="P329" s="9">
        <v>119</v>
      </c>
      <c r="Q329" s="24">
        <v>116</v>
      </c>
      <c r="R329" s="24">
        <v>42</v>
      </c>
      <c r="S329" s="9">
        <v>46</v>
      </c>
      <c r="T329" s="9">
        <v>18</v>
      </c>
      <c r="U329" s="9">
        <v>56</v>
      </c>
      <c r="V329" s="8">
        <v>732</v>
      </c>
      <c r="W329" s="8">
        <v>0</v>
      </c>
      <c r="X329" s="8">
        <v>0</v>
      </c>
      <c r="Y329" s="7">
        <v>2.9</v>
      </c>
      <c r="Z329" s="7">
        <v>113.5</v>
      </c>
      <c r="AA329" s="7">
        <v>108</v>
      </c>
      <c r="AB329" s="7">
        <v>5.5</v>
      </c>
      <c r="AC329" s="7">
        <v>18.7</v>
      </c>
      <c r="AD329" s="7">
        <v>2.8</v>
      </c>
      <c r="AE329" s="7">
        <v>28</v>
      </c>
      <c r="AF329" s="7">
        <v>2.9</v>
      </c>
      <c r="AG329" s="7">
        <v>10.6</v>
      </c>
      <c r="AH329" s="7">
        <v>6.8</v>
      </c>
      <c r="AI329" s="7">
        <v>10</v>
      </c>
      <c r="AJ329" s="7">
        <v>50.4</v>
      </c>
      <c r="AK329" s="7">
        <v>52.4</v>
      </c>
      <c r="AL329" s="7">
        <v>15.2</v>
      </c>
      <c r="AM329" s="7">
        <v>105.6</v>
      </c>
      <c r="AN329" s="7">
        <v>7.8</v>
      </c>
      <c r="AO329" s="7">
        <v>1712</v>
      </c>
    </row>
    <row r="330" spans="1:41">
      <c r="A330" s="6" t="s">
        <v>699</v>
      </c>
      <c r="B330" s="6" t="s">
        <v>116</v>
      </c>
      <c r="C330" s="41">
        <f t="shared" si="11"/>
        <v>0.59236409155937053</v>
      </c>
      <c r="D330" s="42">
        <f t="shared" si="10"/>
        <v>2.4444444444444446</v>
      </c>
      <c r="E330" s="31">
        <v>265</v>
      </c>
      <c r="F330" s="24">
        <v>86</v>
      </c>
      <c r="G330" s="24">
        <v>203</v>
      </c>
      <c r="H330" s="8">
        <v>42.6</v>
      </c>
      <c r="I330" s="9">
        <v>137</v>
      </c>
      <c r="J330" s="8">
        <v>40.9</v>
      </c>
      <c r="K330" s="8">
        <v>35</v>
      </c>
      <c r="L330" s="25">
        <v>47</v>
      </c>
      <c r="M330" s="8">
        <v>75</v>
      </c>
      <c r="N330" s="9">
        <v>8</v>
      </c>
      <c r="O330" s="9">
        <v>39</v>
      </c>
      <c r="P330" s="9">
        <v>47</v>
      </c>
      <c r="Q330" s="24">
        <v>66</v>
      </c>
      <c r="R330" s="24">
        <v>27</v>
      </c>
      <c r="S330" s="9">
        <v>27</v>
      </c>
      <c r="T330" s="9">
        <v>12</v>
      </c>
      <c r="U330" s="9">
        <v>31</v>
      </c>
      <c r="V330" s="8">
        <v>503</v>
      </c>
      <c r="W330" s="8">
        <v>0</v>
      </c>
      <c r="X330" s="8">
        <v>0</v>
      </c>
      <c r="Y330" s="7">
        <v>-1.8</v>
      </c>
      <c r="Z330" s="7">
        <v>111</v>
      </c>
      <c r="AA330" s="7">
        <v>116.4</v>
      </c>
      <c r="AB330" s="7">
        <v>-5.4</v>
      </c>
      <c r="AC330" s="7">
        <v>11.8</v>
      </c>
      <c r="AD330" s="7">
        <v>2.3199999999999998</v>
      </c>
      <c r="AE330" s="7">
        <v>20.5</v>
      </c>
      <c r="AF330" s="7">
        <v>1.1000000000000001</v>
      </c>
      <c r="AG330" s="7">
        <v>5.2</v>
      </c>
      <c r="AH330" s="7">
        <v>3.1</v>
      </c>
      <c r="AI330" s="7">
        <v>8.8000000000000007</v>
      </c>
      <c r="AJ330" s="7">
        <v>56.4</v>
      </c>
      <c r="AK330" s="7">
        <v>59.1</v>
      </c>
      <c r="AL330" s="7">
        <v>14</v>
      </c>
      <c r="AM330" s="7">
        <v>99.62</v>
      </c>
      <c r="AN330" s="7">
        <v>6.7</v>
      </c>
      <c r="AO330" s="7">
        <v>1601</v>
      </c>
    </row>
    <row r="331" spans="1:41">
      <c r="A331" s="6" t="s">
        <v>701</v>
      </c>
      <c r="B331" s="6" t="s">
        <v>54</v>
      </c>
      <c r="C331" s="41">
        <f t="shared" si="11"/>
        <v>0.60790273556231</v>
      </c>
      <c r="D331" s="42">
        <f t="shared" si="10"/>
        <v>1.972972972972973</v>
      </c>
      <c r="E331" s="31">
        <v>256</v>
      </c>
      <c r="F331" s="24">
        <v>116</v>
      </c>
      <c r="G331" s="24">
        <v>189</v>
      </c>
      <c r="H331" s="8">
        <v>60.4</v>
      </c>
      <c r="I331" s="8">
        <v>0</v>
      </c>
      <c r="J331" s="8">
        <v>0</v>
      </c>
      <c r="K331" s="8">
        <v>31</v>
      </c>
      <c r="L331" s="25">
        <v>49</v>
      </c>
      <c r="M331" s="8">
        <v>58</v>
      </c>
      <c r="N331" s="9">
        <v>67</v>
      </c>
      <c r="O331" s="9">
        <v>159</v>
      </c>
      <c r="P331" s="9">
        <v>220</v>
      </c>
      <c r="Q331" s="24">
        <v>73</v>
      </c>
      <c r="R331" s="24">
        <v>37</v>
      </c>
      <c r="S331" s="9">
        <v>31</v>
      </c>
      <c r="T331" s="9">
        <v>31</v>
      </c>
      <c r="U331" s="9">
        <v>104</v>
      </c>
      <c r="V331" s="8">
        <v>763</v>
      </c>
      <c r="W331" s="8">
        <v>0</v>
      </c>
      <c r="X331" s="8">
        <v>0</v>
      </c>
      <c r="Y331" s="7">
        <v>-0.3</v>
      </c>
      <c r="Z331" s="7">
        <v>109.4</v>
      </c>
      <c r="AA331" s="7">
        <v>110</v>
      </c>
      <c r="AB331" s="7">
        <v>-0.6</v>
      </c>
      <c r="AC331" s="7">
        <v>9.5</v>
      </c>
      <c r="AD331" s="7">
        <v>1.82</v>
      </c>
      <c r="AE331" s="7">
        <v>22.3</v>
      </c>
      <c r="AF331" s="7">
        <v>6.3</v>
      </c>
      <c r="AG331" s="7">
        <v>14.3</v>
      </c>
      <c r="AH331" s="7">
        <v>10.4</v>
      </c>
      <c r="AI331" s="7">
        <v>12.2</v>
      </c>
      <c r="AJ331" s="7">
        <v>60.4</v>
      </c>
      <c r="AK331" s="7">
        <v>61</v>
      </c>
      <c r="AL331" s="7">
        <v>10.3</v>
      </c>
      <c r="AM331" s="7">
        <v>99.05</v>
      </c>
      <c r="AN331" s="7">
        <v>7.3</v>
      </c>
      <c r="AO331" s="7">
        <v>2154</v>
      </c>
    </row>
    <row r="332" spans="1:41">
      <c r="A332" s="6" t="s">
        <v>703</v>
      </c>
      <c r="B332" s="6" t="s">
        <v>60</v>
      </c>
      <c r="C332" s="41">
        <f t="shared" si="11"/>
        <v>0.50117924528301883</v>
      </c>
      <c r="D332" s="42">
        <f t="shared" si="10"/>
        <v>2.4761904761904763</v>
      </c>
      <c r="E332" s="31">
        <v>255</v>
      </c>
      <c r="F332" s="24">
        <v>94</v>
      </c>
      <c r="G332" s="24">
        <v>250</v>
      </c>
      <c r="H332" s="8">
        <v>36.9</v>
      </c>
      <c r="I332" s="9">
        <v>187</v>
      </c>
      <c r="J332" s="8">
        <v>34.4</v>
      </c>
      <c r="K332" s="8">
        <v>10</v>
      </c>
      <c r="L332" s="25">
        <v>10</v>
      </c>
      <c r="M332" s="8">
        <v>72.7</v>
      </c>
      <c r="N332" s="9">
        <v>21</v>
      </c>
      <c r="O332" s="9">
        <v>88</v>
      </c>
      <c r="P332" s="9">
        <v>109</v>
      </c>
      <c r="Q332" s="24">
        <v>52</v>
      </c>
      <c r="R332" s="24">
        <v>21</v>
      </c>
      <c r="S332" s="9">
        <v>26</v>
      </c>
      <c r="T332" s="9">
        <v>10</v>
      </c>
      <c r="U332" s="9">
        <v>62</v>
      </c>
      <c r="V332" s="8">
        <v>562</v>
      </c>
      <c r="W332" s="8">
        <v>0</v>
      </c>
      <c r="X332" s="8">
        <v>0</v>
      </c>
      <c r="Y332" s="7">
        <v>0.3</v>
      </c>
      <c r="Z332" s="7">
        <v>111.6</v>
      </c>
      <c r="AA332" s="7">
        <v>110.2</v>
      </c>
      <c r="AB332" s="7">
        <v>1.4</v>
      </c>
      <c r="AC332" s="7">
        <v>9.1999999999999993</v>
      </c>
      <c r="AD332" s="7">
        <v>2.6</v>
      </c>
      <c r="AE332" s="7">
        <v>16</v>
      </c>
      <c r="AF332" s="7">
        <v>2.2999999999999998</v>
      </c>
      <c r="AG332" s="7">
        <v>11.6</v>
      </c>
      <c r="AH332" s="7">
        <v>6.7</v>
      </c>
      <c r="AI332" s="7">
        <v>6.2</v>
      </c>
      <c r="AJ332" s="7">
        <v>49.8</v>
      </c>
      <c r="AK332" s="7">
        <v>50.4</v>
      </c>
      <c r="AL332" s="7">
        <v>14.5</v>
      </c>
      <c r="AM332" s="7">
        <v>99.37</v>
      </c>
      <c r="AN332" s="7">
        <v>6.1</v>
      </c>
      <c r="AO332" s="7">
        <v>1607</v>
      </c>
    </row>
    <row r="333" spans="1:41">
      <c r="A333" s="6" t="s">
        <v>705</v>
      </c>
      <c r="B333" s="6" t="s">
        <v>62</v>
      </c>
      <c r="C333" s="41">
        <f t="shared" si="11"/>
        <v>0.53652583740111093</v>
      </c>
      <c r="D333" s="42">
        <f t="shared" si="10"/>
        <v>2.8039215686274508</v>
      </c>
      <c r="E333" s="31">
        <v>255</v>
      </c>
      <c r="F333" s="24">
        <v>117</v>
      </c>
      <c r="G333" s="24">
        <v>224</v>
      </c>
      <c r="H333" s="8">
        <v>52</v>
      </c>
      <c r="I333" s="8">
        <v>0</v>
      </c>
      <c r="J333" s="8">
        <v>0</v>
      </c>
      <c r="K333" s="8">
        <v>26</v>
      </c>
      <c r="L333" s="25">
        <v>31</v>
      </c>
      <c r="M333" s="8">
        <v>72.7</v>
      </c>
      <c r="N333" s="9">
        <v>46</v>
      </c>
      <c r="O333" s="9">
        <v>194</v>
      </c>
      <c r="P333" s="9">
        <v>240</v>
      </c>
      <c r="Q333" s="24">
        <v>286</v>
      </c>
      <c r="R333" s="24">
        <v>102</v>
      </c>
      <c r="S333" s="9">
        <v>36</v>
      </c>
      <c r="T333" s="9">
        <v>26</v>
      </c>
      <c r="U333" s="9">
        <v>107</v>
      </c>
      <c r="V333" s="8">
        <v>1056</v>
      </c>
      <c r="W333" s="8">
        <v>1</v>
      </c>
      <c r="X333" s="8">
        <v>0</v>
      </c>
      <c r="Y333" s="7">
        <v>-1.1000000000000001</v>
      </c>
      <c r="Z333" s="7">
        <v>111.7</v>
      </c>
      <c r="AA333" s="7">
        <v>113.5</v>
      </c>
      <c r="AB333" s="7">
        <v>-1.8</v>
      </c>
      <c r="AC333" s="7">
        <v>35.799999999999997</v>
      </c>
      <c r="AD333" s="7">
        <v>2.79</v>
      </c>
      <c r="AE333" s="7">
        <v>45.7</v>
      </c>
      <c r="AF333" s="7">
        <v>4.3</v>
      </c>
      <c r="AG333" s="7">
        <v>18.399999999999999</v>
      </c>
      <c r="AH333" s="7">
        <v>11.3</v>
      </c>
      <c r="AI333" s="7">
        <v>16.3</v>
      </c>
      <c r="AJ333" s="7">
        <v>52</v>
      </c>
      <c r="AK333" s="7">
        <v>53.9</v>
      </c>
      <c r="AL333" s="7">
        <v>13.3</v>
      </c>
      <c r="AM333" s="7">
        <v>98.17</v>
      </c>
      <c r="AN333" s="7">
        <v>10.3</v>
      </c>
      <c r="AO333" s="7">
        <v>2283</v>
      </c>
    </row>
    <row r="334" spans="1:41">
      <c r="A334" s="6" t="s">
        <v>707</v>
      </c>
      <c r="B334" s="6" t="s">
        <v>56</v>
      </c>
      <c r="C334" s="41">
        <f t="shared" si="11"/>
        <v>0.54799861375844738</v>
      </c>
      <c r="D334" s="42">
        <f t="shared" si="10"/>
        <v>3</v>
      </c>
      <c r="E334" s="31">
        <v>253</v>
      </c>
      <c r="F334" s="24">
        <v>88</v>
      </c>
      <c r="G334" s="24">
        <v>204</v>
      </c>
      <c r="H334" s="8">
        <v>43.8</v>
      </c>
      <c r="I334" s="9">
        <v>94</v>
      </c>
      <c r="J334" s="8">
        <v>33.700000000000003</v>
      </c>
      <c r="K334" s="8">
        <v>39</v>
      </c>
      <c r="L334" s="25">
        <v>61</v>
      </c>
      <c r="M334" s="8">
        <v>67.2</v>
      </c>
      <c r="N334" s="9">
        <v>28</v>
      </c>
      <c r="O334" s="9">
        <v>66</v>
      </c>
      <c r="P334" s="9">
        <v>94</v>
      </c>
      <c r="Q334" s="24">
        <v>66</v>
      </c>
      <c r="R334" s="24">
        <v>22</v>
      </c>
      <c r="S334" s="9">
        <v>33</v>
      </c>
      <c r="T334" s="9">
        <v>6</v>
      </c>
      <c r="U334" s="9">
        <v>94</v>
      </c>
      <c r="V334" s="8">
        <v>550</v>
      </c>
      <c r="W334" s="8">
        <v>0</v>
      </c>
      <c r="X334" s="8">
        <v>0</v>
      </c>
      <c r="Y334" s="7">
        <v>0.2</v>
      </c>
      <c r="Z334" s="7">
        <v>111.1</v>
      </c>
      <c r="AA334" s="7">
        <v>108.7</v>
      </c>
      <c r="AB334" s="7">
        <v>2.4</v>
      </c>
      <c r="AC334" s="7">
        <v>11.6</v>
      </c>
      <c r="AD334" s="7">
        <v>2.71</v>
      </c>
      <c r="AE334" s="7">
        <v>20.399999999999999</v>
      </c>
      <c r="AF334" s="7">
        <v>3.6</v>
      </c>
      <c r="AG334" s="7">
        <v>8.1</v>
      </c>
      <c r="AH334" s="7">
        <v>5.8</v>
      </c>
      <c r="AI334" s="7">
        <v>7.5</v>
      </c>
      <c r="AJ334" s="7">
        <v>51.7</v>
      </c>
      <c r="AK334" s="7">
        <v>54.6</v>
      </c>
      <c r="AL334" s="7">
        <v>14.1</v>
      </c>
      <c r="AM334" s="7">
        <v>98.71</v>
      </c>
      <c r="AN334" s="7">
        <v>5.5</v>
      </c>
      <c r="AO334" s="7">
        <v>1595</v>
      </c>
    </row>
    <row r="335" spans="1:41">
      <c r="A335" s="6" t="s">
        <v>709</v>
      </c>
      <c r="B335" s="6" t="s">
        <v>116</v>
      </c>
      <c r="C335" s="41">
        <f t="shared" si="11"/>
        <v>0.55062166962699821</v>
      </c>
      <c r="D335" s="42">
        <f t="shared" si="10"/>
        <v>1.9230769230769231</v>
      </c>
      <c r="E335" s="31">
        <v>248</v>
      </c>
      <c r="F335" s="24">
        <v>90</v>
      </c>
      <c r="G335" s="24">
        <v>212</v>
      </c>
      <c r="H335" s="8">
        <v>42</v>
      </c>
      <c r="I335" s="9">
        <v>128</v>
      </c>
      <c r="J335" s="8">
        <v>35.4</v>
      </c>
      <c r="K335" s="8">
        <v>24</v>
      </c>
      <c r="L335" s="25">
        <v>30</v>
      </c>
      <c r="M335" s="8">
        <v>80</v>
      </c>
      <c r="N335" s="9">
        <v>6</v>
      </c>
      <c r="O335" s="9">
        <v>58</v>
      </c>
      <c r="P335" s="9">
        <v>64</v>
      </c>
      <c r="Q335" s="24">
        <v>50</v>
      </c>
      <c r="R335" s="24">
        <v>26</v>
      </c>
      <c r="S335" s="9">
        <v>10</v>
      </c>
      <c r="T335" s="9">
        <v>6</v>
      </c>
      <c r="U335" s="9">
        <v>28</v>
      </c>
      <c r="V335" s="8">
        <v>418</v>
      </c>
      <c r="W335" s="8">
        <v>1</v>
      </c>
      <c r="X335" s="8">
        <v>0</v>
      </c>
      <c r="Y335" s="7">
        <v>-7.1</v>
      </c>
      <c r="Z335" s="7">
        <v>104.7</v>
      </c>
      <c r="AA335" s="7">
        <v>118.7</v>
      </c>
      <c r="AB335" s="7">
        <v>-14.1</v>
      </c>
      <c r="AC335" s="7">
        <v>16.7</v>
      </c>
      <c r="AD335" s="7">
        <v>2</v>
      </c>
      <c r="AE335" s="7">
        <v>16.7</v>
      </c>
      <c r="AF335" s="7">
        <v>1.2</v>
      </c>
      <c r="AG335" s="7">
        <v>11.7</v>
      </c>
      <c r="AH335" s="7">
        <v>6.3</v>
      </c>
      <c r="AI335" s="7">
        <v>8.4</v>
      </c>
      <c r="AJ335" s="7">
        <v>52.6</v>
      </c>
      <c r="AK335" s="7">
        <v>54.8</v>
      </c>
      <c r="AL335" s="7">
        <v>21.4</v>
      </c>
      <c r="AM335" s="7">
        <v>101.6</v>
      </c>
      <c r="AN335" s="7">
        <v>9.1</v>
      </c>
      <c r="AO335" s="7">
        <v>1009</v>
      </c>
    </row>
    <row r="336" spans="1:41">
      <c r="A336" s="6" t="s">
        <v>711</v>
      </c>
      <c r="B336" s="6" t="s">
        <v>54</v>
      </c>
      <c r="C336" s="41">
        <f t="shared" si="11"/>
        <v>0.62820512820512819</v>
      </c>
      <c r="D336" s="42">
        <f t="shared" si="10"/>
        <v>1</v>
      </c>
      <c r="E336" s="31">
        <v>245</v>
      </c>
      <c r="F336" s="24">
        <v>97</v>
      </c>
      <c r="G336" s="24">
        <v>184</v>
      </c>
      <c r="H336" s="8">
        <v>52.5</v>
      </c>
      <c r="I336" s="9">
        <v>94</v>
      </c>
      <c r="J336" s="8">
        <v>34.4</v>
      </c>
      <c r="K336" s="8">
        <v>22</v>
      </c>
      <c r="L336" s="25">
        <v>25</v>
      </c>
      <c r="M336" s="8">
        <v>76.900000000000006</v>
      </c>
      <c r="N336" s="9">
        <v>22</v>
      </c>
      <c r="O336" s="9">
        <v>83</v>
      </c>
      <c r="P336" s="9">
        <v>104</v>
      </c>
      <c r="Q336" s="24">
        <v>22</v>
      </c>
      <c r="R336" s="24">
        <v>22</v>
      </c>
      <c r="S336" s="9">
        <v>11</v>
      </c>
      <c r="T336" s="9">
        <v>25</v>
      </c>
      <c r="U336" s="9">
        <v>22</v>
      </c>
      <c r="V336" s="8">
        <v>482</v>
      </c>
      <c r="W336" s="8">
        <v>1</v>
      </c>
      <c r="X336" s="8">
        <v>0</v>
      </c>
      <c r="Y336" s="7">
        <v>-1</v>
      </c>
      <c r="Z336" s="7">
        <v>112.1</v>
      </c>
      <c r="AA336" s="7">
        <v>115.9</v>
      </c>
      <c r="AB336" s="7">
        <v>-3.9</v>
      </c>
      <c r="AC336" s="7">
        <v>7.1</v>
      </c>
      <c r="AD336" s="7">
        <v>1.1000000000000001</v>
      </c>
      <c r="AE336" s="7">
        <v>9.3000000000000007</v>
      </c>
      <c r="AF336" s="7">
        <v>4.7</v>
      </c>
      <c r="AG336" s="7">
        <v>16.8</v>
      </c>
      <c r="AH336" s="7">
        <v>11.3</v>
      </c>
      <c r="AI336" s="7">
        <v>8.4</v>
      </c>
      <c r="AJ336" s="7">
        <v>61.2</v>
      </c>
      <c r="AK336" s="7">
        <v>62.7</v>
      </c>
      <c r="AL336" s="7">
        <v>20.399999999999999</v>
      </c>
      <c r="AM336" s="7">
        <v>102.75</v>
      </c>
      <c r="AN336" s="7">
        <v>11.4</v>
      </c>
      <c r="AO336" s="7">
        <v>960</v>
      </c>
    </row>
    <row r="337" spans="1:41">
      <c r="A337" s="6" t="s">
        <v>713</v>
      </c>
      <c r="B337" s="6" t="s">
        <v>98</v>
      </c>
      <c r="C337" s="41">
        <f t="shared" si="11"/>
        <v>0.5995566303909714</v>
      </c>
      <c r="D337" s="42">
        <f t="shared" si="10"/>
        <v>2.9166666666666665</v>
      </c>
      <c r="E337" s="31">
        <v>238</v>
      </c>
      <c r="F337" s="24">
        <v>81</v>
      </c>
      <c r="G337" s="24">
        <v>191</v>
      </c>
      <c r="H337" s="8">
        <v>42.1</v>
      </c>
      <c r="I337" s="9">
        <v>162</v>
      </c>
      <c r="J337" s="8">
        <v>40</v>
      </c>
      <c r="K337" s="8">
        <v>17</v>
      </c>
      <c r="L337" s="25">
        <v>17</v>
      </c>
      <c r="M337" s="8">
        <v>88.2</v>
      </c>
      <c r="N337" s="9">
        <v>17</v>
      </c>
      <c r="O337" s="9">
        <v>58</v>
      </c>
      <c r="P337" s="9">
        <v>75</v>
      </c>
      <c r="Q337" s="24">
        <v>35</v>
      </c>
      <c r="R337" s="24">
        <v>12</v>
      </c>
      <c r="S337" s="9">
        <v>23</v>
      </c>
      <c r="T337" s="9">
        <v>6</v>
      </c>
      <c r="U337" s="9">
        <v>64</v>
      </c>
      <c r="V337" s="8">
        <v>452</v>
      </c>
      <c r="W337" s="8">
        <v>0</v>
      </c>
      <c r="X337" s="8">
        <v>0</v>
      </c>
      <c r="Y337" s="7">
        <v>-1.1000000000000001</v>
      </c>
      <c r="Z337" s="7">
        <v>104.2</v>
      </c>
      <c r="AA337" s="7">
        <v>108.2</v>
      </c>
      <c r="AB337" s="7">
        <v>-4.0999999999999996</v>
      </c>
      <c r="AC337" s="7">
        <v>6.6</v>
      </c>
      <c r="AD337" s="7">
        <v>2.69</v>
      </c>
      <c r="AE337" s="7">
        <v>14.3</v>
      </c>
      <c r="AF337" s="7">
        <v>2.2999999999999998</v>
      </c>
      <c r="AG337" s="7">
        <v>7.3</v>
      </c>
      <c r="AH337" s="7">
        <v>4.7</v>
      </c>
      <c r="AI337" s="7">
        <v>5.3</v>
      </c>
      <c r="AJ337" s="7">
        <v>58.9</v>
      </c>
      <c r="AK337" s="7">
        <v>60.5</v>
      </c>
      <c r="AL337" s="7">
        <v>11.5</v>
      </c>
      <c r="AM337" s="7">
        <v>96.82</v>
      </c>
      <c r="AN337" s="7">
        <v>6.1</v>
      </c>
      <c r="AO337" s="7">
        <v>1589</v>
      </c>
    </row>
    <row r="338" spans="1:41">
      <c r="A338" s="13" t="s">
        <v>715</v>
      </c>
      <c r="B338" s="6" t="s">
        <v>146</v>
      </c>
      <c r="C338" s="41">
        <f t="shared" si="11"/>
        <v>0.54537923416789391</v>
      </c>
      <c r="D338" s="42">
        <f t="shared" si="10"/>
        <v>1.9375</v>
      </c>
      <c r="E338" s="31">
        <v>237</v>
      </c>
      <c r="F338" s="24">
        <v>81</v>
      </c>
      <c r="G338" s="24">
        <v>190</v>
      </c>
      <c r="H338" s="8">
        <v>42.1</v>
      </c>
      <c r="I338" s="9">
        <v>101</v>
      </c>
      <c r="J338" s="8">
        <v>32.700000000000003</v>
      </c>
      <c r="K338" s="8">
        <v>44</v>
      </c>
      <c r="L338" s="25">
        <v>62</v>
      </c>
      <c r="M338" s="8">
        <v>68.3</v>
      </c>
      <c r="N338" s="9">
        <v>21</v>
      </c>
      <c r="O338" s="9">
        <v>65</v>
      </c>
      <c r="P338" s="9">
        <v>86</v>
      </c>
      <c r="Q338" s="24">
        <v>31</v>
      </c>
      <c r="R338" s="24">
        <v>16</v>
      </c>
      <c r="S338" s="9">
        <v>13</v>
      </c>
      <c r="T338" s="9">
        <v>5</v>
      </c>
      <c r="U338" s="9">
        <v>44</v>
      </c>
      <c r="V338" s="8">
        <v>429</v>
      </c>
      <c r="W338" s="8">
        <v>2</v>
      </c>
      <c r="X338" s="8">
        <v>0</v>
      </c>
      <c r="Y338" s="7">
        <v>-0.7</v>
      </c>
      <c r="Z338" s="7">
        <v>109.7</v>
      </c>
      <c r="AA338" s="7">
        <v>111.1</v>
      </c>
      <c r="AB338" s="7">
        <v>-1.4</v>
      </c>
      <c r="AC338" s="7">
        <v>9.3000000000000007</v>
      </c>
      <c r="AD338" s="7">
        <v>2.0699999999999998</v>
      </c>
      <c r="AE338" s="7">
        <v>11.7</v>
      </c>
      <c r="AF338" s="7">
        <v>3.6</v>
      </c>
      <c r="AG338" s="7">
        <v>12.8</v>
      </c>
      <c r="AH338" s="7">
        <v>8</v>
      </c>
      <c r="AI338" s="7">
        <v>5.7</v>
      </c>
      <c r="AJ338" s="7">
        <v>50.8</v>
      </c>
      <c r="AK338" s="7">
        <v>54.2</v>
      </c>
      <c r="AL338" s="7">
        <v>18.899999999999999</v>
      </c>
      <c r="AM338" s="7">
        <v>103.71</v>
      </c>
      <c r="AN338" s="7">
        <v>8.1999999999999993</v>
      </c>
      <c r="AO338" s="7">
        <v>1050</v>
      </c>
    </row>
    <row r="339" spans="1:41">
      <c r="A339" s="6" t="s">
        <v>717</v>
      </c>
      <c r="B339" s="6" t="s">
        <v>94</v>
      </c>
      <c r="C339" s="41">
        <f t="shared" si="11"/>
        <v>0.58018961090262688</v>
      </c>
      <c r="D339" s="42">
        <f t="shared" si="10"/>
        <v>1.1515151515151516</v>
      </c>
      <c r="E339" s="31">
        <v>235</v>
      </c>
      <c r="F339" s="24">
        <v>89</v>
      </c>
      <c r="G339" s="24">
        <v>188</v>
      </c>
      <c r="H339" s="8">
        <v>45.8</v>
      </c>
      <c r="I339" s="9">
        <v>85</v>
      </c>
      <c r="J339" s="8">
        <v>40.5</v>
      </c>
      <c r="K339" s="8">
        <v>28</v>
      </c>
      <c r="L339" s="25">
        <v>33</v>
      </c>
      <c r="M339" s="8">
        <v>81.8</v>
      </c>
      <c r="N339" s="9">
        <v>5</v>
      </c>
      <c r="O339" s="9">
        <v>42</v>
      </c>
      <c r="P339" s="9">
        <v>52</v>
      </c>
      <c r="Q339" s="24">
        <v>38</v>
      </c>
      <c r="R339" s="24">
        <v>33</v>
      </c>
      <c r="S339" s="9">
        <v>9</v>
      </c>
      <c r="T339" s="8">
        <v>0</v>
      </c>
      <c r="U339" s="9">
        <v>28</v>
      </c>
      <c r="V339" s="8">
        <v>357</v>
      </c>
      <c r="W339" s="8">
        <v>0</v>
      </c>
      <c r="X339" s="8">
        <v>0</v>
      </c>
      <c r="Y339" s="7">
        <v>-0.7</v>
      </c>
      <c r="Z339" s="7">
        <v>106.1</v>
      </c>
      <c r="AA339" s="7">
        <v>109.8</v>
      </c>
      <c r="AB339" s="7">
        <v>-3.7</v>
      </c>
      <c r="AC339" s="7">
        <v>13.9</v>
      </c>
      <c r="AD339" s="7">
        <v>1.1200000000000001</v>
      </c>
      <c r="AE339" s="7">
        <v>13.7</v>
      </c>
      <c r="AF339" s="7">
        <v>1.6</v>
      </c>
      <c r="AG339" s="7">
        <v>9.3000000000000007</v>
      </c>
      <c r="AH339" s="7">
        <v>5.7</v>
      </c>
      <c r="AI339" s="7">
        <v>12.3</v>
      </c>
      <c r="AJ339" s="7">
        <v>54.7</v>
      </c>
      <c r="AK339" s="7">
        <v>57.5</v>
      </c>
      <c r="AL339" s="7">
        <v>23.3</v>
      </c>
      <c r="AM339" s="7">
        <v>103.25</v>
      </c>
      <c r="AN339" s="7">
        <v>8.6999999999999993</v>
      </c>
      <c r="AO339" s="7">
        <v>918</v>
      </c>
    </row>
    <row r="340" spans="1:41">
      <c r="A340" s="6" t="s">
        <v>719</v>
      </c>
      <c r="B340" s="6" t="s">
        <v>44</v>
      </c>
      <c r="C340" s="41">
        <f t="shared" si="11"/>
        <v>0.58546837469975976</v>
      </c>
      <c r="D340" s="42">
        <f t="shared" si="10"/>
        <v>2.2413793103448274</v>
      </c>
      <c r="E340" s="31">
        <v>234</v>
      </c>
      <c r="F340" s="24">
        <v>90</v>
      </c>
      <c r="G340" s="24">
        <v>184</v>
      </c>
      <c r="H340" s="8">
        <v>49.5</v>
      </c>
      <c r="I340" s="9">
        <v>61</v>
      </c>
      <c r="J340" s="8">
        <v>38.299999999999997</v>
      </c>
      <c r="K340" s="8">
        <v>29</v>
      </c>
      <c r="L340" s="25">
        <v>36</v>
      </c>
      <c r="M340" s="8">
        <v>82.9</v>
      </c>
      <c r="N340" s="9">
        <v>18</v>
      </c>
      <c r="O340" s="9">
        <v>50</v>
      </c>
      <c r="P340" s="9">
        <v>68</v>
      </c>
      <c r="Q340" s="24">
        <v>65</v>
      </c>
      <c r="R340" s="24">
        <v>29</v>
      </c>
      <c r="S340" s="9">
        <v>25</v>
      </c>
      <c r="T340" s="9">
        <v>4</v>
      </c>
      <c r="U340" s="9">
        <v>68</v>
      </c>
      <c r="V340" s="8">
        <v>468</v>
      </c>
      <c r="W340" s="8">
        <v>1</v>
      </c>
      <c r="X340" s="8">
        <v>0</v>
      </c>
      <c r="Y340" s="7">
        <v>3.5</v>
      </c>
      <c r="Z340" s="7">
        <v>110</v>
      </c>
      <c r="AA340" s="7">
        <v>100.2</v>
      </c>
      <c r="AB340" s="7">
        <v>9.6999999999999993</v>
      </c>
      <c r="AC340" s="7">
        <v>15.3</v>
      </c>
      <c r="AD340" s="7">
        <v>2.21</v>
      </c>
      <c r="AE340" s="7">
        <v>22.1</v>
      </c>
      <c r="AF340" s="7">
        <v>2.8</v>
      </c>
      <c r="AG340" s="7">
        <v>8</v>
      </c>
      <c r="AH340" s="7">
        <v>5.3</v>
      </c>
      <c r="AI340" s="7">
        <v>10</v>
      </c>
      <c r="AJ340" s="7">
        <v>55.7</v>
      </c>
      <c r="AK340" s="7">
        <v>58.7</v>
      </c>
      <c r="AL340" s="7">
        <v>15.9</v>
      </c>
      <c r="AM340" s="7">
        <v>100.63</v>
      </c>
      <c r="AN340" s="7">
        <v>8.1999999999999993</v>
      </c>
      <c r="AO340" s="7">
        <v>1254</v>
      </c>
    </row>
    <row r="341" spans="1:41">
      <c r="A341" s="6" t="s">
        <v>721</v>
      </c>
      <c r="B341" s="6" t="s">
        <v>54</v>
      </c>
      <c r="C341" s="41">
        <f t="shared" si="11"/>
        <v>0.55178268251273344</v>
      </c>
      <c r="D341" s="42">
        <f t="shared" si="10"/>
        <v>3.1304347826086958</v>
      </c>
      <c r="E341" s="31">
        <v>234</v>
      </c>
      <c r="F341" s="24">
        <v>81</v>
      </c>
      <c r="G341" s="24">
        <v>194</v>
      </c>
      <c r="H341" s="8">
        <v>42.6</v>
      </c>
      <c r="I341" s="9">
        <v>86</v>
      </c>
      <c r="J341" s="8">
        <v>36</v>
      </c>
      <c r="K341" s="8">
        <v>36</v>
      </c>
      <c r="L341" s="25">
        <v>41</v>
      </c>
      <c r="M341" s="8">
        <v>85.7</v>
      </c>
      <c r="N341" s="9">
        <v>14</v>
      </c>
      <c r="O341" s="9">
        <v>54</v>
      </c>
      <c r="P341" s="9">
        <v>68</v>
      </c>
      <c r="Q341" s="24">
        <v>72</v>
      </c>
      <c r="R341" s="24">
        <v>23</v>
      </c>
      <c r="S341" s="9">
        <v>18</v>
      </c>
      <c r="T341" s="9">
        <v>5</v>
      </c>
      <c r="U341" s="9">
        <v>23</v>
      </c>
      <c r="V341" s="8">
        <v>473</v>
      </c>
      <c r="W341" s="8">
        <v>0</v>
      </c>
      <c r="X341" s="8">
        <v>0</v>
      </c>
      <c r="Y341" s="7">
        <v>1</v>
      </c>
      <c r="Z341" s="7">
        <v>111.1</v>
      </c>
      <c r="AA341" s="7">
        <v>108.3</v>
      </c>
      <c r="AB341" s="7">
        <v>2.8</v>
      </c>
      <c r="AC341" s="7">
        <v>18.8</v>
      </c>
      <c r="AD341" s="7">
        <v>3.48</v>
      </c>
      <c r="AE341" s="7">
        <v>23.6</v>
      </c>
      <c r="AF341" s="7">
        <v>2.1</v>
      </c>
      <c r="AG341" s="7">
        <v>8.8000000000000007</v>
      </c>
      <c r="AH341" s="7">
        <v>5.6</v>
      </c>
      <c r="AI341" s="7">
        <v>6.8</v>
      </c>
      <c r="AJ341" s="7">
        <v>50.5</v>
      </c>
      <c r="AK341" s="7">
        <v>54.6</v>
      </c>
      <c r="AL341" s="7">
        <v>17.3</v>
      </c>
      <c r="AM341" s="7">
        <v>99.99</v>
      </c>
      <c r="AN341" s="7">
        <v>9.6</v>
      </c>
      <c r="AO341" s="7">
        <v>1195</v>
      </c>
    </row>
    <row r="342" spans="1:41">
      <c r="A342" s="6" t="s">
        <v>723</v>
      </c>
      <c r="B342" s="6" t="s">
        <v>70</v>
      </c>
      <c r="C342" s="41">
        <f t="shared" si="11"/>
        <v>0.57847082494969815</v>
      </c>
      <c r="D342" s="42">
        <f t="shared" si="10"/>
        <v>1.7333333333333334</v>
      </c>
      <c r="E342" s="31">
        <v>230</v>
      </c>
      <c r="F342" s="24">
        <v>84</v>
      </c>
      <c r="G342" s="24">
        <v>179</v>
      </c>
      <c r="H342" s="8">
        <v>45.8</v>
      </c>
      <c r="I342" s="9">
        <v>101</v>
      </c>
      <c r="J342" s="8">
        <v>33</v>
      </c>
      <c r="K342" s="8">
        <v>28</v>
      </c>
      <c r="L342" s="25">
        <v>45</v>
      </c>
      <c r="M342" s="8">
        <v>69</v>
      </c>
      <c r="N342" s="9">
        <v>73</v>
      </c>
      <c r="O342" s="9">
        <v>101</v>
      </c>
      <c r="P342" s="9">
        <v>174</v>
      </c>
      <c r="Q342" s="24">
        <v>78</v>
      </c>
      <c r="R342" s="24">
        <v>45</v>
      </c>
      <c r="S342" s="9">
        <v>22</v>
      </c>
      <c r="T342" s="9">
        <v>11</v>
      </c>
      <c r="U342" s="9">
        <v>90</v>
      </c>
      <c r="V342" s="8">
        <v>616</v>
      </c>
      <c r="W342" s="8">
        <v>0</v>
      </c>
      <c r="X342" s="8">
        <v>0</v>
      </c>
      <c r="Y342" s="7">
        <v>2.9</v>
      </c>
      <c r="Z342" s="7">
        <v>117.8</v>
      </c>
      <c r="AA342" s="7">
        <v>107.3</v>
      </c>
      <c r="AB342" s="7">
        <v>10.6</v>
      </c>
      <c r="AC342" s="7">
        <v>13.8</v>
      </c>
      <c r="AD342" s="7">
        <v>1.9</v>
      </c>
      <c r="AE342" s="7">
        <v>25.1</v>
      </c>
      <c r="AF342" s="7">
        <v>8.5</v>
      </c>
      <c r="AG342" s="7">
        <v>12.7</v>
      </c>
      <c r="AH342" s="7">
        <v>10.6</v>
      </c>
      <c r="AI342" s="7">
        <v>13.2</v>
      </c>
      <c r="AJ342" s="7">
        <v>55.3</v>
      </c>
      <c r="AK342" s="7">
        <v>57.5</v>
      </c>
      <c r="AL342" s="7">
        <v>12.6</v>
      </c>
      <c r="AM342" s="7">
        <v>99.78</v>
      </c>
      <c r="AN342" s="7">
        <v>7.3</v>
      </c>
      <c r="AO342" s="7">
        <v>1582</v>
      </c>
    </row>
    <row r="343" spans="1:41">
      <c r="A343" s="6" t="s">
        <v>725</v>
      </c>
      <c r="B343" s="6" t="s">
        <v>170</v>
      </c>
      <c r="C343" s="41">
        <f t="shared" si="11"/>
        <v>0.4218635363169479</v>
      </c>
      <c r="D343" s="42">
        <f t="shared" si="10"/>
        <v>1.3333333333333333</v>
      </c>
      <c r="E343" s="31">
        <v>230</v>
      </c>
      <c r="F343" s="24">
        <v>85</v>
      </c>
      <c r="G343" s="24">
        <v>255</v>
      </c>
      <c r="H343" s="8">
        <v>32.299999999999997</v>
      </c>
      <c r="I343" s="9">
        <v>135</v>
      </c>
      <c r="J343" s="8">
        <v>25.9</v>
      </c>
      <c r="K343" s="8">
        <v>30</v>
      </c>
      <c r="L343" s="25">
        <v>40</v>
      </c>
      <c r="M343" s="8">
        <v>72.5</v>
      </c>
      <c r="N343" s="9">
        <v>25</v>
      </c>
      <c r="O343" s="9">
        <v>85</v>
      </c>
      <c r="P343" s="9">
        <v>115</v>
      </c>
      <c r="Q343" s="24">
        <v>60</v>
      </c>
      <c r="R343" s="24">
        <v>45</v>
      </c>
      <c r="S343" s="9">
        <v>25</v>
      </c>
      <c r="T343" s="9">
        <v>15</v>
      </c>
      <c r="U343" s="9">
        <v>95</v>
      </c>
      <c r="V343" s="8">
        <v>525</v>
      </c>
      <c r="W343" s="8">
        <v>0</v>
      </c>
      <c r="X343" s="8">
        <v>0</v>
      </c>
      <c r="Y343" s="7">
        <v>-6.8</v>
      </c>
      <c r="Z343" s="7">
        <v>103</v>
      </c>
      <c r="AA343" s="7">
        <v>118.5</v>
      </c>
      <c r="AB343" s="7">
        <v>-15.5</v>
      </c>
      <c r="AC343" s="7">
        <v>7.8</v>
      </c>
      <c r="AD343" s="7">
        <v>1.34</v>
      </c>
      <c r="AE343" s="7">
        <v>15.6</v>
      </c>
      <c r="AF343" s="7">
        <v>2.4</v>
      </c>
      <c r="AG343" s="7">
        <v>7.5</v>
      </c>
      <c r="AH343" s="7">
        <v>4.9000000000000004</v>
      </c>
      <c r="AI343" s="7">
        <v>11.6</v>
      </c>
      <c r="AJ343" s="7">
        <v>39.1</v>
      </c>
      <c r="AK343" s="7">
        <v>41.9</v>
      </c>
      <c r="AL343" s="7">
        <v>12.2</v>
      </c>
      <c r="AM343" s="7">
        <v>103.19</v>
      </c>
      <c r="AN343" s="7">
        <v>2.1</v>
      </c>
      <c r="AO343" s="7">
        <v>2284</v>
      </c>
    </row>
    <row r="344" spans="1:41">
      <c r="A344" s="6" t="s">
        <v>727</v>
      </c>
      <c r="B344" s="6" t="s">
        <v>68</v>
      </c>
      <c r="C344" s="41">
        <f t="shared" si="11"/>
        <v>0.46537148431149405</v>
      </c>
      <c r="D344" s="42">
        <f t="shared" si="10"/>
        <v>2.0277777777777777</v>
      </c>
      <c r="E344" s="31">
        <v>229</v>
      </c>
      <c r="F344" s="24">
        <v>83</v>
      </c>
      <c r="G344" s="24">
        <v>239</v>
      </c>
      <c r="H344" s="8">
        <v>35.1</v>
      </c>
      <c r="I344" s="9">
        <v>140</v>
      </c>
      <c r="J344" s="8">
        <v>33.799999999999997</v>
      </c>
      <c r="K344" s="8">
        <v>16</v>
      </c>
      <c r="L344" s="25">
        <v>16</v>
      </c>
      <c r="M344" s="8">
        <v>81.3</v>
      </c>
      <c r="N344" s="9">
        <v>16</v>
      </c>
      <c r="O344" s="9">
        <v>62</v>
      </c>
      <c r="P344" s="9">
        <v>78</v>
      </c>
      <c r="Q344" s="24">
        <v>73</v>
      </c>
      <c r="R344" s="24">
        <v>36</v>
      </c>
      <c r="S344" s="9">
        <v>36</v>
      </c>
      <c r="T344" s="9">
        <v>16</v>
      </c>
      <c r="U344" s="9">
        <v>52</v>
      </c>
      <c r="V344" s="8">
        <v>556</v>
      </c>
      <c r="W344" s="8">
        <v>0</v>
      </c>
      <c r="X344" s="8">
        <v>0</v>
      </c>
      <c r="Y344" s="7">
        <v>-1</v>
      </c>
      <c r="Z344" s="7">
        <v>108.5</v>
      </c>
      <c r="AA344" s="7">
        <v>111.1</v>
      </c>
      <c r="AB344" s="7">
        <v>-2.7</v>
      </c>
      <c r="AC344" s="7">
        <v>15.3</v>
      </c>
      <c r="AD344" s="7">
        <v>2.0299999999999998</v>
      </c>
      <c r="AE344" s="7">
        <v>20.9</v>
      </c>
      <c r="AF344" s="7">
        <v>2.2000000000000002</v>
      </c>
      <c r="AG344" s="7">
        <v>8.6</v>
      </c>
      <c r="AH344" s="7">
        <v>5.4</v>
      </c>
      <c r="AI344" s="7">
        <v>10.3</v>
      </c>
      <c r="AJ344" s="7">
        <v>45.2</v>
      </c>
      <c r="AK344" s="7">
        <v>46.5</v>
      </c>
      <c r="AL344" s="7">
        <v>17.100000000000001</v>
      </c>
      <c r="AM344" s="7">
        <v>104.93</v>
      </c>
      <c r="AN344" s="7">
        <v>6</v>
      </c>
      <c r="AO344" s="7">
        <v>1425</v>
      </c>
    </row>
    <row r="345" spans="1:41">
      <c r="A345" s="6" t="s">
        <v>729</v>
      </c>
      <c r="B345" s="6" t="s">
        <v>114</v>
      </c>
      <c r="C345" s="41">
        <f t="shared" si="11"/>
        <v>0.68992528320077129</v>
      </c>
      <c r="D345" s="42">
        <f t="shared" si="10"/>
        <v>1.9545454545454546</v>
      </c>
      <c r="E345" s="31">
        <v>229</v>
      </c>
      <c r="F345" s="24">
        <v>90</v>
      </c>
      <c r="G345" s="24">
        <v>140</v>
      </c>
      <c r="H345" s="8">
        <v>64.7</v>
      </c>
      <c r="I345" s="9">
        <v>3</v>
      </c>
      <c r="J345" s="8">
        <v>0</v>
      </c>
      <c r="K345" s="8">
        <v>50</v>
      </c>
      <c r="L345" s="25">
        <v>59</v>
      </c>
      <c r="M345" s="8">
        <v>83.3</v>
      </c>
      <c r="N345" s="9">
        <v>62</v>
      </c>
      <c r="O345" s="9">
        <v>115</v>
      </c>
      <c r="P345" s="9">
        <v>177</v>
      </c>
      <c r="Q345" s="24">
        <v>43</v>
      </c>
      <c r="R345" s="24">
        <v>22</v>
      </c>
      <c r="S345" s="9">
        <v>9</v>
      </c>
      <c r="T345" s="9">
        <v>22</v>
      </c>
      <c r="U345" s="9">
        <v>50</v>
      </c>
      <c r="V345" s="8">
        <v>580</v>
      </c>
      <c r="W345" s="8">
        <v>3</v>
      </c>
      <c r="X345" s="8">
        <v>0</v>
      </c>
      <c r="Y345" s="7">
        <v>-1.2</v>
      </c>
      <c r="Z345" s="7">
        <v>110.2</v>
      </c>
      <c r="AA345" s="7">
        <v>114.5</v>
      </c>
      <c r="AB345" s="7">
        <v>-4.3</v>
      </c>
      <c r="AC345" s="7">
        <v>11.2</v>
      </c>
      <c r="AD345" s="7">
        <v>2</v>
      </c>
      <c r="AE345" s="7">
        <v>18.5</v>
      </c>
      <c r="AF345" s="7">
        <v>11.3</v>
      </c>
      <c r="AG345" s="7">
        <v>20.8</v>
      </c>
      <c r="AH345" s="7">
        <v>16.100000000000001</v>
      </c>
      <c r="AI345" s="7">
        <v>9.3000000000000007</v>
      </c>
      <c r="AJ345" s="7">
        <v>64.7</v>
      </c>
      <c r="AK345" s="7">
        <v>69.5</v>
      </c>
      <c r="AL345" s="7">
        <v>14.3</v>
      </c>
      <c r="AM345" s="7">
        <v>100.78</v>
      </c>
      <c r="AN345" s="7">
        <v>13.5</v>
      </c>
      <c r="AO345" s="7">
        <v>1127</v>
      </c>
    </row>
    <row r="346" spans="1:41">
      <c r="A346" s="13" t="s">
        <v>731</v>
      </c>
      <c r="B346" s="6" t="s">
        <v>50</v>
      </c>
      <c r="C346" s="41">
        <f t="shared" si="11"/>
        <v>0.55372061394987371</v>
      </c>
      <c r="D346" s="42">
        <f t="shared" si="10"/>
        <v>1.3333333333333333</v>
      </c>
      <c r="E346" s="31">
        <v>228</v>
      </c>
      <c r="F346" s="24">
        <v>94</v>
      </c>
      <c r="G346" s="24">
        <v>194</v>
      </c>
      <c r="H346" s="8">
        <v>47.7</v>
      </c>
      <c r="I346" s="9">
        <v>74</v>
      </c>
      <c r="J346" s="8">
        <v>39.5</v>
      </c>
      <c r="K346" s="8">
        <v>13</v>
      </c>
      <c r="L346" s="25">
        <v>27</v>
      </c>
      <c r="M346" s="8">
        <v>50</v>
      </c>
      <c r="N346" s="9">
        <v>67</v>
      </c>
      <c r="O346" s="9">
        <v>114</v>
      </c>
      <c r="P346" s="9">
        <v>181</v>
      </c>
      <c r="Q346" s="24">
        <v>80</v>
      </c>
      <c r="R346" s="24">
        <v>60</v>
      </c>
      <c r="S346" s="9">
        <v>34</v>
      </c>
      <c r="T346" s="9">
        <v>13</v>
      </c>
      <c r="U346" s="9">
        <v>114</v>
      </c>
      <c r="V346" s="8">
        <v>657</v>
      </c>
      <c r="W346" s="8">
        <v>0</v>
      </c>
      <c r="X346" s="8">
        <v>0</v>
      </c>
      <c r="Y346" s="7">
        <v>-0.5</v>
      </c>
      <c r="Z346" s="7">
        <v>110.6</v>
      </c>
      <c r="AA346" s="7">
        <v>112.1</v>
      </c>
      <c r="AB346" s="7">
        <v>-1.5</v>
      </c>
      <c r="AC346" s="7">
        <v>10.9</v>
      </c>
      <c r="AD346" s="7">
        <v>1.43</v>
      </c>
      <c r="AE346" s="7">
        <v>23.8</v>
      </c>
      <c r="AF346" s="7">
        <v>6.6</v>
      </c>
      <c r="AG346" s="7">
        <v>11.4</v>
      </c>
      <c r="AH346" s="7">
        <v>9.1</v>
      </c>
      <c r="AI346" s="7">
        <v>16.600000000000001</v>
      </c>
      <c r="AJ346" s="7">
        <v>55.3</v>
      </c>
      <c r="AK346" s="7">
        <v>55.4</v>
      </c>
      <c r="AL346" s="7">
        <v>11.5</v>
      </c>
      <c r="AM346" s="7">
        <v>101.48</v>
      </c>
      <c r="AN346" s="7">
        <v>5.0999999999999996</v>
      </c>
      <c r="AO346" s="7">
        <v>2071</v>
      </c>
    </row>
    <row r="347" spans="1:41">
      <c r="A347" s="6" t="s">
        <v>733</v>
      </c>
      <c r="B347" s="6" t="s">
        <v>68</v>
      </c>
      <c r="C347" s="41">
        <f t="shared" si="11"/>
        <v>0.54087689067585676</v>
      </c>
      <c r="D347" s="42">
        <f t="shared" si="10"/>
        <v>1.2307692307692308</v>
      </c>
      <c r="E347" s="31">
        <v>226</v>
      </c>
      <c r="F347" s="24">
        <v>93</v>
      </c>
      <c r="G347" s="24">
        <v>168</v>
      </c>
      <c r="H347" s="8">
        <v>54.5</v>
      </c>
      <c r="I347" s="8">
        <v>0</v>
      </c>
      <c r="J347" s="8">
        <v>0</v>
      </c>
      <c r="K347" s="8">
        <v>41</v>
      </c>
      <c r="L347" s="25">
        <v>93</v>
      </c>
      <c r="M347" s="8">
        <v>46.2</v>
      </c>
      <c r="N347" s="9">
        <v>168</v>
      </c>
      <c r="O347" s="9">
        <v>162</v>
      </c>
      <c r="P347" s="9">
        <v>325</v>
      </c>
      <c r="Q347" s="24">
        <v>64</v>
      </c>
      <c r="R347" s="24">
        <v>52</v>
      </c>
      <c r="S347" s="9">
        <v>23</v>
      </c>
      <c r="T347" s="9">
        <v>29</v>
      </c>
      <c r="U347" s="9">
        <v>58</v>
      </c>
      <c r="V347" s="8">
        <v>812</v>
      </c>
      <c r="W347" s="8">
        <v>3</v>
      </c>
      <c r="X347" s="8">
        <v>0</v>
      </c>
      <c r="Y347" s="7">
        <v>3</v>
      </c>
      <c r="Z347" s="7">
        <v>115.3</v>
      </c>
      <c r="AA347" s="7">
        <v>105.9</v>
      </c>
      <c r="AB347" s="7">
        <v>9.4</v>
      </c>
      <c r="AC347" s="7">
        <v>10.7</v>
      </c>
      <c r="AD347" s="7">
        <v>1.22</v>
      </c>
      <c r="AE347" s="7">
        <v>20.100000000000001</v>
      </c>
      <c r="AF347" s="7">
        <v>18.100000000000001</v>
      </c>
      <c r="AG347" s="7">
        <v>19.3</v>
      </c>
      <c r="AH347" s="7">
        <v>18.7</v>
      </c>
      <c r="AI347" s="7">
        <v>16.399999999999999</v>
      </c>
      <c r="AJ347" s="7">
        <v>54.5</v>
      </c>
      <c r="AK347" s="7">
        <v>54.1</v>
      </c>
      <c r="AL347" s="7">
        <v>12.7</v>
      </c>
      <c r="AM347" s="7">
        <v>99.77</v>
      </c>
      <c r="AN347" s="7">
        <v>10.9</v>
      </c>
      <c r="AO347" s="7">
        <v>1658</v>
      </c>
    </row>
    <row r="348" spans="1:41">
      <c r="A348" s="6" t="s">
        <v>735</v>
      </c>
      <c r="B348" s="6" t="s">
        <v>46</v>
      </c>
      <c r="C348" s="41">
        <f t="shared" si="11"/>
        <v>0.5078125</v>
      </c>
      <c r="D348" s="42">
        <f t="shared" si="10"/>
        <v>1.8148148148148149</v>
      </c>
      <c r="E348" s="31">
        <v>221</v>
      </c>
      <c r="F348" s="24">
        <v>93</v>
      </c>
      <c r="G348" s="24">
        <v>211</v>
      </c>
      <c r="H348" s="8">
        <v>44.1</v>
      </c>
      <c r="I348" s="9">
        <v>74</v>
      </c>
      <c r="J348" s="8">
        <v>33.799999999999997</v>
      </c>
      <c r="K348" s="8">
        <v>10</v>
      </c>
      <c r="L348" s="25">
        <v>15</v>
      </c>
      <c r="M348" s="8">
        <v>53.3</v>
      </c>
      <c r="N348" s="9">
        <v>10</v>
      </c>
      <c r="O348" s="9">
        <v>39</v>
      </c>
      <c r="P348" s="9">
        <v>49</v>
      </c>
      <c r="Q348" s="24">
        <v>98</v>
      </c>
      <c r="R348" s="24">
        <v>54</v>
      </c>
      <c r="S348" s="9">
        <v>20</v>
      </c>
      <c r="T348" s="8">
        <v>0</v>
      </c>
      <c r="U348" s="9">
        <v>39</v>
      </c>
      <c r="V348" s="8">
        <v>436</v>
      </c>
      <c r="W348" s="8">
        <v>0</v>
      </c>
      <c r="X348" s="8">
        <v>0</v>
      </c>
      <c r="Y348" s="7">
        <v>0.4</v>
      </c>
      <c r="Z348" s="7">
        <v>112.3</v>
      </c>
      <c r="AA348" s="7">
        <v>111.1</v>
      </c>
      <c r="AB348" s="7">
        <v>1.2</v>
      </c>
      <c r="AC348" s="7">
        <v>28.3</v>
      </c>
      <c r="AD348" s="7">
        <v>1.85</v>
      </c>
      <c r="AE348" s="7">
        <v>26.6</v>
      </c>
      <c r="AF348" s="7">
        <v>2.2000000000000002</v>
      </c>
      <c r="AG348" s="7">
        <v>7</v>
      </c>
      <c r="AH348" s="7">
        <v>4.5999999999999996</v>
      </c>
      <c r="AI348" s="7">
        <v>14.4</v>
      </c>
      <c r="AJ348" s="7">
        <v>50</v>
      </c>
      <c r="AK348" s="7">
        <v>50.3</v>
      </c>
      <c r="AL348" s="7">
        <v>21.5</v>
      </c>
      <c r="AM348" s="7">
        <v>101.82</v>
      </c>
      <c r="AN348" s="7">
        <v>7.8</v>
      </c>
      <c r="AO348" s="7">
        <v>1097</v>
      </c>
    </row>
    <row r="349" spans="1:41">
      <c r="A349" s="6" t="s">
        <v>737</v>
      </c>
      <c r="B349" s="6" t="s">
        <v>114</v>
      </c>
      <c r="C349" s="41">
        <f t="shared" si="11"/>
        <v>0.48093739069604757</v>
      </c>
      <c r="D349" s="42">
        <f t="shared" si="10"/>
        <v>2.1428571428571428</v>
      </c>
      <c r="E349" s="31">
        <v>220</v>
      </c>
      <c r="F349" s="24">
        <v>81</v>
      </c>
      <c r="G349" s="24">
        <v>212</v>
      </c>
      <c r="H349" s="8">
        <v>38.5</v>
      </c>
      <c r="I349" s="9">
        <v>90</v>
      </c>
      <c r="J349" s="8">
        <v>26.7</v>
      </c>
      <c r="K349" s="8">
        <v>32</v>
      </c>
      <c r="L349" s="25">
        <v>38</v>
      </c>
      <c r="M349" s="8">
        <v>86.5</v>
      </c>
      <c r="N349" s="9">
        <v>9</v>
      </c>
      <c r="O349" s="9">
        <v>52</v>
      </c>
      <c r="P349" s="9">
        <v>58</v>
      </c>
      <c r="Q349" s="24">
        <v>75</v>
      </c>
      <c r="R349" s="24">
        <v>35</v>
      </c>
      <c r="S349" s="9">
        <v>12</v>
      </c>
      <c r="T349" s="9">
        <v>3</v>
      </c>
      <c r="U349" s="9">
        <v>49</v>
      </c>
      <c r="V349" s="8">
        <v>415</v>
      </c>
      <c r="W349" s="8">
        <v>0</v>
      </c>
      <c r="X349" s="8">
        <v>0</v>
      </c>
      <c r="Y349" s="7">
        <v>-5.2</v>
      </c>
      <c r="Z349" s="7">
        <v>104.1</v>
      </c>
      <c r="AA349" s="7">
        <v>115.6</v>
      </c>
      <c r="AB349" s="7">
        <v>-11.5</v>
      </c>
      <c r="AC349" s="7">
        <v>17.8</v>
      </c>
      <c r="AD349" s="7">
        <v>2.17</v>
      </c>
      <c r="AE349" s="7">
        <v>22.3</v>
      </c>
      <c r="AF349" s="7">
        <v>1.1000000000000001</v>
      </c>
      <c r="AG349" s="7">
        <v>7.3</v>
      </c>
      <c r="AH349" s="7">
        <v>4.2</v>
      </c>
      <c r="AI349" s="7">
        <v>10.3</v>
      </c>
      <c r="AJ349" s="7">
        <v>44.1</v>
      </c>
      <c r="AK349" s="7">
        <v>48</v>
      </c>
      <c r="AL349" s="7">
        <v>17.3</v>
      </c>
      <c r="AM349" s="7">
        <v>100.83</v>
      </c>
      <c r="AN349" s="7">
        <v>5.3</v>
      </c>
      <c r="AO349" s="7">
        <v>1342</v>
      </c>
    </row>
    <row r="350" spans="1:41">
      <c r="A350" s="6" t="s">
        <v>739</v>
      </c>
      <c r="B350" s="6" t="s">
        <v>50</v>
      </c>
      <c r="C350" s="41">
        <f t="shared" si="11"/>
        <v>0.56949401637623343</v>
      </c>
      <c r="D350" s="42">
        <f t="shared" si="10"/>
        <v>2.8</v>
      </c>
      <c r="E350" s="31">
        <v>217</v>
      </c>
      <c r="F350" s="24">
        <v>82</v>
      </c>
      <c r="G350" s="24">
        <v>176</v>
      </c>
      <c r="H350" s="8">
        <v>46.9</v>
      </c>
      <c r="I350" s="9">
        <v>82</v>
      </c>
      <c r="J350" s="8">
        <v>32.1</v>
      </c>
      <c r="K350" s="8">
        <v>25</v>
      </c>
      <c r="L350" s="25">
        <v>33</v>
      </c>
      <c r="M350" s="8">
        <v>77.400000000000006</v>
      </c>
      <c r="N350" s="9">
        <v>21</v>
      </c>
      <c r="O350" s="9">
        <v>90</v>
      </c>
      <c r="P350" s="9">
        <v>111</v>
      </c>
      <c r="Q350" s="24">
        <v>70</v>
      </c>
      <c r="R350" s="24">
        <v>25</v>
      </c>
      <c r="S350" s="9">
        <v>8</v>
      </c>
      <c r="T350" s="9">
        <v>12</v>
      </c>
      <c r="U350" s="9">
        <v>45</v>
      </c>
      <c r="V350" s="8">
        <v>488</v>
      </c>
      <c r="W350" s="8">
        <v>1</v>
      </c>
      <c r="X350" s="8">
        <v>0</v>
      </c>
      <c r="Y350" s="7">
        <v>-0.3</v>
      </c>
      <c r="Z350" s="7">
        <v>111.7</v>
      </c>
      <c r="AA350" s="7">
        <v>114.6</v>
      </c>
      <c r="AB350" s="7">
        <v>-2.9</v>
      </c>
      <c r="AC350" s="7">
        <v>15.9</v>
      </c>
      <c r="AD350" s="7">
        <v>2.92</v>
      </c>
      <c r="AE350" s="7">
        <v>24.7</v>
      </c>
      <c r="AF350" s="7">
        <v>3.2</v>
      </c>
      <c r="AG350" s="7">
        <v>14</v>
      </c>
      <c r="AH350" s="7">
        <v>8.8000000000000007</v>
      </c>
      <c r="AI350" s="7">
        <v>8.5</v>
      </c>
      <c r="AJ350" s="7">
        <v>54.2</v>
      </c>
      <c r="AK350" s="7">
        <v>56.7</v>
      </c>
      <c r="AL350" s="7">
        <v>15.1</v>
      </c>
      <c r="AM350" s="7">
        <v>99.41</v>
      </c>
      <c r="AN350" s="7">
        <v>8.8000000000000007</v>
      </c>
      <c r="AO350" s="7">
        <v>1259</v>
      </c>
    </row>
    <row r="351" spans="1:41">
      <c r="A351" s="6" t="s">
        <v>741</v>
      </c>
      <c r="B351" s="6" t="s">
        <v>94</v>
      </c>
      <c r="C351" s="41">
        <f t="shared" si="11"/>
        <v>0.50196115054165114</v>
      </c>
      <c r="D351" s="42">
        <f t="shared" si="10"/>
        <v>2.2307692307692308</v>
      </c>
      <c r="E351" s="31">
        <v>215</v>
      </c>
      <c r="F351" s="24">
        <v>81</v>
      </c>
      <c r="G351" s="24">
        <v>186</v>
      </c>
      <c r="H351" s="8">
        <v>43.5</v>
      </c>
      <c r="I351" s="9">
        <v>58</v>
      </c>
      <c r="J351" s="8">
        <v>29.3</v>
      </c>
      <c r="K351" s="8">
        <v>41</v>
      </c>
      <c r="L351" s="25">
        <v>64</v>
      </c>
      <c r="M351" s="8">
        <v>62.3</v>
      </c>
      <c r="N351" s="9">
        <v>17</v>
      </c>
      <c r="O351" s="9">
        <v>46</v>
      </c>
      <c r="P351" s="9">
        <v>64</v>
      </c>
      <c r="Q351" s="24">
        <v>116</v>
      </c>
      <c r="R351" s="24">
        <v>52</v>
      </c>
      <c r="S351" s="9">
        <v>35</v>
      </c>
      <c r="T351" s="9">
        <v>6</v>
      </c>
      <c r="U351" s="9">
        <v>46</v>
      </c>
      <c r="V351" s="8">
        <v>534</v>
      </c>
      <c r="W351" s="8">
        <v>0</v>
      </c>
      <c r="X351" s="8">
        <v>0</v>
      </c>
      <c r="Y351" s="7">
        <v>-0.2</v>
      </c>
      <c r="Z351" s="7">
        <v>110.2</v>
      </c>
      <c r="AA351" s="7">
        <v>109.7</v>
      </c>
      <c r="AB351" s="7">
        <v>0.5</v>
      </c>
      <c r="AC351" s="7">
        <v>22.5</v>
      </c>
      <c r="AD351" s="7">
        <v>2.11</v>
      </c>
      <c r="AE351" s="7">
        <v>29.8</v>
      </c>
      <c r="AF351" s="7">
        <v>2.5</v>
      </c>
      <c r="AG351" s="7">
        <v>6.2</v>
      </c>
      <c r="AH351" s="7">
        <v>4.4000000000000004</v>
      </c>
      <c r="AI351" s="7">
        <v>14.1</v>
      </c>
      <c r="AJ351" s="7">
        <v>48.1</v>
      </c>
      <c r="AK351" s="7">
        <v>51</v>
      </c>
      <c r="AL351" s="7">
        <v>16.5</v>
      </c>
      <c r="AM351" s="7">
        <v>101.92</v>
      </c>
      <c r="AN351" s="7">
        <v>6.6</v>
      </c>
      <c r="AO351" s="7">
        <v>1443</v>
      </c>
    </row>
    <row r="352" spans="1:41">
      <c r="A352" s="6" t="s">
        <v>743</v>
      </c>
      <c r="B352" s="6" t="s">
        <v>82</v>
      </c>
      <c r="C352" s="41">
        <f t="shared" si="11"/>
        <v>0.47926985874151534</v>
      </c>
      <c r="D352" s="42">
        <f t="shared" si="10"/>
        <v>0.90625</v>
      </c>
      <c r="E352" s="31">
        <v>209</v>
      </c>
      <c r="F352" s="24">
        <v>75</v>
      </c>
      <c r="G352" s="24">
        <v>200</v>
      </c>
      <c r="H352" s="8">
        <v>37.200000000000003</v>
      </c>
      <c r="I352" s="9">
        <v>96</v>
      </c>
      <c r="J352" s="8">
        <v>33.700000000000003</v>
      </c>
      <c r="K352" s="8">
        <v>29</v>
      </c>
      <c r="L352" s="25">
        <v>41</v>
      </c>
      <c r="M352" s="8">
        <v>72.5</v>
      </c>
      <c r="N352" s="9">
        <v>26</v>
      </c>
      <c r="O352" s="9">
        <v>64</v>
      </c>
      <c r="P352" s="9">
        <v>93</v>
      </c>
      <c r="Q352" s="24">
        <v>29</v>
      </c>
      <c r="R352" s="24">
        <v>32</v>
      </c>
      <c r="S352" s="9">
        <v>12</v>
      </c>
      <c r="T352" s="9">
        <v>6</v>
      </c>
      <c r="U352" s="9">
        <v>29</v>
      </c>
      <c r="V352" s="8">
        <v>383</v>
      </c>
      <c r="W352" s="8">
        <v>0</v>
      </c>
      <c r="X352" s="8">
        <v>0</v>
      </c>
      <c r="Y352" s="7">
        <v>-2.2999999999999998</v>
      </c>
      <c r="Z352" s="7">
        <v>112.7</v>
      </c>
      <c r="AA352" s="7">
        <v>118.6</v>
      </c>
      <c r="AB352" s="7">
        <v>-5.9</v>
      </c>
      <c r="AC352" s="7">
        <v>8.5</v>
      </c>
      <c r="AD352" s="7">
        <v>0.94</v>
      </c>
      <c r="AE352" s="7">
        <v>10.5</v>
      </c>
      <c r="AF352" s="7">
        <v>5.5</v>
      </c>
      <c r="AG352" s="7">
        <v>13</v>
      </c>
      <c r="AH352" s="7">
        <v>9.3000000000000007</v>
      </c>
      <c r="AI352" s="7">
        <v>11.2</v>
      </c>
      <c r="AJ352" s="7">
        <v>45.2</v>
      </c>
      <c r="AK352" s="7">
        <v>48.2</v>
      </c>
      <c r="AL352" s="7">
        <v>21.9</v>
      </c>
      <c r="AM352" s="7">
        <v>102.73</v>
      </c>
      <c r="AN352" s="7">
        <v>6.4</v>
      </c>
      <c r="AO352" s="7">
        <v>977</v>
      </c>
    </row>
    <row r="353" spans="1:41">
      <c r="A353" s="6" t="s">
        <v>745</v>
      </c>
      <c r="B353" s="6" t="s">
        <v>48</v>
      </c>
      <c r="C353" s="41">
        <f t="shared" si="11"/>
        <v>0.61872309899569589</v>
      </c>
      <c r="D353" s="42">
        <f t="shared" si="10"/>
        <v>1.2820512820512822</v>
      </c>
      <c r="E353" s="31">
        <v>207</v>
      </c>
      <c r="F353" s="24">
        <v>90</v>
      </c>
      <c r="G353" s="24">
        <v>140</v>
      </c>
      <c r="H353" s="8">
        <v>65</v>
      </c>
      <c r="I353" s="8">
        <v>0</v>
      </c>
      <c r="J353" s="8">
        <v>0</v>
      </c>
      <c r="K353" s="8">
        <v>28</v>
      </c>
      <c r="L353" s="25">
        <v>62</v>
      </c>
      <c r="M353" s="8">
        <v>42.2</v>
      </c>
      <c r="N353" s="9">
        <v>84</v>
      </c>
      <c r="O353" s="9">
        <v>202</v>
      </c>
      <c r="P353" s="9">
        <v>286</v>
      </c>
      <c r="Q353" s="24">
        <v>50</v>
      </c>
      <c r="R353" s="24">
        <v>39</v>
      </c>
      <c r="S353" s="9">
        <v>17</v>
      </c>
      <c r="T353" s="9">
        <v>28</v>
      </c>
      <c r="U353" s="9">
        <v>73</v>
      </c>
      <c r="V353" s="8">
        <v>717</v>
      </c>
      <c r="W353" s="8">
        <v>3</v>
      </c>
      <c r="X353" s="8">
        <v>0</v>
      </c>
      <c r="Y353" s="7">
        <v>-0.8</v>
      </c>
      <c r="Z353" s="7">
        <v>108.8</v>
      </c>
      <c r="AA353" s="7">
        <v>112.1</v>
      </c>
      <c r="AB353" s="7">
        <v>-3.3</v>
      </c>
      <c r="AC353" s="7">
        <v>10.5</v>
      </c>
      <c r="AD353" s="7">
        <v>1.33</v>
      </c>
      <c r="AE353" s="7">
        <v>20.2</v>
      </c>
      <c r="AF353" s="7">
        <v>11.9</v>
      </c>
      <c r="AG353" s="7">
        <v>26.2</v>
      </c>
      <c r="AH353" s="7">
        <v>19.399999999999999</v>
      </c>
      <c r="AI353" s="7">
        <v>15.3</v>
      </c>
      <c r="AJ353" s="7">
        <v>65</v>
      </c>
      <c r="AK353" s="7">
        <v>62.1</v>
      </c>
      <c r="AL353" s="7">
        <v>12.6</v>
      </c>
      <c r="AM353" s="7">
        <v>100.07</v>
      </c>
      <c r="AN353" s="7">
        <v>11.5</v>
      </c>
      <c r="AO353" s="7">
        <v>1440</v>
      </c>
    </row>
    <row r="354" spans="1:41">
      <c r="A354" s="6" t="s">
        <v>747</v>
      </c>
      <c r="B354" s="6" t="s">
        <v>164</v>
      </c>
      <c r="C354" s="41">
        <f t="shared" si="11"/>
        <v>0.5432489451476793</v>
      </c>
      <c r="D354" s="42">
        <f t="shared" si="10"/>
        <v>1.8333333333333333</v>
      </c>
      <c r="E354" s="31">
        <v>206</v>
      </c>
      <c r="F354" s="24">
        <v>76</v>
      </c>
      <c r="G354" s="24">
        <v>172</v>
      </c>
      <c r="H354" s="8">
        <v>43.6</v>
      </c>
      <c r="I354" s="9">
        <v>72</v>
      </c>
      <c r="J354" s="8">
        <v>30.6</v>
      </c>
      <c r="K354" s="8">
        <v>34</v>
      </c>
      <c r="L354" s="25">
        <v>40</v>
      </c>
      <c r="M354" s="8">
        <v>82.5</v>
      </c>
      <c r="N354" s="9">
        <v>22</v>
      </c>
      <c r="O354" s="9">
        <v>56</v>
      </c>
      <c r="P354" s="9">
        <v>78</v>
      </c>
      <c r="Q354" s="24">
        <v>66</v>
      </c>
      <c r="R354" s="24">
        <v>36</v>
      </c>
      <c r="S354" s="9">
        <v>38</v>
      </c>
      <c r="T354" s="9">
        <v>10</v>
      </c>
      <c r="U354" s="9">
        <v>66</v>
      </c>
      <c r="V354" s="8">
        <v>500</v>
      </c>
      <c r="W354" s="8">
        <v>0</v>
      </c>
      <c r="X354" s="8">
        <v>0</v>
      </c>
      <c r="Y354" s="7">
        <v>-1</v>
      </c>
      <c r="Z354" s="7">
        <v>111.8</v>
      </c>
      <c r="AA354" s="7">
        <v>112.5</v>
      </c>
      <c r="AB354" s="7">
        <v>-0.7</v>
      </c>
      <c r="AC354" s="7">
        <v>13.4</v>
      </c>
      <c r="AD354" s="7">
        <v>1.86</v>
      </c>
      <c r="AE354" s="7">
        <v>22.3</v>
      </c>
      <c r="AF354" s="7">
        <v>3.3</v>
      </c>
      <c r="AG354" s="7">
        <v>8.5</v>
      </c>
      <c r="AH354" s="7">
        <v>5.9</v>
      </c>
      <c r="AI354" s="7">
        <v>12</v>
      </c>
      <c r="AJ354" s="7">
        <v>50</v>
      </c>
      <c r="AK354" s="7">
        <v>54.1</v>
      </c>
      <c r="AL354" s="7">
        <v>14.6</v>
      </c>
      <c r="AM354" s="7">
        <v>100.76</v>
      </c>
      <c r="AN354" s="7">
        <v>6.2</v>
      </c>
      <c r="AO354" s="7">
        <v>1356</v>
      </c>
    </row>
    <row r="355" spans="1:41">
      <c r="A355" s="13" t="s">
        <v>749</v>
      </c>
      <c r="B355" s="6" t="s">
        <v>58</v>
      </c>
      <c r="C355" s="41">
        <f t="shared" si="11"/>
        <v>0.63244047619047616</v>
      </c>
      <c r="D355" s="42">
        <f t="shared" si="10"/>
        <v>2.2352941176470589</v>
      </c>
      <c r="E355" s="31">
        <v>204</v>
      </c>
      <c r="F355" s="24">
        <v>79</v>
      </c>
      <c r="G355" s="24">
        <v>156</v>
      </c>
      <c r="H355" s="8">
        <v>51.6</v>
      </c>
      <c r="I355" s="9">
        <v>77</v>
      </c>
      <c r="J355" s="8">
        <v>44.7</v>
      </c>
      <c r="K355" s="8">
        <v>10</v>
      </c>
      <c r="L355" s="25">
        <v>12</v>
      </c>
      <c r="M355" s="8">
        <v>69.2</v>
      </c>
      <c r="N355" s="9">
        <v>24</v>
      </c>
      <c r="O355" s="9">
        <v>79</v>
      </c>
      <c r="P355" s="9">
        <v>103</v>
      </c>
      <c r="Q355" s="24">
        <v>38</v>
      </c>
      <c r="R355" s="24">
        <v>17</v>
      </c>
      <c r="S355" s="9">
        <v>19</v>
      </c>
      <c r="T355" s="9">
        <v>12</v>
      </c>
      <c r="U355" s="9">
        <v>36</v>
      </c>
      <c r="V355" s="8">
        <v>466</v>
      </c>
      <c r="W355" s="8">
        <v>3</v>
      </c>
      <c r="X355" s="8">
        <v>0</v>
      </c>
      <c r="Y355" s="7">
        <v>-4</v>
      </c>
      <c r="Z355" s="7">
        <v>107.5</v>
      </c>
      <c r="AA355" s="7">
        <v>116.5</v>
      </c>
      <c r="AB355" s="7">
        <v>-9</v>
      </c>
      <c r="AC355" s="7">
        <v>12.5</v>
      </c>
      <c r="AD355" s="7">
        <v>2.38</v>
      </c>
      <c r="AE355" s="7">
        <v>17.7</v>
      </c>
      <c r="AF355" s="7">
        <v>4.5999999999999996</v>
      </c>
      <c r="AG355" s="7">
        <v>17.399999999999999</v>
      </c>
      <c r="AH355" s="7">
        <v>10.8</v>
      </c>
      <c r="AI355" s="7">
        <v>7.4</v>
      </c>
      <c r="AJ355" s="7">
        <v>62.6</v>
      </c>
      <c r="AK355" s="7">
        <v>63.2</v>
      </c>
      <c r="AL355" s="7">
        <v>15.5</v>
      </c>
      <c r="AM355" s="7">
        <v>104.76</v>
      </c>
      <c r="AN355" s="7">
        <v>10.6</v>
      </c>
      <c r="AO355" s="7">
        <v>1009</v>
      </c>
    </row>
    <row r="356" spans="1:41">
      <c r="A356" s="6" t="s">
        <v>751</v>
      </c>
      <c r="B356" s="6" t="s">
        <v>144</v>
      </c>
      <c r="C356" s="41">
        <f t="shared" si="11"/>
        <v>0.49195424583171776</v>
      </c>
      <c r="D356" s="42">
        <f t="shared" si="10"/>
        <v>2.625</v>
      </c>
      <c r="E356" s="31">
        <v>203</v>
      </c>
      <c r="F356" s="24">
        <v>68</v>
      </c>
      <c r="G356" s="24">
        <v>172</v>
      </c>
      <c r="H356" s="8">
        <v>40.200000000000003</v>
      </c>
      <c r="I356" s="9">
        <v>52</v>
      </c>
      <c r="J356" s="8">
        <v>23.5</v>
      </c>
      <c r="K356" s="8">
        <v>47</v>
      </c>
      <c r="L356" s="25">
        <v>78</v>
      </c>
      <c r="M356" s="8">
        <v>64.5</v>
      </c>
      <c r="N356" s="9">
        <v>42</v>
      </c>
      <c r="O356" s="9">
        <v>83</v>
      </c>
      <c r="P356" s="9">
        <v>125</v>
      </c>
      <c r="Q356" s="24">
        <v>42</v>
      </c>
      <c r="R356" s="24">
        <v>16</v>
      </c>
      <c r="S356" s="9">
        <v>26</v>
      </c>
      <c r="T356" s="9">
        <v>5</v>
      </c>
      <c r="U356" s="9">
        <v>26</v>
      </c>
      <c r="V356" s="8">
        <v>494</v>
      </c>
      <c r="W356" s="8">
        <v>0</v>
      </c>
      <c r="X356" s="8">
        <v>0</v>
      </c>
      <c r="Y356" s="7">
        <v>-2</v>
      </c>
      <c r="Z356" s="7">
        <v>101.8</v>
      </c>
      <c r="AA356" s="7">
        <v>109.5</v>
      </c>
      <c r="AB356" s="7">
        <v>-7.7</v>
      </c>
      <c r="AC356" s="7">
        <v>10.1</v>
      </c>
      <c r="AD356" s="7">
        <v>2.86</v>
      </c>
      <c r="AE356" s="7">
        <v>15.2</v>
      </c>
      <c r="AF356" s="7">
        <v>7.1</v>
      </c>
      <c r="AG356" s="7">
        <v>13.7</v>
      </c>
      <c r="AH356" s="7">
        <v>10.3</v>
      </c>
      <c r="AI356" s="7">
        <v>5.3</v>
      </c>
      <c r="AJ356" s="7">
        <v>43.7</v>
      </c>
      <c r="AK356" s="7">
        <v>48.4</v>
      </c>
      <c r="AL356" s="7">
        <v>15.8</v>
      </c>
      <c r="AM356" s="7">
        <v>103.43</v>
      </c>
      <c r="AN356" s="7">
        <v>8.1999999999999993</v>
      </c>
      <c r="AO356" s="7">
        <v>1255</v>
      </c>
    </row>
    <row r="357" spans="1:41">
      <c r="A357" s="6" t="s">
        <v>753</v>
      </c>
      <c r="B357" s="6" t="s">
        <v>68</v>
      </c>
      <c r="C357" s="41">
        <f t="shared" si="11"/>
        <v>0.59594052395562902</v>
      </c>
      <c r="D357" s="42">
        <f t="shared" si="10"/>
        <v>1.8095238095238095</v>
      </c>
      <c r="E357" s="31">
        <v>202</v>
      </c>
      <c r="F357" s="24">
        <v>80</v>
      </c>
      <c r="G357" s="24">
        <v>151</v>
      </c>
      <c r="H357" s="8">
        <v>53.3</v>
      </c>
      <c r="I357" s="9">
        <v>25</v>
      </c>
      <c r="J357" s="8">
        <v>42.3</v>
      </c>
      <c r="K357" s="8">
        <v>25</v>
      </c>
      <c r="L357" s="25">
        <v>42</v>
      </c>
      <c r="M357" s="8">
        <v>67.5</v>
      </c>
      <c r="N357" s="9">
        <v>55</v>
      </c>
      <c r="O357" s="9">
        <v>80</v>
      </c>
      <c r="P357" s="9">
        <v>139</v>
      </c>
      <c r="Q357" s="24">
        <v>38</v>
      </c>
      <c r="R357" s="24">
        <v>21</v>
      </c>
      <c r="S357" s="9">
        <v>13</v>
      </c>
      <c r="T357" s="9">
        <v>8</v>
      </c>
      <c r="U357" s="9">
        <v>50</v>
      </c>
      <c r="V357" s="8">
        <v>466</v>
      </c>
      <c r="W357" s="8">
        <v>1</v>
      </c>
      <c r="X357" s="8">
        <v>0</v>
      </c>
      <c r="Y357" s="7">
        <v>-0.6</v>
      </c>
      <c r="Z357" s="7">
        <v>110.5</v>
      </c>
      <c r="AA357" s="7">
        <v>112.6</v>
      </c>
      <c r="AB357" s="7">
        <v>-2.1</v>
      </c>
      <c r="AC357" s="7">
        <v>10.199999999999999</v>
      </c>
      <c r="AD357" s="7">
        <v>1.76</v>
      </c>
      <c r="AE357" s="7">
        <v>16.3</v>
      </c>
      <c r="AF357" s="7">
        <v>9.9</v>
      </c>
      <c r="AG357" s="7">
        <v>15.1</v>
      </c>
      <c r="AH357" s="7">
        <v>12.5</v>
      </c>
      <c r="AI357" s="7">
        <v>9.3000000000000007</v>
      </c>
      <c r="AJ357" s="7">
        <v>56.9</v>
      </c>
      <c r="AK357" s="7">
        <v>59</v>
      </c>
      <c r="AL357" s="7">
        <v>14.8</v>
      </c>
      <c r="AM357" s="7">
        <v>103.58</v>
      </c>
      <c r="AN357" s="7">
        <v>9.6999999999999993</v>
      </c>
      <c r="AO357" s="7">
        <v>1078</v>
      </c>
    </row>
    <row r="358" spans="1:41">
      <c r="A358" s="6" t="s">
        <v>755</v>
      </c>
      <c r="B358" s="6" t="s">
        <v>48</v>
      </c>
      <c r="C358" s="41">
        <f t="shared" si="11"/>
        <v>0.54207119741100318</v>
      </c>
      <c r="D358" s="42">
        <f t="shared" si="10"/>
        <v>4.32</v>
      </c>
      <c r="E358" s="31">
        <v>201</v>
      </c>
      <c r="F358" s="24">
        <v>78</v>
      </c>
      <c r="G358" s="24">
        <v>181</v>
      </c>
      <c r="H358" s="8">
        <v>42.8</v>
      </c>
      <c r="I358" s="9">
        <v>103</v>
      </c>
      <c r="J358" s="8">
        <v>39.6</v>
      </c>
      <c r="K358" s="8">
        <v>5</v>
      </c>
      <c r="L358" s="25">
        <v>10</v>
      </c>
      <c r="M358" s="8">
        <v>75</v>
      </c>
      <c r="N358" s="9">
        <v>15</v>
      </c>
      <c r="O358" s="9">
        <v>54</v>
      </c>
      <c r="P358" s="9">
        <v>69</v>
      </c>
      <c r="Q358" s="24">
        <v>108</v>
      </c>
      <c r="R358" s="24">
        <v>25</v>
      </c>
      <c r="S358" s="9">
        <v>20</v>
      </c>
      <c r="T358" s="9">
        <v>5</v>
      </c>
      <c r="U358" s="9">
        <v>39</v>
      </c>
      <c r="V358" s="8">
        <v>495</v>
      </c>
      <c r="W358" s="8">
        <v>1</v>
      </c>
      <c r="X358" s="8">
        <v>1</v>
      </c>
      <c r="Y358" s="7">
        <v>1.1000000000000001</v>
      </c>
      <c r="Z358" s="7">
        <v>112.6</v>
      </c>
      <c r="AA358" s="7">
        <v>109.7</v>
      </c>
      <c r="AB358" s="7">
        <v>2.9</v>
      </c>
      <c r="AC358" s="7">
        <v>21.1</v>
      </c>
      <c r="AD358" s="7">
        <v>4.46</v>
      </c>
      <c r="AE358" s="7">
        <v>34.1</v>
      </c>
      <c r="AF358" s="7">
        <v>2.2000000000000002</v>
      </c>
      <c r="AG358" s="7">
        <v>7.8</v>
      </c>
      <c r="AH358" s="7">
        <v>5.0999999999999996</v>
      </c>
      <c r="AI358" s="7">
        <v>7.6</v>
      </c>
      <c r="AJ358" s="7">
        <v>53.9</v>
      </c>
      <c r="AK358" s="7">
        <v>54.5</v>
      </c>
      <c r="AL358" s="7">
        <v>13</v>
      </c>
      <c r="AM358" s="7">
        <v>99.25</v>
      </c>
      <c r="AN358" s="7">
        <v>7.8</v>
      </c>
      <c r="AO358" s="7">
        <v>1383</v>
      </c>
    </row>
    <row r="359" spans="1:41">
      <c r="A359" s="6" t="s">
        <v>757</v>
      </c>
      <c r="B359" s="6" t="s">
        <v>144</v>
      </c>
      <c r="C359" s="41">
        <f t="shared" si="11"/>
        <v>0.81913499344692009</v>
      </c>
      <c r="D359" s="42">
        <f t="shared" si="10"/>
        <v>1.2</v>
      </c>
      <c r="E359" s="31">
        <v>200</v>
      </c>
      <c r="F359" s="24">
        <v>88</v>
      </c>
      <c r="G359" s="24">
        <v>108</v>
      </c>
      <c r="H359" s="8">
        <v>79.8</v>
      </c>
      <c r="I359" s="9">
        <v>4</v>
      </c>
      <c r="J359" s="8">
        <v>20</v>
      </c>
      <c r="K359" s="8">
        <v>24</v>
      </c>
      <c r="L359" s="25">
        <v>32</v>
      </c>
      <c r="M359" s="8">
        <v>71.900000000000006</v>
      </c>
      <c r="N359" s="9">
        <v>40</v>
      </c>
      <c r="O359" s="9">
        <v>84</v>
      </c>
      <c r="P359" s="9">
        <v>124</v>
      </c>
      <c r="Q359" s="24">
        <v>24</v>
      </c>
      <c r="R359" s="24">
        <v>20</v>
      </c>
      <c r="S359" s="9">
        <v>16</v>
      </c>
      <c r="T359" s="9">
        <v>24</v>
      </c>
      <c r="U359" s="9">
        <v>52</v>
      </c>
      <c r="V359" s="8">
        <v>480</v>
      </c>
      <c r="W359" s="8">
        <v>1</v>
      </c>
      <c r="X359" s="8">
        <v>0</v>
      </c>
      <c r="Y359" s="7">
        <v>-0.5</v>
      </c>
      <c r="Z359" s="7">
        <v>107</v>
      </c>
      <c r="AA359" s="7">
        <v>109.2</v>
      </c>
      <c r="AB359" s="7">
        <v>-2.2999999999999998</v>
      </c>
      <c r="AC359" s="7">
        <v>8</v>
      </c>
      <c r="AD359" s="7">
        <v>1.39</v>
      </c>
      <c r="AE359" s="7">
        <v>15.2</v>
      </c>
      <c r="AF359" s="7">
        <v>8.9</v>
      </c>
      <c r="AG359" s="7">
        <v>17.3</v>
      </c>
      <c r="AH359" s="7">
        <v>13.3</v>
      </c>
      <c r="AI359" s="7">
        <v>11</v>
      </c>
      <c r="AJ359" s="7">
        <v>80.3</v>
      </c>
      <c r="AK359" s="7">
        <v>80.400000000000006</v>
      </c>
      <c r="AL359" s="7">
        <v>12.8</v>
      </c>
      <c r="AM359" s="7">
        <v>99.77</v>
      </c>
      <c r="AN359" s="7">
        <v>13.1</v>
      </c>
      <c r="AO359" s="7">
        <v>974</v>
      </c>
    </row>
    <row r="360" spans="1:41">
      <c r="A360" s="6" t="s">
        <v>759</v>
      </c>
      <c r="B360" s="6" t="s">
        <v>58</v>
      </c>
      <c r="C360" s="41">
        <f t="shared" si="11"/>
        <v>0.51854179761156505</v>
      </c>
      <c r="D360" s="42">
        <f t="shared" si="10"/>
        <v>1.5294117647058822</v>
      </c>
      <c r="E360" s="31">
        <v>198</v>
      </c>
      <c r="F360" s="24">
        <v>73</v>
      </c>
      <c r="G360" s="24">
        <v>172</v>
      </c>
      <c r="H360" s="8">
        <v>42.1</v>
      </c>
      <c r="I360" s="9">
        <v>83</v>
      </c>
      <c r="J360" s="8">
        <v>25.9</v>
      </c>
      <c r="K360" s="8">
        <v>33</v>
      </c>
      <c r="L360" s="25">
        <v>43</v>
      </c>
      <c r="M360" s="8">
        <v>76.2</v>
      </c>
      <c r="N360" s="9">
        <v>43</v>
      </c>
      <c r="O360" s="9">
        <v>96</v>
      </c>
      <c r="P360" s="9">
        <v>139</v>
      </c>
      <c r="Q360" s="24">
        <v>26</v>
      </c>
      <c r="R360" s="24">
        <v>17</v>
      </c>
      <c r="S360" s="9">
        <v>26</v>
      </c>
      <c r="T360" s="9">
        <v>33</v>
      </c>
      <c r="U360" s="9">
        <v>56</v>
      </c>
      <c r="V360" s="8">
        <v>571</v>
      </c>
      <c r="W360" s="8">
        <v>2</v>
      </c>
      <c r="X360" s="8">
        <v>0</v>
      </c>
      <c r="Y360" s="7">
        <v>2.6</v>
      </c>
      <c r="Z360" s="7">
        <v>113.4</v>
      </c>
      <c r="AA360" s="7">
        <v>104.7</v>
      </c>
      <c r="AB360" s="7">
        <v>8.8000000000000007</v>
      </c>
      <c r="AC360" s="7">
        <v>6.4</v>
      </c>
      <c r="AD360" s="7">
        <v>1.8</v>
      </c>
      <c r="AE360" s="7">
        <v>11.7</v>
      </c>
      <c r="AF360" s="7">
        <v>7.8</v>
      </c>
      <c r="AG360" s="7">
        <v>17.899999999999999</v>
      </c>
      <c r="AH360" s="7">
        <v>12.7</v>
      </c>
      <c r="AI360" s="7">
        <v>6.5</v>
      </c>
      <c r="AJ360" s="7">
        <v>48.2</v>
      </c>
      <c r="AK360" s="7">
        <v>52</v>
      </c>
      <c r="AL360" s="7">
        <v>15.5</v>
      </c>
      <c r="AM360" s="7">
        <v>103.84</v>
      </c>
      <c r="AN360" s="7">
        <v>8.5</v>
      </c>
      <c r="AO360" s="7">
        <v>1146</v>
      </c>
    </row>
    <row r="361" spans="1:41">
      <c r="A361" s="6" t="s">
        <v>761</v>
      </c>
      <c r="B361" s="6" t="s">
        <v>164</v>
      </c>
      <c r="C361" s="41">
        <f t="shared" si="11"/>
        <v>0.5388168022872224</v>
      </c>
      <c r="D361" s="42">
        <f t="shared" si="10"/>
        <v>1</v>
      </c>
      <c r="E361" s="31">
        <v>196</v>
      </c>
      <c r="F361" s="24">
        <v>67</v>
      </c>
      <c r="G361" s="24">
        <v>159</v>
      </c>
      <c r="H361" s="8">
        <v>43</v>
      </c>
      <c r="I361" s="9">
        <v>81</v>
      </c>
      <c r="J361" s="8">
        <v>32.5</v>
      </c>
      <c r="K361" s="8">
        <v>33</v>
      </c>
      <c r="L361" s="25">
        <v>52</v>
      </c>
      <c r="M361" s="8">
        <v>68</v>
      </c>
      <c r="N361" s="9">
        <v>26</v>
      </c>
      <c r="O361" s="9">
        <v>59</v>
      </c>
      <c r="P361" s="9">
        <v>85</v>
      </c>
      <c r="Q361" s="24">
        <v>22</v>
      </c>
      <c r="R361" s="24">
        <v>22</v>
      </c>
      <c r="S361" s="9">
        <v>22</v>
      </c>
      <c r="T361" s="9">
        <v>7</v>
      </c>
      <c r="U361" s="9">
        <v>44</v>
      </c>
      <c r="V361" s="8">
        <v>403</v>
      </c>
      <c r="W361" s="8">
        <v>0</v>
      </c>
      <c r="X361" s="8">
        <v>0</v>
      </c>
      <c r="Y361" s="7">
        <v>-3.6</v>
      </c>
      <c r="Z361" s="7">
        <v>106.4</v>
      </c>
      <c r="AA361" s="7">
        <v>119.3</v>
      </c>
      <c r="AB361" s="7">
        <v>-12.9</v>
      </c>
      <c r="AC361" s="7">
        <v>6.5</v>
      </c>
      <c r="AD361" s="7">
        <v>1</v>
      </c>
      <c r="AE361" s="7">
        <v>9.8000000000000007</v>
      </c>
      <c r="AF361" s="7">
        <v>5</v>
      </c>
      <c r="AG361" s="7">
        <v>11.7</v>
      </c>
      <c r="AH361" s="7">
        <v>8.1999999999999993</v>
      </c>
      <c r="AI361" s="7">
        <v>9.8000000000000007</v>
      </c>
      <c r="AJ361" s="7">
        <v>51.3</v>
      </c>
      <c r="AK361" s="7">
        <v>54.4</v>
      </c>
      <c r="AL361" s="7">
        <v>16.7</v>
      </c>
      <c r="AM361" s="7">
        <v>100.49</v>
      </c>
      <c r="AN361" s="7">
        <v>6.7</v>
      </c>
      <c r="AO361" s="7">
        <v>1052</v>
      </c>
    </row>
    <row r="362" spans="1:41">
      <c r="A362" s="6" t="s">
        <v>763</v>
      </c>
      <c r="B362" s="6" t="s">
        <v>54</v>
      </c>
      <c r="C362" s="41">
        <f t="shared" si="11"/>
        <v>0.57994289793004994</v>
      </c>
      <c r="D362" s="42">
        <f t="shared" si="10"/>
        <v>4.6470588235294121</v>
      </c>
      <c r="E362" s="31">
        <v>195</v>
      </c>
      <c r="F362" s="24">
        <v>69</v>
      </c>
      <c r="G362" s="24">
        <v>158</v>
      </c>
      <c r="H362" s="8">
        <v>43</v>
      </c>
      <c r="I362" s="9">
        <v>89</v>
      </c>
      <c r="J362" s="8">
        <v>43.3</v>
      </c>
      <c r="K362" s="8">
        <v>20</v>
      </c>
      <c r="L362" s="25">
        <v>23</v>
      </c>
      <c r="M362" s="8">
        <v>86.4</v>
      </c>
      <c r="N362" s="9">
        <v>23</v>
      </c>
      <c r="O362" s="9">
        <v>56</v>
      </c>
      <c r="P362" s="9">
        <v>79</v>
      </c>
      <c r="Q362" s="24">
        <v>79</v>
      </c>
      <c r="R362" s="24">
        <v>17</v>
      </c>
      <c r="S362" s="9">
        <v>20</v>
      </c>
      <c r="T362" s="9">
        <v>7</v>
      </c>
      <c r="U362" s="9">
        <v>30</v>
      </c>
      <c r="V362" s="8">
        <v>465</v>
      </c>
      <c r="W362" s="8">
        <v>1</v>
      </c>
      <c r="X362" s="8">
        <v>0</v>
      </c>
      <c r="Y362" s="7">
        <v>-0.9</v>
      </c>
      <c r="Z362" s="7">
        <v>115.6</v>
      </c>
      <c r="AA362" s="7">
        <v>118.4</v>
      </c>
      <c r="AB362" s="7">
        <v>-2.8</v>
      </c>
      <c r="AC362" s="7">
        <v>23.5</v>
      </c>
      <c r="AD362" s="7">
        <v>4.59</v>
      </c>
      <c r="AE362" s="7">
        <v>29.7</v>
      </c>
      <c r="AF362" s="7">
        <v>4.8</v>
      </c>
      <c r="AG362" s="7">
        <v>12.4</v>
      </c>
      <c r="AH362" s="7">
        <v>8.6</v>
      </c>
      <c r="AI362" s="7">
        <v>6.5</v>
      </c>
      <c r="AJ362" s="7">
        <v>55.4</v>
      </c>
      <c r="AK362" s="7">
        <v>57.8</v>
      </c>
      <c r="AL362" s="7">
        <v>17</v>
      </c>
      <c r="AM362" s="7">
        <v>98.66</v>
      </c>
      <c r="AN362" s="7">
        <v>10.5</v>
      </c>
      <c r="AO362" s="7">
        <v>947</v>
      </c>
    </row>
    <row r="363" spans="1:41">
      <c r="A363" s="6" t="s">
        <v>765</v>
      </c>
      <c r="B363" s="6" t="s">
        <v>122</v>
      </c>
      <c r="C363" s="41">
        <f t="shared" si="11"/>
        <v>0.54792187145128324</v>
      </c>
      <c r="D363" s="42">
        <f t="shared" si="10"/>
        <v>2</v>
      </c>
      <c r="E363" s="31">
        <v>193</v>
      </c>
      <c r="F363" s="24">
        <v>69</v>
      </c>
      <c r="G363" s="24">
        <v>166</v>
      </c>
      <c r="H363" s="8">
        <v>42.2</v>
      </c>
      <c r="I363" s="9">
        <v>106</v>
      </c>
      <c r="J363" s="8">
        <v>32.1</v>
      </c>
      <c r="K363" s="8">
        <v>18</v>
      </c>
      <c r="L363" s="25">
        <v>23</v>
      </c>
      <c r="M363" s="8">
        <v>90.9</v>
      </c>
      <c r="N363" s="9">
        <v>46</v>
      </c>
      <c r="O363" s="9">
        <v>46</v>
      </c>
      <c r="P363" s="9">
        <v>92</v>
      </c>
      <c r="Q363" s="24">
        <v>28</v>
      </c>
      <c r="R363" s="24">
        <v>14</v>
      </c>
      <c r="S363" s="9">
        <v>14</v>
      </c>
      <c r="T363" s="9">
        <v>14</v>
      </c>
      <c r="U363" s="9">
        <v>41</v>
      </c>
      <c r="V363" s="8">
        <v>405</v>
      </c>
      <c r="W363" s="8">
        <v>0</v>
      </c>
      <c r="X363" s="8">
        <v>0</v>
      </c>
      <c r="Y363" s="7">
        <v>-1.2</v>
      </c>
      <c r="Z363" s="7">
        <v>108</v>
      </c>
      <c r="AA363" s="7">
        <v>114.5</v>
      </c>
      <c r="AB363" s="7">
        <v>-6.5</v>
      </c>
      <c r="AC363" s="7">
        <v>8.3000000000000007</v>
      </c>
      <c r="AD363" s="7">
        <v>1.63</v>
      </c>
      <c r="AE363" s="7">
        <v>11.9</v>
      </c>
      <c r="AF363" s="7">
        <v>8.1999999999999993</v>
      </c>
      <c r="AG363" s="7">
        <v>11.1</v>
      </c>
      <c r="AH363" s="7">
        <v>9.5</v>
      </c>
      <c r="AI363" s="7">
        <v>7.3</v>
      </c>
      <c r="AJ363" s="7">
        <v>52.4</v>
      </c>
      <c r="AK363" s="7">
        <v>55.2</v>
      </c>
      <c r="AL363" s="7">
        <v>16.2</v>
      </c>
      <c r="AM363" s="7">
        <v>102.71</v>
      </c>
      <c r="AN363" s="7">
        <v>7.7</v>
      </c>
      <c r="AO363" s="7">
        <v>1009</v>
      </c>
    </row>
    <row r="364" spans="1:41">
      <c r="A364" s="13" t="s">
        <v>767</v>
      </c>
      <c r="B364" s="6" t="s">
        <v>76</v>
      </c>
      <c r="C364" s="41">
        <f t="shared" si="11"/>
        <v>0.62318649432867324</v>
      </c>
      <c r="D364" s="42">
        <f t="shared" si="10"/>
        <v>1.9722222222222223</v>
      </c>
      <c r="E364" s="31">
        <v>189</v>
      </c>
      <c r="F364" s="24">
        <v>71</v>
      </c>
      <c r="G364" s="24">
        <v>138</v>
      </c>
      <c r="H364" s="8">
        <v>51.4</v>
      </c>
      <c r="I364" s="9">
        <v>46</v>
      </c>
      <c r="J364" s="8">
        <v>43.8</v>
      </c>
      <c r="K364" s="8">
        <v>26</v>
      </c>
      <c r="L364" s="25">
        <v>31</v>
      </c>
      <c r="M364" s="8">
        <v>71.900000000000006</v>
      </c>
      <c r="N364" s="9">
        <v>20</v>
      </c>
      <c r="O364" s="9">
        <v>46</v>
      </c>
      <c r="P364" s="9">
        <v>66</v>
      </c>
      <c r="Q364" s="24">
        <v>71</v>
      </c>
      <c r="R364" s="24">
        <v>36</v>
      </c>
      <c r="S364" s="9">
        <v>15</v>
      </c>
      <c r="T364" s="9">
        <v>15</v>
      </c>
      <c r="U364" s="9">
        <v>26</v>
      </c>
      <c r="V364" s="8">
        <v>434</v>
      </c>
      <c r="W364" s="8">
        <v>0</v>
      </c>
      <c r="X364" s="8">
        <v>0</v>
      </c>
      <c r="Y364" s="7">
        <v>-0.9</v>
      </c>
      <c r="Z364" s="7">
        <v>108.3</v>
      </c>
      <c r="AA364" s="7">
        <v>113.5</v>
      </c>
      <c r="AB364" s="7">
        <v>-5.2</v>
      </c>
      <c r="AC364" s="7">
        <v>19.100000000000001</v>
      </c>
      <c r="AD364" s="7">
        <v>1.87</v>
      </c>
      <c r="AE364" s="7">
        <v>27</v>
      </c>
      <c r="AF364" s="7">
        <v>3.7</v>
      </c>
      <c r="AG364" s="7">
        <v>8.5</v>
      </c>
      <c r="AH364" s="7">
        <v>6.3</v>
      </c>
      <c r="AI364" s="7">
        <v>14.4</v>
      </c>
      <c r="AJ364" s="7">
        <v>58.9</v>
      </c>
      <c r="AK364" s="7">
        <v>61</v>
      </c>
      <c r="AL364" s="7">
        <v>15.5</v>
      </c>
      <c r="AM364" s="7">
        <v>100.91</v>
      </c>
      <c r="AN364" s="7">
        <v>9.1</v>
      </c>
      <c r="AO364" s="7">
        <v>1084</v>
      </c>
    </row>
    <row r="365" spans="1:41">
      <c r="A365" s="6" t="s">
        <v>769</v>
      </c>
      <c r="B365" s="6" t="s">
        <v>68</v>
      </c>
      <c r="C365" s="41">
        <f t="shared" si="11"/>
        <v>0.56095512359011279</v>
      </c>
      <c r="D365" s="42">
        <f t="shared" si="10"/>
        <v>2.2380952380952381</v>
      </c>
      <c r="E365" s="31">
        <v>187</v>
      </c>
      <c r="F365" s="24">
        <v>68</v>
      </c>
      <c r="G365" s="24">
        <v>146</v>
      </c>
      <c r="H365" s="8">
        <v>47.3</v>
      </c>
      <c r="I365" s="9">
        <v>47</v>
      </c>
      <c r="J365" s="8">
        <v>34.799999999999997</v>
      </c>
      <c r="K365" s="8">
        <v>31</v>
      </c>
      <c r="L365" s="25">
        <v>47</v>
      </c>
      <c r="M365" s="8">
        <v>68.099999999999994</v>
      </c>
      <c r="N365" s="9">
        <v>52</v>
      </c>
      <c r="O365" s="9">
        <v>68</v>
      </c>
      <c r="P365" s="9">
        <v>120</v>
      </c>
      <c r="Q365" s="24">
        <v>47</v>
      </c>
      <c r="R365" s="24">
        <v>21</v>
      </c>
      <c r="S365" s="9">
        <v>26</v>
      </c>
      <c r="T365" s="9">
        <v>5</v>
      </c>
      <c r="U365" s="9">
        <v>83</v>
      </c>
      <c r="V365" s="8">
        <v>478</v>
      </c>
      <c r="W365" s="8">
        <v>0</v>
      </c>
      <c r="X365" s="8">
        <v>0</v>
      </c>
      <c r="Y365" s="7">
        <v>1</v>
      </c>
      <c r="Z365" s="7">
        <v>111</v>
      </c>
      <c r="AA365" s="7">
        <v>104.7</v>
      </c>
      <c r="AB365" s="7">
        <v>6.3</v>
      </c>
      <c r="AC365" s="7">
        <v>10.7</v>
      </c>
      <c r="AD365" s="7">
        <v>2.14</v>
      </c>
      <c r="AE365" s="7">
        <v>19.7</v>
      </c>
      <c r="AF365" s="7">
        <v>7.2</v>
      </c>
      <c r="AG365" s="7">
        <v>10.8</v>
      </c>
      <c r="AH365" s="7">
        <v>8.9</v>
      </c>
      <c r="AI365" s="7">
        <v>9.1999999999999993</v>
      </c>
      <c r="AJ365" s="7">
        <v>52.7</v>
      </c>
      <c r="AK365" s="7">
        <v>55.7</v>
      </c>
      <c r="AL365" s="7">
        <v>12.6</v>
      </c>
      <c r="AM365" s="7">
        <v>103.16</v>
      </c>
      <c r="AN365" s="7">
        <v>7.1</v>
      </c>
      <c r="AO365" s="7">
        <v>1251</v>
      </c>
    </row>
    <row r="366" spans="1:41">
      <c r="A366" s="6" t="s">
        <v>771</v>
      </c>
      <c r="B366" s="6" t="s">
        <v>60</v>
      </c>
      <c r="C366" s="41">
        <f t="shared" si="11"/>
        <v>0.57084670451740316</v>
      </c>
      <c r="D366" s="42">
        <f t="shared" si="10"/>
        <v>1.6666666666666667</v>
      </c>
      <c r="E366" s="31">
        <v>185</v>
      </c>
      <c r="F366" s="24">
        <v>72</v>
      </c>
      <c r="G366" s="24">
        <v>144</v>
      </c>
      <c r="H366" s="8">
        <v>50.7</v>
      </c>
      <c r="I366" s="9">
        <v>27</v>
      </c>
      <c r="J366" s="8">
        <v>28.6</v>
      </c>
      <c r="K366" s="8">
        <v>32</v>
      </c>
      <c r="L366" s="25">
        <v>41</v>
      </c>
      <c r="M366" s="8">
        <v>76.2</v>
      </c>
      <c r="N366" s="9">
        <v>41</v>
      </c>
      <c r="O366" s="9">
        <v>81</v>
      </c>
      <c r="P366" s="9">
        <v>122</v>
      </c>
      <c r="Q366" s="24">
        <v>45</v>
      </c>
      <c r="R366" s="24">
        <v>27</v>
      </c>
      <c r="S366" s="9">
        <v>41</v>
      </c>
      <c r="T366" s="9">
        <v>27</v>
      </c>
      <c r="U366" s="9">
        <v>77</v>
      </c>
      <c r="V366" s="8">
        <v>563</v>
      </c>
      <c r="W366" s="8">
        <v>0</v>
      </c>
      <c r="X366" s="8">
        <v>0</v>
      </c>
      <c r="Y366" s="7">
        <v>1</v>
      </c>
      <c r="Z366" s="7">
        <v>111.3</v>
      </c>
      <c r="AA366" s="7">
        <v>105.7</v>
      </c>
      <c r="AB366" s="7">
        <v>5.6</v>
      </c>
      <c r="AC366" s="7">
        <v>14.1</v>
      </c>
      <c r="AD366" s="7">
        <v>1.69</v>
      </c>
      <c r="AE366" s="7">
        <v>19</v>
      </c>
      <c r="AF366" s="7">
        <v>9</v>
      </c>
      <c r="AG366" s="7">
        <v>19.7</v>
      </c>
      <c r="AH366" s="7">
        <v>14.2</v>
      </c>
      <c r="AI366" s="7">
        <v>11.3</v>
      </c>
      <c r="AJ366" s="7">
        <v>53.5</v>
      </c>
      <c r="AK366" s="7">
        <v>57.3</v>
      </c>
      <c r="AL366" s="7">
        <v>17.899999999999999</v>
      </c>
      <c r="AM366" s="7">
        <v>101.81</v>
      </c>
      <c r="AN366" s="7">
        <v>11.5</v>
      </c>
      <c r="AO366" s="7">
        <v>924</v>
      </c>
    </row>
    <row r="367" spans="1:41">
      <c r="A367" s="6" t="s">
        <v>773</v>
      </c>
      <c r="B367" s="6" t="s">
        <v>140</v>
      </c>
      <c r="C367" s="41">
        <f t="shared" si="11"/>
        <v>0.53747650375939848</v>
      </c>
      <c r="D367" s="42">
        <f t="shared" si="10"/>
        <v>1.56</v>
      </c>
      <c r="E367" s="31">
        <v>183</v>
      </c>
      <c r="F367" s="24">
        <v>70</v>
      </c>
      <c r="G367" s="24">
        <v>161</v>
      </c>
      <c r="H367" s="8">
        <v>43.5</v>
      </c>
      <c r="I367" s="9">
        <v>60</v>
      </c>
      <c r="J367" s="8">
        <v>40</v>
      </c>
      <c r="K367" s="8">
        <v>20</v>
      </c>
      <c r="L367" s="25">
        <v>21</v>
      </c>
      <c r="M367" s="8">
        <v>90.5</v>
      </c>
      <c r="N367" s="9">
        <v>12</v>
      </c>
      <c r="O367" s="9">
        <v>26</v>
      </c>
      <c r="P367" s="9">
        <v>38</v>
      </c>
      <c r="Q367" s="24">
        <v>39</v>
      </c>
      <c r="R367" s="24">
        <v>25</v>
      </c>
      <c r="S367" s="9">
        <v>7</v>
      </c>
      <c r="T367" s="9">
        <v>4</v>
      </c>
      <c r="U367" s="9">
        <v>23</v>
      </c>
      <c r="V367" s="8">
        <v>295</v>
      </c>
      <c r="W367" s="8">
        <v>0</v>
      </c>
      <c r="X367" s="8">
        <v>0</v>
      </c>
      <c r="Y367" s="7">
        <v>-4.2</v>
      </c>
      <c r="Z367" s="7">
        <v>107</v>
      </c>
      <c r="AA367" s="7">
        <v>114.4</v>
      </c>
      <c r="AB367" s="7">
        <v>-7.3</v>
      </c>
      <c r="AC367" s="7">
        <v>21.9</v>
      </c>
      <c r="AD367" s="7">
        <v>1.56</v>
      </c>
      <c r="AE367" s="7">
        <v>16.7</v>
      </c>
      <c r="AF367" s="7">
        <v>3.4</v>
      </c>
      <c r="AG367" s="7">
        <v>7.9</v>
      </c>
      <c r="AH367" s="7">
        <v>5.6</v>
      </c>
      <c r="AI367" s="7">
        <v>10.7</v>
      </c>
      <c r="AJ367" s="7">
        <v>50.9</v>
      </c>
      <c r="AK367" s="7">
        <v>53.7</v>
      </c>
      <c r="AL367" s="7">
        <v>25</v>
      </c>
      <c r="AM367" s="7">
        <v>99</v>
      </c>
      <c r="AN367" s="7">
        <v>9.8000000000000007</v>
      </c>
      <c r="AO367" s="7">
        <v>655</v>
      </c>
    </row>
    <row r="368" spans="1:41">
      <c r="A368" s="6" t="s">
        <v>775</v>
      </c>
      <c r="B368" s="6" t="s">
        <v>48</v>
      </c>
      <c r="C368" s="41">
        <f t="shared" si="11"/>
        <v>0.55746140651801024</v>
      </c>
      <c r="D368" s="42">
        <f t="shared" si="10"/>
        <v>2.0909090909090908</v>
      </c>
      <c r="E368" s="31">
        <v>182</v>
      </c>
      <c r="F368" s="24">
        <v>68</v>
      </c>
      <c r="G368" s="24">
        <v>143</v>
      </c>
      <c r="H368" s="8">
        <v>49.6</v>
      </c>
      <c r="I368" s="9">
        <v>51</v>
      </c>
      <c r="J368" s="8">
        <v>32.700000000000003</v>
      </c>
      <c r="K368" s="8">
        <v>29</v>
      </c>
      <c r="L368" s="25">
        <v>46</v>
      </c>
      <c r="M368" s="8">
        <v>61.4</v>
      </c>
      <c r="N368" s="9">
        <v>34</v>
      </c>
      <c r="O368" s="9">
        <v>57</v>
      </c>
      <c r="P368" s="9">
        <v>91</v>
      </c>
      <c r="Q368" s="24">
        <v>23</v>
      </c>
      <c r="R368" s="24">
        <v>11</v>
      </c>
      <c r="S368" s="9">
        <v>23</v>
      </c>
      <c r="T368" s="9">
        <v>40</v>
      </c>
      <c r="U368" s="9">
        <v>63</v>
      </c>
      <c r="V368" s="8">
        <v>502</v>
      </c>
      <c r="W368" s="8">
        <v>0</v>
      </c>
      <c r="X368" s="8">
        <v>0</v>
      </c>
      <c r="Y368" s="7">
        <v>-0.4</v>
      </c>
      <c r="Z368" s="7">
        <v>107.3</v>
      </c>
      <c r="AA368" s="7">
        <v>108.9</v>
      </c>
      <c r="AB368" s="7">
        <v>-1.6</v>
      </c>
      <c r="AC368" s="7">
        <v>5.0999999999999996</v>
      </c>
      <c r="AD368" s="7">
        <v>1.64</v>
      </c>
      <c r="AE368" s="7">
        <v>11.6</v>
      </c>
      <c r="AF368" s="7">
        <v>5.2</v>
      </c>
      <c r="AG368" s="7">
        <v>8.1</v>
      </c>
      <c r="AH368" s="7">
        <v>6.7</v>
      </c>
      <c r="AI368" s="7">
        <v>7</v>
      </c>
      <c r="AJ368" s="7">
        <v>55.7</v>
      </c>
      <c r="AK368" s="7">
        <v>57.4</v>
      </c>
      <c r="AL368" s="7">
        <v>11.9</v>
      </c>
      <c r="AM368" s="7">
        <v>102.16</v>
      </c>
      <c r="AN368" s="7">
        <v>6.3</v>
      </c>
      <c r="AO368" s="7">
        <v>1293</v>
      </c>
    </row>
    <row r="369" spans="1:41">
      <c r="A369" s="13" t="s">
        <v>777</v>
      </c>
      <c r="B369" s="6" t="s">
        <v>82</v>
      </c>
      <c r="C369" s="41">
        <f t="shared" si="11"/>
        <v>0.50123901779680102</v>
      </c>
      <c r="D369" s="42">
        <f t="shared" si="10"/>
        <v>1.6875</v>
      </c>
      <c r="E369" s="31">
        <v>178</v>
      </c>
      <c r="F369" s="24">
        <v>68</v>
      </c>
      <c r="G369" s="24">
        <v>167</v>
      </c>
      <c r="H369" s="8">
        <v>40.1</v>
      </c>
      <c r="I369" s="9">
        <v>95</v>
      </c>
      <c r="J369" s="8">
        <v>27.4</v>
      </c>
      <c r="K369" s="8">
        <v>19</v>
      </c>
      <c r="L369" s="25">
        <v>24</v>
      </c>
      <c r="M369" s="8">
        <v>79.2</v>
      </c>
      <c r="N369" s="9">
        <v>22</v>
      </c>
      <c r="O369" s="9">
        <v>76</v>
      </c>
      <c r="P369" s="9">
        <v>97</v>
      </c>
      <c r="Q369" s="24">
        <v>54</v>
      </c>
      <c r="R369" s="24">
        <v>32</v>
      </c>
      <c r="S369" s="9">
        <v>11</v>
      </c>
      <c r="T369" s="9">
        <v>8</v>
      </c>
      <c r="U369" s="9">
        <v>46</v>
      </c>
      <c r="V369" s="8">
        <v>402</v>
      </c>
      <c r="W369" s="8">
        <v>1</v>
      </c>
      <c r="X369" s="8">
        <v>0</v>
      </c>
      <c r="Y369" s="7">
        <v>0.2</v>
      </c>
      <c r="Z369" s="7">
        <v>117.4</v>
      </c>
      <c r="AA369" s="7">
        <v>116.2</v>
      </c>
      <c r="AB369" s="7">
        <v>1.2</v>
      </c>
      <c r="AC369" s="7">
        <v>14</v>
      </c>
      <c r="AD369" s="7">
        <v>1.67</v>
      </c>
      <c r="AE369" s="7">
        <v>20.8</v>
      </c>
      <c r="AF369" s="7">
        <v>4.2</v>
      </c>
      <c r="AG369" s="7">
        <v>15</v>
      </c>
      <c r="AH369" s="7">
        <v>9.6</v>
      </c>
      <c r="AI369" s="7">
        <v>12.5</v>
      </c>
      <c r="AJ369" s="7">
        <v>47.9</v>
      </c>
      <c r="AK369" s="7">
        <v>50.4</v>
      </c>
      <c r="AL369" s="7">
        <v>16.600000000000001</v>
      </c>
      <c r="AM369" s="7">
        <v>105.23</v>
      </c>
      <c r="AN369" s="7">
        <v>6.5</v>
      </c>
      <c r="AO369" s="7">
        <v>1090</v>
      </c>
    </row>
    <row r="370" spans="1:41">
      <c r="A370" s="6" t="s">
        <v>779</v>
      </c>
      <c r="B370" s="6" t="s">
        <v>98</v>
      </c>
      <c r="C370" s="41">
        <f t="shared" si="11"/>
        <v>0.53418803418803418</v>
      </c>
      <c r="D370" s="42">
        <f t="shared" si="10"/>
        <v>3.5</v>
      </c>
      <c r="E370" s="31">
        <v>175</v>
      </c>
      <c r="F370" s="24">
        <v>60</v>
      </c>
      <c r="G370" s="24">
        <v>155</v>
      </c>
      <c r="H370" s="8">
        <v>40.299999999999997</v>
      </c>
      <c r="I370" s="9">
        <v>105</v>
      </c>
      <c r="J370" s="8">
        <v>36.4</v>
      </c>
      <c r="K370" s="8">
        <v>15</v>
      </c>
      <c r="L370" s="25">
        <v>20</v>
      </c>
      <c r="M370" s="8">
        <v>77.8</v>
      </c>
      <c r="N370" s="9">
        <v>15</v>
      </c>
      <c r="O370" s="9">
        <v>55</v>
      </c>
      <c r="P370" s="9">
        <v>75</v>
      </c>
      <c r="Q370" s="24">
        <v>70</v>
      </c>
      <c r="R370" s="24">
        <v>20</v>
      </c>
      <c r="S370" s="9">
        <v>25</v>
      </c>
      <c r="T370" s="9">
        <v>5</v>
      </c>
      <c r="U370" s="9">
        <v>50</v>
      </c>
      <c r="V370" s="8">
        <v>445</v>
      </c>
      <c r="W370" s="8">
        <v>0</v>
      </c>
      <c r="X370" s="8">
        <v>0</v>
      </c>
      <c r="Y370" s="7">
        <v>0.7</v>
      </c>
      <c r="Z370" s="7">
        <v>110.5</v>
      </c>
      <c r="AA370" s="7">
        <v>106.9</v>
      </c>
      <c r="AB370" s="7">
        <v>3.6</v>
      </c>
      <c r="AC370" s="7">
        <v>16.600000000000001</v>
      </c>
      <c r="AD370" s="7">
        <v>4</v>
      </c>
      <c r="AE370" s="7">
        <v>28.7</v>
      </c>
      <c r="AF370" s="7">
        <v>2.7</v>
      </c>
      <c r="AG370" s="7">
        <v>9.5</v>
      </c>
      <c r="AH370" s="7">
        <v>6</v>
      </c>
      <c r="AI370" s="7">
        <v>7.2</v>
      </c>
      <c r="AJ370" s="7">
        <v>52.9</v>
      </c>
      <c r="AK370" s="7">
        <v>54.7</v>
      </c>
      <c r="AL370" s="7">
        <v>12.6</v>
      </c>
      <c r="AM370" s="7">
        <v>98.59</v>
      </c>
      <c r="AN370" s="7">
        <v>7.5</v>
      </c>
      <c r="AO370" s="7">
        <v>1252</v>
      </c>
    </row>
    <row r="371" spans="1:41">
      <c r="A371" s="6" t="s">
        <v>781</v>
      </c>
      <c r="B371" s="6" t="s">
        <v>144</v>
      </c>
      <c r="C371" s="41">
        <f t="shared" si="11"/>
        <v>0.58752025931928686</v>
      </c>
      <c r="D371" s="42">
        <f t="shared" si="10"/>
        <v>2.5454545454545454</v>
      </c>
      <c r="E371" s="31">
        <v>174</v>
      </c>
      <c r="F371" s="24">
        <v>64</v>
      </c>
      <c r="G371" s="24">
        <v>134</v>
      </c>
      <c r="H371" s="8">
        <v>47.8</v>
      </c>
      <c r="I371" s="9">
        <v>54</v>
      </c>
      <c r="J371" s="8">
        <v>43.4</v>
      </c>
      <c r="K371" s="8">
        <v>24</v>
      </c>
      <c r="L371" s="25">
        <v>32</v>
      </c>
      <c r="M371" s="8">
        <v>74.2</v>
      </c>
      <c r="N371" s="9">
        <v>4</v>
      </c>
      <c r="O371" s="9">
        <v>30</v>
      </c>
      <c r="P371" s="9">
        <v>34</v>
      </c>
      <c r="Q371" s="24">
        <v>56</v>
      </c>
      <c r="R371" s="24">
        <v>22</v>
      </c>
      <c r="S371" s="9">
        <v>12</v>
      </c>
      <c r="T371" s="9">
        <v>4</v>
      </c>
      <c r="U371" s="9">
        <v>34</v>
      </c>
      <c r="V371" s="8">
        <v>320</v>
      </c>
      <c r="W371" s="8">
        <v>0</v>
      </c>
      <c r="X371" s="8">
        <v>0</v>
      </c>
      <c r="Y371" s="7">
        <v>-2.4</v>
      </c>
      <c r="Z371" s="7">
        <v>109.3</v>
      </c>
      <c r="AA371" s="7">
        <v>115.2</v>
      </c>
      <c r="AB371" s="7">
        <v>-6</v>
      </c>
      <c r="AC371" s="7">
        <v>22</v>
      </c>
      <c r="AD371" s="7">
        <v>2.5499999999999998</v>
      </c>
      <c r="AE371" s="7">
        <v>24.8</v>
      </c>
      <c r="AF371" s="7">
        <v>1</v>
      </c>
      <c r="AG371" s="7">
        <v>7.4</v>
      </c>
      <c r="AH371" s="7">
        <v>4.2</v>
      </c>
      <c r="AI371" s="7">
        <v>9.6999999999999993</v>
      </c>
      <c r="AJ371" s="7">
        <v>56.3</v>
      </c>
      <c r="AK371" s="7">
        <v>58.9</v>
      </c>
      <c r="AL371" s="7">
        <v>19.3</v>
      </c>
      <c r="AM371" s="7">
        <v>101.4</v>
      </c>
      <c r="AN371" s="7">
        <v>8.3000000000000007</v>
      </c>
      <c r="AO371" s="7">
        <v>786</v>
      </c>
    </row>
    <row r="372" spans="1:41">
      <c r="A372" s="6" t="s">
        <v>783</v>
      </c>
      <c r="B372" s="6" t="s">
        <v>68</v>
      </c>
      <c r="C372" s="41">
        <f t="shared" si="11"/>
        <v>0.64823141486810554</v>
      </c>
      <c r="D372" s="42">
        <f t="shared" si="10"/>
        <v>1.9</v>
      </c>
      <c r="E372" s="31">
        <v>173</v>
      </c>
      <c r="F372" s="24">
        <v>61</v>
      </c>
      <c r="G372" s="24">
        <v>122</v>
      </c>
      <c r="H372" s="8">
        <v>50.4</v>
      </c>
      <c r="I372" s="9">
        <v>80</v>
      </c>
      <c r="J372" s="8">
        <v>36.700000000000003</v>
      </c>
      <c r="K372" s="8">
        <v>22</v>
      </c>
      <c r="L372" s="25">
        <v>26</v>
      </c>
      <c r="M372" s="8">
        <v>80.8</v>
      </c>
      <c r="N372" s="9">
        <v>10</v>
      </c>
      <c r="O372" s="9">
        <v>48</v>
      </c>
      <c r="P372" s="9">
        <v>58</v>
      </c>
      <c r="Q372" s="24">
        <v>19</v>
      </c>
      <c r="R372" s="24">
        <v>10</v>
      </c>
      <c r="S372" s="9">
        <v>6</v>
      </c>
      <c r="T372" s="9">
        <v>3</v>
      </c>
      <c r="U372" s="9">
        <v>32</v>
      </c>
      <c r="V372" s="8">
        <v>291</v>
      </c>
      <c r="W372" s="8">
        <v>0</v>
      </c>
      <c r="X372" s="8">
        <v>0</v>
      </c>
      <c r="Y372" s="7">
        <v>-1.2</v>
      </c>
      <c r="Z372" s="7">
        <v>112.2</v>
      </c>
      <c r="AA372" s="7">
        <v>116.1</v>
      </c>
      <c r="AB372" s="7">
        <v>-3.9</v>
      </c>
      <c r="AC372" s="7">
        <v>6.8</v>
      </c>
      <c r="AD372" s="7">
        <v>2.2200000000000002</v>
      </c>
      <c r="AE372" s="7">
        <v>12.4</v>
      </c>
      <c r="AF372" s="7">
        <v>2.4</v>
      </c>
      <c r="AG372" s="7">
        <v>10.8</v>
      </c>
      <c r="AH372" s="7">
        <v>6.5</v>
      </c>
      <c r="AI372" s="7">
        <v>5.6</v>
      </c>
      <c r="AJ372" s="7">
        <v>62.4</v>
      </c>
      <c r="AK372" s="7">
        <v>64.900000000000006</v>
      </c>
      <c r="AL372" s="7">
        <v>14.4</v>
      </c>
      <c r="AM372" s="7">
        <v>100.43</v>
      </c>
      <c r="AN372" s="7">
        <v>8.5</v>
      </c>
      <c r="AO372" s="7">
        <v>827</v>
      </c>
    </row>
    <row r="373" spans="1:41">
      <c r="A373" s="6" t="s">
        <v>785</v>
      </c>
      <c r="B373" s="6" t="s">
        <v>76</v>
      </c>
      <c r="C373" s="41">
        <f t="shared" si="11"/>
        <v>0.52628300946686601</v>
      </c>
      <c r="D373" s="42">
        <f t="shared" si="10"/>
        <v>1.5</v>
      </c>
      <c r="E373" s="31">
        <v>169</v>
      </c>
      <c r="F373" s="24">
        <v>66</v>
      </c>
      <c r="G373" s="24">
        <v>150</v>
      </c>
      <c r="H373" s="8">
        <v>43</v>
      </c>
      <c r="I373" s="9">
        <v>56</v>
      </c>
      <c r="J373" s="8">
        <v>34.5</v>
      </c>
      <c r="K373" s="8">
        <v>19</v>
      </c>
      <c r="L373" s="25">
        <v>24</v>
      </c>
      <c r="M373" s="8">
        <v>79.2</v>
      </c>
      <c r="N373" s="9">
        <v>38</v>
      </c>
      <c r="O373" s="9">
        <v>61</v>
      </c>
      <c r="P373" s="9">
        <v>94</v>
      </c>
      <c r="Q373" s="24">
        <v>42</v>
      </c>
      <c r="R373" s="24">
        <v>28</v>
      </c>
      <c r="S373" s="9">
        <v>14</v>
      </c>
      <c r="T373" s="9">
        <v>5</v>
      </c>
      <c r="U373" s="9">
        <v>52</v>
      </c>
      <c r="V373" s="8">
        <v>371</v>
      </c>
      <c r="W373" s="8">
        <v>1</v>
      </c>
      <c r="X373" s="8">
        <v>0</v>
      </c>
      <c r="Y373" s="7">
        <v>0</v>
      </c>
      <c r="Z373" s="7">
        <v>108.4</v>
      </c>
      <c r="AA373" s="7">
        <v>108.8</v>
      </c>
      <c r="AB373" s="7">
        <v>-0.4</v>
      </c>
      <c r="AC373" s="7">
        <v>13.5</v>
      </c>
      <c r="AD373" s="7">
        <v>1.69</v>
      </c>
      <c r="AE373" s="7">
        <v>19.100000000000001</v>
      </c>
      <c r="AF373" s="7">
        <v>7.6</v>
      </c>
      <c r="AG373" s="7">
        <v>11.7</v>
      </c>
      <c r="AH373" s="7">
        <v>9.6999999999999993</v>
      </c>
      <c r="AI373" s="7">
        <v>11.3</v>
      </c>
      <c r="AJ373" s="7">
        <v>49.7</v>
      </c>
      <c r="AK373" s="7">
        <v>52.3</v>
      </c>
      <c r="AL373" s="7">
        <v>16.399999999999999</v>
      </c>
      <c r="AM373" s="7">
        <v>101.31</v>
      </c>
      <c r="AN373" s="7">
        <v>7.5</v>
      </c>
      <c r="AO373" s="7">
        <v>957</v>
      </c>
    </row>
    <row r="374" spans="1:41">
      <c r="A374" s="6" t="s">
        <v>787</v>
      </c>
      <c r="B374" s="6" t="s">
        <v>144</v>
      </c>
      <c r="C374" s="41">
        <f t="shared" si="11"/>
        <v>0.59456398640996599</v>
      </c>
      <c r="D374" s="42">
        <f t="shared" si="10"/>
        <v>2.75</v>
      </c>
      <c r="E374" s="31">
        <v>168</v>
      </c>
      <c r="F374" s="24">
        <v>68</v>
      </c>
      <c r="G374" s="24">
        <v>136</v>
      </c>
      <c r="H374" s="8">
        <v>49.6</v>
      </c>
      <c r="I374" s="9">
        <v>56</v>
      </c>
      <c r="J374" s="8">
        <v>40.700000000000003</v>
      </c>
      <c r="K374" s="8">
        <v>12</v>
      </c>
      <c r="L374" s="25">
        <v>12</v>
      </c>
      <c r="M374" s="8">
        <v>92.3</v>
      </c>
      <c r="N374" s="9">
        <v>24</v>
      </c>
      <c r="O374" s="9">
        <v>92</v>
      </c>
      <c r="P374" s="9">
        <v>116</v>
      </c>
      <c r="Q374" s="24">
        <v>44</v>
      </c>
      <c r="R374" s="24">
        <v>16</v>
      </c>
      <c r="S374" s="9">
        <v>20</v>
      </c>
      <c r="T374" s="9">
        <v>20</v>
      </c>
      <c r="U374" s="9">
        <v>64</v>
      </c>
      <c r="V374" s="8">
        <v>472</v>
      </c>
      <c r="W374" s="8">
        <v>1</v>
      </c>
      <c r="X374" s="8">
        <v>0</v>
      </c>
      <c r="Y374" s="7">
        <v>-4</v>
      </c>
      <c r="Z374" s="7">
        <v>110</v>
      </c>
      <c r="AA374" s="7">
        <v>122.3</v>
      </c>
      <c r="AB374" s="7">
        <v>-12.3</v>
      </c>
      <c r="AC374" s="7">
        <v>9</v>
      </c>
      <c r="AD374" s="7">
        <v>2.63</v>
      </c>
      <c r="AE374" s="7">
        <v>21.1</v>
      </c>
      <c r="AF374" s="7">
        <v>3.7</v>
      </c>
      <c r="AG374" s="7">
        <v>15.4</v>
      </c>
      <c r="AH374" s="7">
        <v>9.6</v>
      </c>
      <c r="AI374" s="7">
        <v>8</v>
      </c>
      <c r="AJ374" s="7">
        <v>57.8</v>
      </c>
      <c r="AK374" s="7">
        <v>59.7</v>
      </c>
      <c r="AL374" s="7">
        <v>11</v>
      </c>
      <c r="AM374" s="7">
        <v>102.71</v>
      </c>
      <c r="AN374" s="7">
        <v>6.7</v>
      </c>
      <c r="AO374" s="7">
        <v>1303</v>
      </c>
    </row>
    <row r="375" spans="1:41">
      <c r="A375" s="6" t="s">
        <v>789</v>
      </c>
      <c r="B375" s="6" t="s">
        <v>58</v>
      </c>
      <c r="C375" s="41">
        <f t="shared" si="11"/>
        <v>0.50216502285301901</v>
      </c>
      <c r="D375" s="42">
        <f t="shared" si="10"/>
        <v>2.3823529411764706</v>
      </c>
      <c r="E375" s="31">
        <v>167</v>
      </c>
      <c r="F375" s="24">
        <v>65</v>
      </c>
      <c r="G375" s="24">
        <v>161</v>
      </c>
      <c r="H375" s="8">
        <v>40.1</v>
      </c>
      <c r="I375" s="9">
        <v>81</v>
      </c>
      <c r="J375" s="8">
        <v>32.9</v>
      </c>
      <c r="K375" s="8">
        <v>12</v>
      </c>
      <c r="L375" s="25">
        <v>12</v>
      </c>
      <c r="M375" s="8">
        <v>100</v>
      </c>
      <c r="N375" s="9">
        <v>6</v>
      </c>
      <c r="O375" s="9">
        <v>43</v>
      </c>
      <c r="P375" s="9">
        <v>50</v>
      </c>
      <c r="Q375" s="24">
        <v>81</v>
      </c>
      <c r="R375" s="24">
        <v>34</v>
      </c>
      <c r="S375" s="9">
        <v>28</v>
      </c>
      <c r="T375" s="9">
        <v>9</v>
      </c>
      <c r="U375" s="9">
        <v>40</v>
      </c>
      <c r="V375" s="8">
        <v>428</v>
      </c>
      <c r="W375" s="8">
        <v>1</v>
      </c>
      <c r="X375" s="8">
        <v>1</v>
      </c>
      <c r="Y375" s="7">
        <v>-0.6</v>
      </c>
      <c r="Z375" s="7">
        <v>106.2</v>
      </c>
      <c r="AA375" s="7">
        <v>108.4</v>
      </c>
      <c r="AB375" s="7">
        <v>-2.2000000000000002</v>
      </c>
      <c r="AC375" s="7">
        <v>22.4</v>
      </c>
      <c r="AD375" s="7">
        <v>2.4500000000000002</v>
      </c>
      <c r="AE375" s="7">
        <v>28.8</v>
      </c>
      <c r="AF375" s="7">
        <v>1.3</v>
      </c>
      <c r="AG375" s="7">
        <v>8</v>
      </c>
      <c r="AH375" s="7">
        <v>4.7</v>
      </c>
      <c r="AI375" s="7">
        <v>11.7</v>
      </c>
      <c r="AJ375" s="7">
        <v>48.5</v>
      </c>
      <c r="AK375" s="7">
        <v>50.3</v>
      </c>
      <c r="AL375" s="7">
        <v>16.399999999999999</v>
      </c>
      <c r="AM375" s="7">
        <v>102.77</v>
      </c>
      <c r="AN375" s="7">
        <v>7.4</v>
      </c>
      <c r="AO375" s="7">
        <v>1075</v>
      </c>
    </row>
    <row r="376" spans="1:41">
      <c r="A376" s="6" t="s">
        <v>791</v>
      </c>
      <c r="B376" s="6" t="s">
        <v>140</v>
      </c>
      <c r="C376" s="41">
        <f t="shared" si="11"/>
        <v>0.59592188397472712</v>
      </c>
      <c r="D376" s="42">
        <f t="shared" si="10"/>
        <v>1.2758620689655173</v>
      </c>
      <c r="E376" s="31">
        <v>166</v>
      </c>
      <c r="F376" s="24">
        <v>54</v>
      </c>
      <c r="G376" s="24">
        <v>123</v>
      </c>
      <c r="H376" s="8">
        <v>43.9</v>
      </c>
      <c r="I376" s="9">
        <v>74</v>
      </c>
      <c r="J376" s="8">
        <v>36.5</v>
      </c>
      <c r="K376" s="8">
        <v>30</v>
      </c>
      <c r="L376" s="25">
        <v>37</v>
      </c>
      <c r="M376" s="8">
        <v>83.8</v>
      </c>
      <c r="N376" s="9">
        <v>18</v>
      </c>
      <c r="O376" s="9">
        <v>64</v>
      </c>
      <c r="P376" s="9">
        <v>82</v>
      </c>
      <c r="Q376" s="24">
        <v>37</v>
      </c>
      <c r="R376" s="24">
        <v>29</v>
      </c>
      <c r="S376" s="9">
        <v>18</v>
      </c>
      <c r="T376" s="9">
        <v>13</v>
      </c>
      <c r="U376" s="9">
        <v>46</v>
      </c>
      <c r="V376" s="8">
        <v>386</v>
      </c>
      <c r="W376" s="8">
        <v>0</v>
      </c>
      <c r="X376" s="8">
        <v>0</v>
      </c>
      <c r="Y376" s="7">
        <v>0.6</v>
      </c>
      <c r="Z376" s="7">
        <v>114.9</v>
      </c>
      <c r="AA376" s="7">
        <v>113.3</v>
      </c>
      <c r="AB376" s="7">
        <v>1.6</v>
      </c>
      <c r="AC376" s="7">
        <v>10.7</v>
      </c>
      <c r="AD376" s="7">
        <v>1.32</v>
      </c>
      <c r="AE376" s="7">
        <v>18</v>
      </c>
      <c r="AF376" s="7">
        <v>3.5</v>
      </c>
      <c r="AG376" s="7">
        <v>13.4</v>
      </c>
      <c r="AH376" s="7">
        <v>8.3000000000000007</v>
      </c>
      <c r="AI376" s="7">
        <v>13.6</v>
      </c>
      <c r="AJ376" s="7">
        <v>54.9</v>
      </c>
      <c r="AK376" s="7">
        <v>59.6</v>
      </c>
      <c r="AL376" s="7">
        <v>14.6</v>
      </c>
      <c r="AM376" s="7">
        <v>99.95</v>
      </c>
      <c r="AN376" s="7">
        <v>7.6</v>
      </c>
      <c r="AO376" s="7">
        <v>995</v>
      </c>
    </row>
    <row r="377" spans="1:41">
      <c r="A377" s="6" t="s">
        <v>793</v>
      </c>
      <c r="B377" s="6" t="s">
        <v>46</v>
      </c>
      <c r="C377" s="41">
        <f t="shared" si="11"/>
        <v>0.60365135453474672</v>
      </c>
      <c r="D377" s="42">
        <f t="shared" si="10"/>
        <v>3.5</v>
      </c>
      <c r="E377" s="31">
        <v>164</v>
      </c>
      <c r="F377" s="24">
        <v>56</v>
      </c>
      <c r="G377" s="24">
        <v>120</v>
      </c>
      <c r="H377" s="8">
        <v>46.7</v>
      </c>
      <c r="I377" s="9">
        <v>52</v>
      </c>
      <c r="J377" s="8">
        <v>43.1</v>
      </c>
      <c r="K377" s="8">
        <v>28</v>
      </c>
      <c r="L377" s="25">
        <v>36</v>
      </c>
      <c r="M377" s="8">
        <v>78.400000000000006</v>
      </c>
      <c r="N377" s="9">
        <v>28</v>
      </c>
      <c r="O377" s="9">
        <v>28</v>
      </c>
      <c r="P377" s="9">
        <v>52</v>
      </c>
      <c r="Q377" s="24">
        <v>28</v>
      </c>
      <c r="R377" s="24">
        <v>8</v>
      </c>
      <c r="S377" s="9">
        <v>36</v>
      </c>
      <c r="T377" s="9">
        <v>4</v>
      </c>
      <c r="U377" s="9">
        <v>60</v>
      </c>
      <c r="V377" s="8">
        <v>372</v>
      </c>
      <c r="W377" s="8">
        <v>0</v>
      </c>
      <c r="X377" s="8">
        <v>0</v>
      </c>
      <c r="Y377" s="7">
        <v>1.1000000000000001</v>
      </c>
      <c r="Z377" s="7">
        <v>115.2</v>
      </c>
      <c r="AA377" s="7">
        <v>109.6</v>
      </c>
      <c r="AB377" s="7">
        <v>5.6</v>
      </c>
      <c r="AC377" s="7">
        <v>6.7</v>
      </c>
      <c r="AD377" s="7">
        <v>3.25</v>
      </c>
      <c r="AE377" s="7">
        <v>15.1</v>
      </c>
      <c r="AF377" s="7">
        <v>4.7</v>
      </c>
      <c r="AG377" s="7">
        <v>5.3</v>
      </c>
      <c r="AH377" s="7">
        <v>5</v>
      </c>
      <c r="AI377" s="7">
        <v>4.7</v>
      </c>
      <c r="AJ377" s="7">
        <v>55.8</v>
      </c>
      <c r="AK377" s="7">
        <v>59.8</v>
      </c>
      <c r="AL377" s="7">
        <v>11.5</v>
      </c>
      <c r="AM377" s="7">
        <v>101.98</v>
      </c>
      <c r="AN377" s="7">
        <v>5.7</v>
      </c>
      <c r="AO377" s="7">
        <v>1101</v>
      </c>
    </row>
    <row r="378" spans="1:41">
      <c r="A378" s="6" t="s">
        <v>795</v>
      </c>
      <c r="B378" s="6" t="s">
        <v>164</v>
      </c>
      <c r="C378" s="41">
        <f t="shared" si="11"/>
        <v>0.55929179247872629</v>
      </c>
      <c r="D378" s="42">
        <f t="shared" si="10"/>
        <v>2.2592592592592591</v>
      </c>
      <c r="E378" s="31">
        <v>163</v>
      </c>
      <c r="F378" s="24">
        <v>61</v>
      </c>
      <c r="G378" s="24">
        <v>129</v>
      </c>
      <c r="H378" s="8">
        <v>47.3</v>
      </c>
      <c r="I378" s="9">
        <v>38</v>
      </c>
      <c r="J378" s="8">
        <v>24.3</v>
      </c>
      <c r="K378" s="8">
        <v>30</v>
      </c>
      <c r="L378" s="25">
        <v>38</v>
      </c>
      <c r="M378" s="8">
        <v>83.8</v>
      </c>
      <c r="N378" s="9">
        <v>46</v>
      </c>
      <c r="O378" s="9">
        <v>122</v>
      </c>
      <c r="P378" s="9">
        <v>163</v>
      </c>
      <c r="Q378" s="24">
        <v>61</v>
      </c>
      <c r="R378" s="24">
        <v>27</v>
      </c>
      <c r="S378" s="9">
        <v>19</v>
      </c>
      <c r="T378" s="9">
        <v>19</v>
      </c>
      <c r="U378" s="9">
        <v>68</v>
      </c>
      <c r="V378" s="8">
        <v>540</v>
      </c>
      <c r="W378" s="8">
        <v>1</v>
      </c>
      <c r="X378" s="8">
        <v>0</v>
      </c>
      <c r="Y378" s="7">
        <v>-1.6</v>
      </c>
      <c r="Z378" s="7">
        <v>109.3</v>
      </c>
      <c r="AA378" s="7">
        <v>115.2</v>
      </c>
      <c r="AB378" s="7">
        <v>-5.9</v>
      </c>
      <c r="AC378" s="7">
        <v>13.1</v>
      </c>
      <c r="AD378" s="7">
        <v>2.4</v>
      </c>
      <c r="AE378" s="7">
        <v>26</v>
      </c>
      <c r="AF378" s="7">
        <v>6.2</v>
      </c>
      <c r="AG378" s="7">
        <v>19.2</v>
      </c>
      <c r="AH378" s="7">
        <v>12.2</v>
      </c>
      <c r="AI378" s="7">
        <v>10.8</v>
      </c>
      <c r="AJ378" s="7">
        <v>50.8</v>
      </c>
      <c r="AK378" s="7">
        <v>55.8</v>
      </c>
      <c r="AL378" s="7">
        <v>11.1</v>
      </c>
      <c r="AM378" s="7">
        <v>102.26</v>
      </c>
      <c r="AN378" s="7">
        <v>8.1</v>
      </c>
      <c r="AO378" s="7">
        <v>1331</v>
      </c>
    </row>
    <row r="379" spans="1:41">
      <c r="A379" s="6" t="s">
        <v>797</v>
      </c>
      <c r="B379" s="6" t="s">
        <v>170</v>
      </c>
      <c r="C379" s="41">
        <f t="shared" si="11"/>
        <v>0.5606769400110071</v>
      </c>
      <c r="D379" s="42">
        <f t="shared" si="10"/>
        <v>1</v>
      </c>
      <c r="E379" s="31">
        <v>163</v>
      </c>
      <c r="F379" s="24">
        <v>57</v>
      </c>
      <c r="G379" s="24">
        <v>137</v>
      </c>
      <c r="H379" s="8">
        <v>42.2</v>
      </c>
      <c r="I379" s="9">
        <v>99</v>
      </c>
      <c r="J379" s="8">
        <v>31.6</v>
      </c>
      <c r="K379" s="8">
        <v>15</v>
      </c>
      <c r="L379" s="25">
        <v>19</v>
      </c>
      <c r="M379" s="8">
        <v>85</v>
      </c>
      <c r="N379" s="9">
        <v>42</v>
      </c>
      <c r="O379" s="9">
        <v>122</v>
      </c>
      <c r="P379" s="9">
        <v>163</v>
      </c>
      <c r="Q379" s="24">
        <v>30</v>
      </c>
      <c r="R379" s="24">
        <v>30</v>
      </c>
      <c r="S379" s="9">
        <v>15</v>
      </c>
      <c r="T379" s="9">
        <v>15</v>
      </c>
      <c r="U379" s="9">
        <v>49</v>
      </c>
      <c r="V379" s="8">
        <v>460</v>
      </c>
      <c r="W379" s="8">
        <v>0</v>
      </c>
      <c r="X379" s="8">
        <v>0</v>
      </c>
      <c r="Y379" s="7">
        <v>-2.7</v>
      </c>
      <c r="Z379" s="7">
        <v>108.6</v>
      </c>
      <c r="AA379" s="7">
        <v>116.2</v>
      </c>
      <c r="AB379" s="7">
        <v>-7.6</v>
      </c>
      <c r="AC379" s="7">
        <v>5.8</v>
      </c>
      <c r="AD379" s="7">
        <v>1</v>
      </c>
      <c r="AE379" s="7">
        <v>15</v>
      </c>
      <c r="AF379" s="7">
        <v>5.8</v>
      </c>
      <c r="AG379" s="7">
        <v>15.3</v>
      </c>
      <c r="AH379" s="7">
        <v>10.7</v>
      </c>
      <c r="AI379" s="7">
        <v>15</v>
      </c>
      <c r="AJ379" s="7">
        <v>53.7</v>
      </c>
      <c r="AK379" s="7">
        <v>56.3</v>
      </c>
      <c r="AL379" s="7">
        <v>10.199999999999999</v>
      </c>
      <c r="AM379" s="7">
        <v>101.29</v>
      </c>
      <c r="AN379" s="7">
        <v>6.3</v>
      </c>
      <c r="AO379" s="7">
        <v>1492</v>
      </c>
    </row>
    <row r="380" spans="1:41">
      <c r="A380" s="6" t="s">
        <v>799</v>
      </c>
      <c r="B380" s="6" t="s">
        <v>84</v>
      </c>
      <c r="C380" s="41">
        <f t="shared" si="11"/>
        <v>0.5779109589041096</v>
      </c>
      <c r="D380" s="42">
        <f t="shared" si="10"/>
        <v>3.1176470588235294</v>
      </c>
      <c r="E380" s="31">
        <v>162</v>
      </c>
      <c r="F380" s="24">
        <v>59</v>
      </c>
      <c r="G380" s="24">
        <v>123</v>
      </c>
      <c r="H380" s="8">
        <v>47.5</v>
      </c>
      <c r="I380" s="9">
        <v>39</v>
      </c>
      <c r="J380" s="8">
        <v>37.5</v>
      </c>
      <c r="K380" s="8">
        <v>31</v>
      </c>
      <c r="L380" s="25">
        <v>39</v>
      </c>
      <c r="M380" s="8">
        <v>77.5</v>
      </c>
      <c r="N380" s="9">
        <v>14</v>
      </c>
      <c r="O380" s="9">
        <v>31</v>
      </c>
      <c r="P380" s="9">
        <v>45</v>
      </c>
      <c r="Q380" s="24">
        <v>53</v>
      </c>
      <c r="R380" s="24">
        <v>17</v>
      </c>
      <c r="S380" s="9">
        <v>22</v>
      </c>
      <c r="T380" s="9">
        <v>6</v>
      </c>
      <c r="U380" s="9">
        <v>42</v>
      </c>
      <c r="V380" s="8">
        <v>356</v>
      </c>
      <c r="W380" s="8">
        <v>0</v>
      </c>
      <c r="X380" s="8">
        <v>0</v>
      </c>
      <c r="Y380" s="7">
        <v>0</v>
      </c>
      <c r="Z380" s="7">
        <v>110.9</v>
      </c>
      <c r="AA380" s="7">
        <v>110.1</v>
      </c>
      <c r="AB380" s="7">
        <v>0.8</v>
      </c>
      <c r="AC380" s="7">
        <v>19.3</v>
      </c>
      <c r="AD380" s="7">
        <v>3.31</v>
      </c>
      <c r="AE380" s="7">
        <v>25.4</v>
      </c>
      <c r="AF380" s="7">
        <v>3.5</v>
      </c>
      <c r="AG380" s="7">
        <v>7.9</v>
      </c>
      <c r="AH380" s="7">
        <v>5.7</v>
      </c>
      <c r="AI380" s="7">
        <v>7.7</v>
      </c>
      <c r="AJ380" s="7">
        <v>53.7</v>
      </c>
      <c r="AK380" s="7">
        <v>58</v>
      </c>
      <c r="AL380" s="7">
        <v>16.7</v>
      </c>
      <c r="AM380" s="7">
        <v>104.12</v>
      </c>
      <c r="AN380" s="7">
        <v>8.9</v>
      </c>
      <c r="AO380" s="7">
        <v>823</v>
      </c>
    </row>
    <row r="381" spans="1:41">
      <c r="A381" s="6" t="s">
        <v>801</v>
      </c>
      <c r="B381" s="6" t="s">
        <v>74</v>
      </c>
      <c r="C381" s="41">
        <f t="shared" si="11"/>
        <v>0.53899387809422417</v>
      </c>
      <c r="D381" s="42">
        <f t="shared" si="10"/>
        <v>1.5769230769230769</v>
      </c>
      <c r="E381" s="31">
        <v>162</v>
      </c>
      <c r="F381" s="24">
        <v>64</v>
      </c>
      <c r="G381" s="24">
        <v>145</v>
      </c>
      <c r="H381" s="8">
        <v>43.8</v>
      </c>
      <c r="I381" s="9">
        <v>67</v>
      </c>
      <c r="J381" s="8">
        <v>38.200000000000003</v>
      </c>
      <c r="K381" s="8">
        <v>9</v>
      </c>
      <c r="L381" s="25">
        <v>12</v>
      </c>
      <c r="M381" s="8">
        <v>81.8</v>
      </c>
      <c r="N381" s="9">
        <v>38</v>
      </c>
      <c r="O381" s="9">
        <v>75</v>
      </c>
      <c r="P381" s="9">
        <v>113</v>
      </c>
      <c r="Q381" s="24">
        <v>41</v>
      </c>
      <c r="R381" s="24">
        <v>26</v>
      </c>
      <c r="S381" s="9">
        <v>29</v>
      </c>
      <c r="T381" s="9">
        <v>12</v>
      </c>
      <c r="U381" s="9">
        <v>44</v>
      </c>
      <c r="V381" s="8">
        <v>455</v>
      </c>
      <c r="W381" s="8">
        <v>0</v>
      </c>
      <c r="X381" s="8">
        <v>0</v>
      </c>
      <c r="Y381" s="7">
        <v>-0.4</v>
      </c>
      <c r="Z381" s="7">
        <v>111.2</v>
      </c>
      <c r="AA381" s="7">
        <v>112.4</v>
      </c>
      <c r="AB381" s="7">
        <v>-1.2</v>
      </c>
      <c r="AC381" s="7">
        <v>10.8</v>
      </c>
      <c r="AD381" s="7">
        <v>1.62</v>
      </c>
      <c r="AE381" s="7">
        <v>19.399999999999999</v>
      </c>
      <c r="AF381" s="7">
        <v>6.8</v>
      </c>
      <c r="AG381" s="7">
        <v>13.5</v>
      </c>
      <c r="AH381" s="7">
        <v>10.1</v>
      </c>
      <c r="AI381" s="7">
        <v>12</v>
      </c>
      <c r="AJ381" s="7">
        <v>52.8</v>
      </c>
      <c r="AK381" s="7">
        <v>54.1</v>
      </c>
      <c r="AL381" s="7">
        <v>13.4</v>
      </c>
      <c r="AM381" s="7">
        <v>99.53</v>
      </c>
      <c r="AN381" s="7">
        <v>8</v>
      </c>
      <c r="AO381" s="7">
        <v>1126</v>
      </c>
    </row>
    <row r="382" spans="1:41">
      <c r="A382" s="6" t="s">
        <v>803</v>
      </c>
      <c r="B382" s="6" t="s">
        <v>94</v>
      </c>
      <c r="C382" s="41">
        <f t="shared" si="11"/>
        <v>0.59362789299669361</v>
      </c>
      <c r="D382" s="42">
        <f t="shared" si="10"/>
        <v>0.81818181818181823</v>
      </c>
      <c r="E382" s="31">
        <v>158</v>
      </c>
      <c r="F382" s="24">
        <v>68</v>
      </c>
      <c r="G382" s="24">
        <v>119</v>
      </c>
      <c r="H382" s="8">
        <v>58.1</v>
      </c>
      <c r="I382" s="8">
        <v>0</v>
      </c>
      <c r="J382" s="8">
        <v>0</v>
      </c>
      <c r="K382" s="8">
        <v>22</v>
      </c>
      <c r="L382" s="25">
        <v>32</v>
      </c>
      <c r="M382" s="8">
        <v>63.6</v>
      </c>
      <c r="N382" s="9">
        <v>58</v>
      </c>
      <c r="O382" s="9">
        <v>97</v>
      </c>
      <c r="P382" s="9">
        <v>151</v>
      </c>
      <c r="Q382" s="24">
        <v>18</v>
      </c>
      <c r="R382" s="24">
        <v>22</v>
      </c>
      <c r="S382" s="9">
        <v>14</v>
      </c>
      <c r="T382" s="9">
        <v>29</v>
      </c>
      <c r="U382" s="9">
        <v>50</v>
      </c>
      <c r="V382" s="8">
        <v>475</v>
      </c>
      <c r="W382" s="8">
        <v>2</v>
      </c>
      <c r="X382" s="8">
        <v>0</v>
      </c>
      <c r="Y382" s="7">
        <v>-3.6</v>
      </c>
      <c r="Z382" s="7">
        <v>101.6</v>
      </c>
      <c r="AA382" s="7">
        <v>117.5</v>
      </c>
      <c r="AB382" s="7">
        <v>-15.9</v>
      </c>
      <c r="AC382" s="7">
        <v>7.2</v>
      </c>
      <c r="AD382" s="7">
        <v>0.74</v>
      </c>
      <c r="AE382" s="7">
        <v>9.9</v>
      </c>
      <c r="AF382" s="7">
        <v>13.3</v>
      </c>
      <c r="AG382" s="7">
        <v>24</v>
      </c>
      <c r="AH382" s="7">
        <v>18.5</v>
      </c>
      <c r="AI382" s="7">
        <v>13.5</v>
      </c>
      <c r="AJ382" s="7">
        <v>58.1</v>
      </c>
      <c r="AK382" s="7">
        <v>59.7</v>
      </c>
      <c r="AL382" s="7">
        <v>16.399999999999999</v>
      </c>
      <c r="AM382" s="7">
        <v>105.46</v>
      </c>
      <c r="AN382" s="7">
        <v>11.3</v>
      </c>
      <c r="AO382" s="7">
        <v>826</v>
      </c>
    </row>
    <row r="383" spans="1:41">
      <c r="A383" s="6" t="s">
        <v>805</v>
      </c>
      <c r="B383" s="6" t="s">
        <v>122</v>
      </c>
      <c r="C383" s="41">
        <f t="shared" si="11"/>
        <v>0.50768029159073158</v>
      </c>
      <c r="D383" s="42">
        <f t="shared" si="10"/>
        <v>0.83870967741935487</v>
      </c>
      <c r="E383" s="31">
        <v>156</v>
      </c>
      <c r="F383" s="24">
        <v>57</v>
      </c>
      <c r="G383" s="24">
        <v>140</v>
      </c>
      <c r="H383" s="8">
        <v>40.799999999999997</v>
      </c>
      <c r="I383" s="9">
        <v>57</v>
      </c>
      <c r="J383" s="8">
        <v>27.1</v>
      </c>
      <c r="K383" s="8">
        <v>21</v>
      </c>
      <c r="L383" s="25">
        <v>31</v>
      </c>
      <c r="M383" s="8">
        <v>76.7</v>
      </c>
      <c r="N383" s="9">
        <v>26</v>
      </c>
      <c r="O383" s="9">
        <v>42</v>
      </c>
      <c r="P383" s="9">
        <v>68</v>
      </c>
      <c r="Q383" s="24">
        <v>26</v>
      </c>
      <c r="R383" s="24">
        <v>31</v>
      </c>
      <c r="S383" s="9">
        <v>16</v>
      </c>
      <c r="T383" s="9">
        <v>5</v>
      </c>
      <c r="U383" s="9">
        <v>36</v>
      </c>
      <c r="V383" s="8">
        <v>307</v>
      </c>
      <c r="W383" s="8">
        <v>1</v>
      </c>
      <c r="X383" s="8">
        <v>0</v>
      </c>
      <c r="Y383" s="7">
        <v>-1.7</v>
      </c>
      <c r="Z383" s="7">
        <v>100.6</v>
      </c>
      <c r="AA383" s="7">
        <v>109.8</v>
      </c>
      <c r="AB383" s="7">
        <v>-9.1999999999999993</v>
      </c>
      <c r="AC383" s="7">
        <v>8.3000000000000007</v>
      </c>
      <c r="AD383" s="7">
        <v>0.83</v>
      </c>
      <c r="AE383" s="7">
        <v>11.9</v>
      </c>
      <c r="AF383" s="7">
        <v>4.9000000000000004</v>
      </c>
      <c r="AG383" s="7">
        <v>9.6999999999999993</v>
      </c>
      <c r="AH383" s="7">
        <v>7.1</v>
      </c>
      <c r="AI383" s="7">
        <v>14.3</v>
      </c>
      <c r="AJ383" s="7">
        <v>46.5</v>
      </c>
      <c r="AK383" s="7">
        <v>49.9</v>
      </c>
      <c r="AL383" s="7">
        <v>15.6</v>
      </c>
      <c r="AM383" s="7">
        <v>104.66</v>
      </c>
      <c r="AN383" s="7">
        <v>5.5</v>
      </c>
      <c r="AO383" s="7">
        <v>1005</v>
      </c>
    </row>
    <row r="384" spans="1:41">
      <c r="A384" s="6" t="s">
        <v>807</v>
      </c>
      <c r="B384" s="6" t="s">
        <v>114</v>
      </c>
      <c r="C384" s="41">
        <f t="shared" si="11"/>
        <v>0.54016620498614953</v>
      </c>
      <c r="D384" s="42">
        <f t="shared" si="10"/>
        <v>1.8695652173913044</v>
      </c>
      <c r="E384" s="31">
        <v>156</v>
      </c>
      <c r="F384" s="24">
        <v>59</v>
      </c>
      <c r="G384" s="24">
        <v>129</v>
      </c>
      <c r="H384" s="8">
        <v>45.7</v>
      </c>
      <c r="I384" s="9">
        <v>51</v>
      </c>
      <c r="J384" s="8">
        <v>32.700000000000003</v>
      </c>
      <c r="K384" s="8">
        <v>23</v>
      </c>
      <c r="L384" s="25">
        <v>35</v>
      </c>
      <c r="M384" s="8">
        <v>65.7</v>
      </c>
      <c r="N384" s="9">
        <v>20</v>
      </c>
      <c r="O384" s="9">
        <v>66</v>
      </c>
      <c r="P384" s="9">
        <v>86</v>
      </c>
      <c r="Q384" s="24">
        <v>43</v>
      </c>
      <c r="R384" s="24">
        <v>23</v>
      </c>
      <c r="S384" s="9">
        <v>27</v>
      </c>
      <c r="T384" s="9">
        <v>12</v>
      </c>
      <c r="U384" s="9">
        <v>35</v>
      </c>
      <c r="V384" s="8">
        <v>421</v>
      </c>
      <c r="W384" s="8">
        <v>1</v>
      </c>
      <c r="X384" s="8">
        <v>0</v>
      </c>
      <c r="Y384" s="7">
        <v>-2.9</v>
      </c>
      <c r="Z384" s="7">
        <v>104.4</v>
      </c>
      <c r="AA384" s="7">
        <v>114.8</v>
      </c>
      <c r="AB384" s="7">
        <v>-10.4</v>
      </c>
      <c r="AC384" s="7">
        <v>12.3</v>
      </c>
      <c r="AD384" s="7">
        <v>1.91</v>
      </c>
      <c r="AE384" s="7">
        <v>20.8</v>
      </c>
      <c r="AF384" s="7">
        <v>3.8</v>
      </c>
      <c r="AG384" s="7">
        <v>12.3</v>
      </c>
      <c r="AH384" s="7">
        <v>8</v>
      </c>
      <c r="AI384" s="7">
        <v>10.8</v>
      </c>
      <c r="AJ384" s="7">
        <v>51.9</v>
      </c>
      <c r="AK384" s="7">
        <v>54.4</v>
      </c>
      <c r="AL384" s="7">
        <v>13.8</v>
      </c>
      <c r="AM384" s="7">
        <v>99.47</v>
      </c>
      <c r="AN384" s="7">
        <v>7.8</v>
      </c>
      <c r="AO384" s="7">
        <v>1066</v>
      </c>
    </row>
    <row r="385" spans="1:41">
      <c r="A385" s="6" t="s">
        <v>809</v>
      </c>
      <c r="B385" s="6" t="s">
        <v>88</v>
      </c>
      <c r="C385" s="41">
        <f t="shared" si="11"/>
        <v>0.5070662130332374</v>
      </c>
      <c r="D385" s="42">
        <f t="shared" si="10"/>
        <v>3.6363636363636362</v>
      </c>
      <c r="E385" s="31">
        <v>155</v>
      </c>
      <c r="F385" s="24">
        <v>54</v>
      </c>
      <c r="G385" s="24">
        <v>148</v>
      </c>
      <c r="H385" s="8">
        <v>37.700000000000003</v>
      </c>
      <c r="I385" s="9">
        <v>104</v>
      </c>
      <c r="J385" s="8">
        <v>33.299999999999997</v>
      </c>
      <c r="K385" s="8">
        <v>7</v>
      </c>
      <c r="L385" s="25">
        <v>11</v>
      </c>
      <c r="M385" s="8">
        <v>80</v>
      </c>
      <c r="N385" s="9">
        <v>4</v>
      </c>
      <c r="O385" s="9">
        <v>36</v>
      </c>
      <c r="P385" s="9">
        <v>40</v>
      </c>
      <c r="Q385" s="24">
        <v>40</v>
      </c>
      <c r="R385" s="24">
        <v>11</v>
      </c>
      <c r="S385" s="9">
        <v>14</v>
      </c>
      <c r="T385" s="9">
        <v>4</v>
      </c>
      <c r="U385" s="9">
        <v>14</v>
      </c>
      <c r="V385" s="8">
        <v>295</v>
      </c>
      <c r="W385" s="8">
        <v>0</v>
      </c>
      <c r="X385" s="8">
        <v>0</v>
      </c>
      <c r="Y385" s="7">
        <v>1</v>
      </c>
      <c r="Z385" s="7">
        <v>114.8</v>
      </c>
      <c r="AA385" s="7">
        <v>111.5</v>
      </c>
      <c r="AB385" s="7">
        <v>3.3</v>
      </c>
      <c r="AC385" s="7">
        <v>16.600000000000001</v>
      </c>
      <c r="AD385" s="7">
        <v>3.64</v>
      </c>
      <c r="AE385" s="7">
        <v>19.899999999999999</v>
      </c>
      <c r="AF385" s="7">
        <v>1.2</v>
      </c>
      <c r="AG385" s="7">
        <v>9.4</v>
      </c>
      <c r="AH385" s="7">
        <v>5.4</v>
      </c>
      <c r="AI385" s="7">
        <v>5.5</v>
      </c>
      <c r="AJ385" s="7">
        <v>49.7</v>
      </c>
      <c r="AK385" s="7">
        <v>50.9</v>
      </c>
      <c r="AL385" s="7">
        <v>20</v>
      </c>
      <c r="AM385" s="7">
        <v>106.46</v>
      </c>
      <c r="AN385" s="7">
        <v>8.1999999999999993</v>
      </c>
      <c r="AO385" s="7">
        <v>717</v>
      </c>
    </row>
    <row r="386" spans="1:41">
      <c r="A386" s="6" t="s">
        <v>811</v>
      </c>
      <c r="B386" s="6" t="s">
        <v>68</v>
      </c>
      <c r="C386" s="41">
        <f t="shared" si="11"/>
        <v>0.55702140134857814</v>
      </c>
      <c r="D386" s="42">
        <f t="shared" ref="D386:D449" si="12">IFERROR(Q386/R386,"NA")</f>
        <v>1.5652173913043479</v>
      </c>
      <c r="E386" s="31">
        <v>152</v>
      </c>
      <c r="F386" s="24">
        <v>56</v>
      </c>
      <c r="G386" s="24">
        <v>125</v>
      </c>
      <c r="H386" s="8">
        <v>45.6</v>
      </c>
      <c r="I386" s="9">
        <v>59</v>
      </c>
      <c r="J386" s="8">
        <v>31.1</v>
      </c>
      <c r="K386" s="8">
        <v>20</v>
      </c>
      <c r="L386" s="25">
        <v>26</v>
      </c>
      <c r="M386" s="8">
        <v>76.900000000000006</v>
      </c>
      <c r="N386" s="9">
        <v>13</v>
      </c>
      <c r="O386" s="9">
        <v>73</v>
      </c>
      <c r="P386" s="9">
        <v>83</v>
      </c>
      <c r="Q386" s="24">
        <v>36</v>
      </c>
      <c r="R386" s="24">
        <v>23</v>
      </c>
      <c r="S386" s="9">
        <v>13</v>
      </c>
      <c r="T386" s="9">
        <v>10</v>
      </c>
      <c r="U386" s="9">
        <v>20</v>
      </c>
      <c r="V386" s="8">
        <v>353</v>
      </c>
      <c r="W386" s="8">
        <v>0</v>
      </c>
      <c r="X386" s="8">
        <v>0</v>
      </c>
      <c r="Y386" s="7">
        <v>-2.2999999999999998</v>
      </c>
      <c r="Z386" s="7">
        <v>106.4</v>
      </c>
      <c r="AA386" s="7">
        <v>114.6</v>
      </c>
      <c r="AB386" s="7">
        <v>-8.1999999999999993</v>
      </c>
      <c r="AC386" s="7">
        <v>12.1</v>
      </c>
      <c r="AD386" s="7">
        <v>1.59</v>
      </c>
      <c r="AE386" s="7">
        <v>18</v>
      </c>
      <c r="AF386" s="7">
        <v>3</v>
      </c>
      <c r="AG386" s="7">
        <v>17.7</v>
      </c>
      <c r="AH386" s="7">
        <v>10.1</v>
      </c>
      <c r="AI386" s="7">
        <v>11.3</v>
      </c>
      <c r="AJ386" s="7">
        <v>53.2</v>
      </c>
      <c r="AK386" s="7">
        <v>56.1</v>
      </c>
      <c r="AL386" s="7">
        <v>15.9</v>
      </c>
      <c r="AM386" s="7">
        <v>104.43</v>
      </c>
      <c r="AN386" s="7">
        <v>8.9</v>
      </c>
      <c r="AO386" s="7">
        <v>890</v>
      </c>
    </row>
    <row r="387" spans="1:41">
      <c r="A387" s="6" t="s">
        <v>813</v>
      </c>
      <c r="B387" s="6" t="s">
        <v>62</v>
      </c>
      <c r="C387" s="41">
        <f t="shared" ref="C387:C450" si="13">IFERROR((E387/(2*(G387+0.44*L387))),"NA")</f>
        <v>0.51518438177874182</v>
      </c>
      <c r="D387" s="42">
        <f t="shared" si="12"/>
        <v>1.2692307692307692</v>
      </c>
      <c r="E387" s="31">
        <v>152</v>
      </c>
      <c r="F387" s="24">
        <v>59</v>
      </c>
      <c r="G387" s="24">
        <v>133</v>
      </c>
      <c r="H387" s="8">
        <v>43.3</v>
      </c>
      <c r="I387" s="9">
        <v>37</v>
      </c>
      <c r="J387" s="8">
        <v>21.1</v>
      </c>
      <c r="K387" s="8">
        <v>30</v>
      </c>
      <c r="L387" s="25">
        <v>33</v>
      </c>
      <c r="M387" s="8">
        <v>80</v>
      </c>
      <c r="N387" s="9">
        <v>22</v>
      </c>
      <c r="O387" s="9">
        <v>33</v>
      </c>
      <c r="P387" s="9">
        <v>59</v>
      </c>
      <c r="Q387" s="24">
        <v>33</v>
      </c>
      <c r="R387" s="24">
        <v>26</v>
      </c>
      <c r="S387" s="9">
        <v>19</v>
      </c>
      <c r="T387" s="9">
        <v>4</v>
      </c>
      <c r="U387" s="9">
        <v>26</v>
      </c>
      <c r="V387" s="8">
        <v>311</v>
      </c>
      <c r="W387" s="8">
        <v>0</v>
      </c>
      <c r="X387" s="8">
        <v>0</v>
      </c>
      <c r="Y387" s="7">
        <v>-1.7</v>
      </c>
      <c r="Z387" s="7">
        <v>103.8</v>
      </c>
      <c r="AA387" s="7">
        <v>109.8</v>
      </c>
      <c r="AB387" s="7">
        <v>-6</v>
      </c>
      <c r="AC387" s="7">
        <v>12.4</v>
      </c>
      <c r="AD387" s="7">
        <v>1.31</v>
      </c>
      <c r="AE387" s="7">
        <v>16.2</v>
      </c>
      <c r="AF387" s="7">
        <v>5.3</v>
      </c>
      <c r="AG387" s="7">
        <v>8.4</v>
      </c>
      <c r="AH387" s="7">
        <v>6.8</v>
      </c>
      <c r="AI387" s="7">
        <v>12.4</v>
      </c>
      <c r="AJ387" s="7">
        <v>46.3</v>
      </c>
      <c r="AK387" s="7">
        <v>50.9</v>
      </c>
      <c r="AL387" s="7">
        <v>17.5</v>
      </c>
      <c r="AM387" s="7">
        <v>100.15</v>
      </c>
      <c r="AN387" s="7">
        <v>7</v>
      </c>
      <c r="AO387" s="7">
        <v>872</v>
      </c>
    </row>
    <row r="388" spans="1:41">
      <c r="A388" s="6" t="s">
        <v>815</v>
      </c>
      <c r="B388" s="6" t="s">
        <v>98</v>
      </c>
      <c r="C388" s="41">
        <f t="shared" si="13"/>
        <v>0.48818088386433706</v>
      </c>
      <c r="D388" s="42">
        <f t="shared" si="12"/>
        <v>1.6818181818181819</v>
      </c>
      <c r="E388" s="31">
        <v>152</v>
      </c>
      <c r="F388" s="24">
        <v>56</v>
      </c>
      <c r="G388" s="24">
        <v>146</v>
      </c>
      <c r="H388" s="8">
        <v>38.1</v>
      </c>
      <c r="I388" s="9">
        <v>78</v>
      </c>
      <c r="J388" s="8">
        <v>28.6</v>
      </c>
      <c r="K388" s="8">
        <v>19</v>
      </c>
      <c r="L388" s="25">
        <v>22</v>
      </c>
      <c r="M388" s="8">
        <v>85.7</v>
      </c>
      <c r="N388" s="9">
        <v>25</v>
      </c>
      <c r="O388" s="9">
        <v>28</v>
      </c>
      <c r="P388" s="9">
        <v>53</v>
      </c>
      <c r="Q388" s="24">
        <v>37</v>
      </c>
      <c r="R388" s="24">
        <v>22</v>
      </c>
      <c r="S388" s="9">
        <v>31</v>
      </c>
      <c r="T388" s="9">
        <v>9</v>
      </c>
      <c r="U388" s="9">
        <v>37</v>
      </c>
      <c r="V388" s="8">
        <v>375</v>
      </c>
      <c r="W388" s="8">
        <v>0</v>
      </c>
      <c r="X388" s="8">
        <v>0</v>
      </c>
      <c r="Y388" s="7">
        <v>-2.8</v>
      </c>
      <c r="Z388" s="7">
        <v>101.9</v>
      </c>
      <c r="AA388" s="7">
        <v>111.1</v>
      </c>
      <c r="AB388" s="7">
        <v>-9.1999999999999993</v>
      </c>
      <c r="AC388" s="7">
        <v>14.1</v>
      </c>
      <c r="AD388" s="7">
        <v>1.73</v>
      </c>
      <c r="AE388" s="7">
        <v>17.5</v>
      </c>
      <c r="AF388" s="7">
        <v>5.6</v>
      </c>
      <c r="AG388" s="7">
        <v>7.1</v>
      </c>
      <c r="AH388" s="7">
        <v>6.3</v>
      </c>
      <c r="AI388" s="7">
        <v>10.1</v>
      </c>
      <c r="AJ388" s="7">
        <v>45.6</v>
      </c>
      <c r="AK388" s="7">
        <v>48.6</v>
      </c>
      <c r="AL388" s="7">
        <v>17.600000000000001</v>
      </c>
      <c r="AM388" s="7">
        <v>98.95</v>
      </c>
      <c r="AN388" s="7">
        <v>7.1</v>
      </c>
      <c r="AO388" s="7">
        <v>885</v>
      </c>
    </row>
    <row r="389" spans="1:41">
      <c r="A389" s="13" t="s">
        <v>817</v>
      </c>
      <c r="B389" s="6" t="s">
        <v>140</v>
      </c>
      <c r="C389" s="41">
        <f t="shared" si="13"/>
        <v>0.55645636792452824</v>
      </c>
      <c r="D389" s="42">
        <f t="shared" si="12"/>
        <v>1.4827586206896552</v>
      </c>
      <c r="E389" s="31">
        <v>151</v>
      </c>
      <c r="F389" s="24">
        <v>58</v>
      </c>
      <c r="G389" s="24">
        <v>126</v>
      </c>
      <c r="H389" s="8">
        <v>46.8</v>
      </c>
      <c r="I389" s="9">
        <v>40</v>
      </c>
      <c r="J389" s="8">
        <v>34.1</v>
      </c>
      <c r="K389" s="8">
        <v>18</v>
      </c>
      <c r="L389" s="25">
        <v>22</v>
      </c>
      <c r="M389" s="8">
        <v>81.8</v>
      </c>
      <c r="N389" s="9">
        <v>29</v>
      </c>
      <c r="O389" s="9">
        <v>65</v>
      </c>
      <c r="P389" s="9">
        <v>94</v>
      </c>
      <c r="Q389" s="24">
        <v>43</v>
      </c>
      <c r="R389" s="24">
        <v>29</v>
      </c>
      <c r="S389" s="9">
        <v>22</v>
      </c>
      <c r="T389" s="9">
        <v>4</v>
      </c>
      <c r="U389" s="9">
        <v>32</v>
      </c>
      <c r="V389" s="8">
        <v>374</v>
      </c>
      <c r="W389" s="8">
        <v>1</v>
      </c>
      <c r="X389" s="8">
        <v>0</v>
      </c>
      <c r="Y389" s="7">
        <v>-3.7</v>
      </c>
      <c r="Z389" s="7">
        <v>99.6</v>
      </c>
      <c r="AA389" s="7">
        <v>112</v>
      </c>
      <c r="AB389" s="7">
        <v>-12.4</v>
      </c>
      <c r="AC389" s="7">
        <v>13</v>
      </c>
      <c r="AD389" s="7">
        <v>1.56</v>
      </c>
      <c r="AE389" s="7">
        <v>20.6</v>
      </c>
      <c r="AF389" s="7">
        <v>5.3</v>
      </c>
      <c r="AG389" s="7">
        <v>13.2</v>
      </c>
      <c r="AH389" s="7">
        <v>9</v>
      </c>
      <c r="AI389" s="7">
        <v>13.2</v>
      </c>
      <c r="AJ389" s="7">
        <v>52.4</v>
      </c>
      <c r="AK389" s="7">
        <v>55.3</v>
      </c>
      <c r="AL389" s="7">
        <v>13.3</v>
      </c>
      <c r="AM389" s="7">
        <v>100.73</v>
      </c>
      <c r="AN389" s="7">
        <v>8.3000000000000007</v>
      </c>
      <c r="AO389" s="7">
        <v>1045</v>
      </c>
    </row>
    <row r="390" spans="1:41">
      <c r="A390" s="6" t="s">
        <v>819</v>
      </c>
      <c r="B390" s="6" t="s">
        <v>46</v>
      </c>
      <c r="C390" s="41">
        <f t="shared" si="13"/>
        <v>0.57555624227441282</v>
      </c>
      <c r="D390" s="42">
        <f t="shared" si="12"/>
        <v>1.2916666666666667</v>
      </c>
      <c r="E390" s="31">
        <v>149</v>
      </c>
      <c r="F390" s="24">
        <v>48</v>
      </c>
      <c r="G390" s="24">
        <v>118</v>
      </c>
      <c r="H390" s="8">
        <v>39.799999999999997</v>
      </c>
      <c r="I390" s="9">
        <v>82</v>
      </c>
      <c r="J390" s="8">
        <v>39</v>
      </c>
      <c r="K390" s="8">
        <v>24</v>
      </c>
      <c r="L390" s="25">
        <v>26</v>
      </c>
      <c r="M390" s="8">
        <v>88.5</v>
      </c>
      <c r="N390" s="9">
        <v>5</v>
      </c>
      <c r="O390" s="9">
        <v>19</v>
      </c>
      <c r="P390" s="9">
        <v>24</v>
      </c>
      <c r="Q390" s="24">
        <v>31</v>
      </c>
      <c r="R390" s="24">
        <v>24</v>
      </c>
      <c r="S390" s="9">
        <v>19</v>
      </c>
      <c r="T390" s="9">
        <v>5</v>
      </c>
      <c r="U390" s="9">
        <v>29</v>
      </c>
      <c r="V390" s="8">
        <v>269</v>
      </c>
      <c r="W390" s="8">
        <v>0</v>
      </c>
      <c r="X390" s="8">
        <v>0</v>
      </c>
      <c r="Y390" s="7">
        <v>-1.3</v>
      </c>
      <c r="Z390" s="7">
        <v>102</v>
      </c>
      <c r="AA390" s="7">
        <v>108.1</v>
      </c>
      <c r="AB390" s="7">
        <v>-6.1</v>
      </c>
      <c r="AC390" s="7">
        <v>24.6</v>
      </c>
      <c r="AD390" s="7">
        <v>1.28</v>
      </c>
      <c r="AE390" s="7">
        <v>17.3</v>
      </c>
      <c r="AF390" s="7">
        <v>2</v>
      </c>
      <c r="AG390" s="7">
        <v>8.3000000000000007</v>
      </c>
      <c r="AH390" s="7">
        <v>5.0999999999999996</v>
      </c>
      <c r="AI390" s="7">
        <v>13.5</v>
      </c>
      <c r="AJ390" s="7">
        <v>53.4</v>
      </c>
      <c r="AK390" s="7">
        <v>57.6</v>
      </c>
      <c r="AL390" s="7">
        <v>27.4</v>
      </c>
      <c r="AM390" s="7">
        <v>98.61</v>
      </c>
      <c r="AN390" s="7">
        <v>10.8</v>
      </c>
      <c r="AO390" s="7">
        <v>490</v>
      </c>
    </row>
    <row r="391" spans="1:41">
      <c r="A391" s="6" t="s">
        <v>821</v>
      </c>
      <c r="B391" s="6" t="s">
        <v>74</v>
      </c>
      <c r="C391" s="41">
        <f t="shared" si="13"/>
        <v>0.53685432385374343</v>
      </c>
      <c r="D391" s="42">
        <f t="shared" si="12"/>
        <v>1.3793103448275863</v>
      </c>
      <c r="E391" s="31">
        <v>148</v>
      </c>
      <c r="F391" s="24">
        <v>58</v>
      </c>
      <c r="G391" s="24">
        <v>122</v>
      </c>
      <c r="H391" s="8">
        <v>48.8</v>
      </c>
      <c r="I391" s="9">
        <v>32</v>
      </c>
      <c r="J391" s="8">
        <v>28.1</v>
      </c>
      <c r="K391" s="8">
        <v>22</v>
      </c>
      <c r="L391" s="25">
        <v>36</v>
      </c>
      <c r="M391" s="8">
        <v>55.6</v>
      </c>
      <c r="N391" s="9">
        <v>68</v>
      </c>
      <c r="O391" s="9">
        <v>115</v>
      </c>
      <c r="P391" s="9">
        <v>184</v>
      </c>
      <c r="Q391" s="24">
        <v>40</v>
      </c>
      <c r="R391" s="24">
        <v>29</v>
      </c>
      <c r="S391" s="9">
        <v>36</v>
      </c>
      <c r="T391" s="9">
        <v>11</v>
      </c>
      <c r="U391" s="9">
        <v>68</v>
      </c>
      <c r="V391" s="8">
        <v>533</v>
      </c>
      <c r="W391" s="8">
        <v>0</v>
      </c>
      <c r="X391" s="8">
        <v>0</v>
      </c>
      <c r="Y391" s="7">
        <v>1</v>
      </c>
      <c r="Z391" s="7">
        <v>115.6</v>
      </c>
      <c r="AA391" s="7">
        <v>112.2</v>
      </c>
      <c r="AB391" s="7">
        <v>3.3</v>
      </c>
      <c r="AC391" s="7">
        <v>9.4</v>
      </c>
      <c r="AD391" s="7">
        <v>1.41</v>
      </c>
      <c r="AE391" s="7">
        <v>19.899999999999999</v>
      </c>
      <c r="AF391" s="7">
        <v>11.4</v>
      </c>
      <c r="AG391" s="7">
        <v>19.399999999999999</v>
      </c>
      <c r="AH391" s="7">
        <v>15.4</v>
      </c>
      <c r="AI391" s="7">
        <v>14.1</v>
      </c>
      <c r="AJ391" s="7">
        <v>52.5</v>
      </c>
      <c r="AK391" s="7">
        <v>53.7</v>
      </c>
      <c r="AL391" s="7">
        <v>11.6</v>
      </c>
      <c r="AM391" s="7">
        <v>100.61</v>
      </c>
      <c r="AN391" s="7">
        <v>8.1999999999999993</v>
      </c>
      <c r="AO391" s="7">
        <v>1215</v>
      </c>
    </row>
    <row r="392" spans="1:41">
      <c r="A392" s="6" t="s">
        <v>823</v>
      </c>
      <c r="B392" s="6" t="s">
        <v>58</v>
      </c>
      <c r="C392" s="41">
        <f t="shared" si="13"/>
        <v>0.5829631979695431</v>
      </c>
      <c r="D392" s="42">
        <f t="shared" si="12"/>
        <v>4.5</v>
      </c>
      <c r="E392" s="31">
        <v>147</v>
      </c>
      <c r="F392" s="24">
        <v>60</v>
      </c>
      <c r="G392" s="24">
        <v>112</v>
      </c>
      <c r="H392" s="8">
        <v>53.1</v>
      </c>
      <c r="I392" s="9">
        <v>28</v>
      </c>
      <c r="J392" s="8">
        <v>25.9</v>
      </c>
      <c r="K392" s="8">
        <v>21</v>
      </c>
      <c r="L392" s="25">
        <v>32</v>
      </c>
      <c r="M392" s="8">
        <v>63.6</v>
      </c>
      <c r="N392" s="9">
        <v>35</v>
      </c>
      <c r="O392" s="9">
        <v>49</v>
      </c>
      <c r="P392" s="9">
        <v>84</v>
      </c>
      <c r="Q392" s="24">
        <v>18</v>
      </c>
      <c r="R392" s="24">
        <v>4</v>
      </c>
      <c r="S392" s="9">
        <v>11</v>
      </c>
      <c r="T392" s="9">
        <v>18</v>
      </c>
      <c r="U392" s="9">
        <v>46</v>
      </c>
      <c r="V392" s="8">
        <v>350</v>
      </c>
      <c r="W392" s="8">
        <v>1</v>
      </c>
      <c r="X392" s="8">
        <v>0</v>
      </c>
      <c r="Y392" s="7">
        <v>-0.1</v>
      </c>
      <c r="Z392" s="7">
        <v>110.2</v>
      </c>
      <c r="AA392" s="7">
        <v>111.8</v>
      </c>
      <c r="AB392" s="7">
        <v>-1.6</v>
      </c>
      <c r="AC392" s="7">
        <v>7</v>
      </c>
      <c r="AD392" s="7">
        <v>3.8</v>
      </c>
      <c r="AE392" s="7">
        <v>12.7</v>
      </c>
      <c r="AF392" s="7">
        <v>9.1</v>
      </c>
      <c r="AG392" s="7">
        <v>13.9</v>
      </c>
      <c r="AH392" s="7">
        <v>11.4</v>
      </c>
      <c r="AI392" s="7">
        <v>3.3</v>
      </c>
      <c r="AJ392" s="7">
        <v>56.2</v>
      </c>
      <c r="AK392" s="7">
        <v>58</v>
      </c>
      <c r="AL392" s="7">
        <v>14.1</v>
      </c>
      <c r="AM392" s="7">
        <v>104.7</v>
      </c>
      <c r="AN392" s="7">
        <v>8.1999999999999993</v>
      </c>
      <c r="AO392" s="7">
        <v>823</v>
      </c>
    </row>
    <row r="393" spans="1:41">
      <c r="A393" s="6" t="s">
        <v>825</v>
      </c>
      <c r="B393" s="6" t="s">
        <v>66</v>
      </c>
      <c r="C393" s="41">
        <f t="shared" si="13"/>
        <v>0.61372745490981961</v>
      </c>
      <c r="D393" s="42">
        <f t="shared" si="12"/>
        <v>2</v>
      </c>
      <c r="E393" s="31">
        <v>147</v>
      </c>
      <c r="F393" s="24">
        <v>50</v>
      </c>
      <c r="G393" s="24">
        <v>118</v>
      </c>
      <c r="H393" s="8">
        <v>42.7</v>
      </c>
      <c r="I393" s="9">
        <v>101</v>
      </c>
      <c r="J393" s="8">
        <v>43.6</v>
      </c>
      <c r="K393" s="8">
        <v>4</v>
      </c>
      <c r="L393" s="25">
        <v>4</v>
      </c>
      <c r="M393" s="8">
        <v>60</v>
      </c>
      <c r="N393" s="9">
        <v>4</v>
      </c>
      <c r="O393" s="9">
        <v>21</v>
      </c>
      <c r="P393" s="9">
        <v>21</v>
      </c>
      <c r="Q393" s="24">
        <v>8</v>
      </c>
      <c r="R393" s="24">
        <v>4</v>
      </c>
      <c r="S393" s="9">
        <v>4</v>
      </c>
      <c r="T393" s="8">
        <v>0</v>
      </c>
      <c r="U393" s="9">
        <v>29</v>
      </c>
      <c r="V393" s="8">
        <v>197</v>
      </c>
      <c r="W393" s="8">
        <v>0</v>
      </c>
      <c r="X393" s="8">
        <v>0</v>
      </c>
      <c r="Y393" s="7">
        <v>0.6</v>
      </c>
      <c r="Z393" s="7">
        <v>111.5</v>
      </c>
      <c r="AA393" s="7">
        <v>109.9</v>
      </c>
      <c r="AB393" s="7">
        <v>1.6</v>
      </c>
      <c r="AC393" s="7">
        <v>2.8</v>
      </c>
      <c r="AD393" s="7">
        <v>1.17</v>
      </c>
      <c r="AE393" s="7">
        <v>5.3</v>
      </c>
      <c r="AF393" s="7">
        <v>0.9</v>
      </c>
      <c r="AG393" s="7">
        <v>5.4</v>
      </c>
      <c r="AH393" s="7">
        <v>3.1</v>
      </c>
      <c r="AI393" s="7">
        <v>4.5</v>
      </c>
      <c r="AJ393" s="7">
        <v>61.5</v>
      </c>
      <c r="AK393" s="7">
        <v>61.7</v>
      </c>
      <c r="AL393" s="7">
        <v>15</v>
      </c>
      <c r="AM393" s="7">
        <v>101.3</v>
      </c>
      <c r="AN393" s="7">
        <v>5.0999999999999996</v>
      </c>
      <c r="AO393" s="7">
        <v>728</v>
      </c>
    </row>
    <row r="394" spans="1:41">
      <c r="A394" s="6" t="s">
        <v>827</v>
      </c>
      <c r="B394" s="6" t="s">
        <v>98</v>
      </c>
      <c r="C394" s="41">
        <f t="shared" si="13"/>
        <v>0.51369863013698636</v>
      </c>
      <c r="D394" s="42">
        <f t="shared" si="12"/>
        <v>1.5263157894736843</v>
      </c>
      <c r="E394" s="31">
        <v>144</v>
      </c>
      <c r="F394" s="24">
        <v>53</v>
      </c>
      <c r="G394" s="24">
        <v>134</v>
      </c>
      <c r="H394" s="8">
        <v>38.299999999999997</v>
      </c>
      <c r="I394" s="9">
        <v>101</v>
      </c>
      <c r="J394" s="8">
        <v>35.6</v>
      </c>
      <c r="K394" s="8">
        <v>5</v>
      </c>
      <c r="L394" s="25">
        <v>14</v>
      </c>
      <c r="M394" s="8">
        <v>58.3</v>
      </c>
      <c r="N394" s="9">
        <v>19</v>
      </c>
      <c r="O394" s="9">
        <v>43</v>
      </c>
      <c r="P394" s="9">
        <v>62</v>
      </c>
      <c r="Q394" s="24">
        <v>29</v>
      </c>
      <c r="R394" s="24">
        <v>19</v>
      </c>
      <c r="S394" s="9">
        <v>24</v>
      </c>
      <c r="T394" s="9">
        <v>14</v>
      </c>
      <c r="U394" s="9">
        <v>43</v>
      </c>
      <c r="V394" s="8">
        <v>365</v>
      </c>
      <c r="W394" s="8">
        <v>0</v>
      </c>
      <c r="X394" s="8">
        <v>0</v>
      </c>
      <c r="Y394" s="7">
        <v>1.8</v>
      </c>
      <c r="Z394" s="7">
        <v>110.4</v>
      </c>
      <c r="AA394" s="7">
        <v>103.2</v>
      </c>
      <c r="AB394" s="7">
        <v>7.2</v>
      </c>
      <c r="AC394" s="7">
        <v>5.8</v>
      </c>
      <c r="AD394" s="7">
        <v>1.76</v>
      </c>
      <c r="AE394" s="7">
        <v>16.3</v>
      </c>
      <c r="AF394" s="7">
        <v>2.6</v>
      </c>
      <c r="AG394" s="7">
        <v>6.3</v>
      </c>
      <c r="AH394" s="7">
        <v>4.4000000000000004</v>
      </c>
      <c r="AI394" s="7">
        <v>9.1999999999999993</v>
      </c>
      <c r="AJ394" s="7">
        <v>51.9</v>
      </c>
      <c r="AK394" s="7">
        <v>52.4</v>
      </c>
      <c r="AL394" s="7">
        <v>9</v>
      </c>
      <c r="AM394" s="7">
        <v>99.58</v>
      </c>
      <c r="AN394" s="7">
        <v>4.3</v>
      </c>
      <c r="AO394" s="7">
        <v>1465</v>
      </c>
    </row>
    <row r="395" spans="1:41">
      <c r="A395" s="6" t="s">
        <v>829</v>
      </c>
      <c r="B395" s="6" t="s">
        <v>94</v>
      </c>
      <c r="C395" s="41">
        <f t="shared" si="13"/>
        <v>0.56746031746031744</v>
      </c>
      <c r="D395" s="42">
        <f t="shared" si="12"/>
        <v>1.1071428571428572</v>
      </c>
      <c r="E395" s="31">
        <v>143</v>
      </c>
      <c r="F395" s="24">
        <v>67</v>
      </c>
      <c r="G395" s="24">
        <v>115</v>
      </c>
      <c r="H395" s="8">
        <v>58.8</v>
      </c>
      <c r="I395" s="8">
        <v>0</v>
      </c>
      <c r="J395" s="8">
        <v>0</v>
      </c>
      <c r="K395" s="8">
        <v>11</v>
      </c>
      <c r="L395" s="25">
        <v>25</v>
      </c>
      <c r="M395" s="8">
        <v>40</v>
      </c>
      <c r="N395" s="9">
        <v>42</v>
      </c>
      <c r="O395" s="9">
        <v>115</v>
      </c>
      <c r="P395" s="9">
        <v>157</v>
      </c>
      <c r="Q395" s="24">
        <v>31</v>
      </c>
      <c r="R395" s="24">
        <v>28</v>
      </c>
      <c r="S395" s="9">
        <v>17</v>
      </c>
      <c r="T395" s="9">
        <v>22</v>
      </c>
      <c r="U395" s="9">
        <v>53</v>
      </c>
      <c r="V395" s="8">
        <v>470</v>
      </c>
      <c r="W395" s="8">
        <v>3</v>
      </c>
      <c r="X395" s="8">
        <v>0</v>
      </c>
      <c r="Y395" s="7">
        <v>-3.6</v>
      </c>
      <c r="Z395" s="7">
        <v>108.7</v>
      </c>
      <c r="AA395" s="7">
        <v>117.9</v>
      </c>
      <c r="AB395" s="7">
        <v>-9.1999999999999993</v>
      </c>
      <c r="AC395" s="7">
        <v>7.9</v>
      </c>
      <c r="AD395" s="7">
        <v>1.1499999999999999</v>
      </c>
      <c r="AE395" s="7">
        <v>16.899999999999999</v>
      </c>
      <c r="AF395" s="7">
        <v>8</v>
      </c>
      <c r="AG395" s="7">
        <v>20.7</v>
      </c>
      <c r="AH395" s="7">
        <v>14.4</v>
      </c>
      <c r="AI395" s="7">
        <v>14.8</v>
      </c>
      <c r="AJ395" s="7">
        <v>58.8</v>
      </c>
      <c r="AK395" s="7">
        <v>57.6</v>
      </c>
      <c r="AL395" s="7">
        <v>12.4</v>
      </c>
      <c r="AM395" s="7">
        <v>100.23</v>
      </c>
      <c r="AN395" s="7">
        <v>8</v>
      </c>
      <c r="AO395" s="7">
        <v>1102</v>
      </c>
    </row>
    <row r="396" spans="1:41">
      <c r="A396" s="13" t="s">
        <v>831</v>
      </c>
      <c r="B396" s="6" t="s">
        <v>164</v>
      </c>
      <c r="C396" s="41">
        <f t="shared" si="13"/>
        <v>0.57900788436268069</v>
      </c>
      <c r="D396" s="42">
        <f t="shared" si="12"/>
        <v>1</v>
      </c>
      <c r="E396" s="31">
        <v>141</v>
      </c>
      <c r="F396" s="24">
        <v>53</v>
      </c>
      <c r="G396" s="24">
        <v>109</v>
      </c>
      <c r="H396" s="8">
        <v>48.6</v>
      </c>
      <c r="I396" s="9">
        <v>43</v>
      </c>
      <c r="J396" s="8">
        <v>32.6</v>
      </c>
      <c r="K396" s="8">
        <v>22</v>
      </c>
      <c r="L396" s="25">
        <v>29</v>
      </c>
      <c r="M396" s="8">
        <v>73.3</v>
      </c>
      <c r="N396" s="9">
        <v>13</v>
      </c>
      <c r="O396" s="9">
        <v>46</v>
      </c>
      <c r="P396" s="9">
        <v>57</v>
      </c>
      <c r="Q396" s="24">
        <v>13</v>
      </c>
      <c r="R396" s="24">
        <v>13</v>
      </c>
      <c r="S396" s="9">
        <v>10</v>
      </c>
      <c r="T396" s="9">
        <v>10</v>
      </c>
      <c r="U396" s="9">
        <v>29</v>
      </c>
      <c r="V396" s="8">
        <v>279</v>
      </c>
      <c r="W396" s="8">
        <v>1</v>
      </c>
      <c r="X396" s="8">
        <v>0</v>
      </c>
      <c r="Y396" s="7">
        <v>-10.4</v>
      </c>
      <c r="Z396" s="7">
        <v>100.7</v>
      </c>
      <c r="AA396" s="7">
        <v>121.2</v>
      </c>
      <c r="AB396" s="7">
        <v>-20.5</v>
      </c>
      <c r="AC396" s="7">
        <v>6.2</v>
      </c>
      <c r="AD396" s="7">
        <v>1.08</v>
      </c>
      <c r="AE396" s="7">
        <v>8.8000000000000007</v>
      </c>
      <c r="AF396" s="7">
        <v>3.4</v>
      </c>
      <c r="AG396" s="7">
        <v>13.6</v>
      </c>
      <c r="AH396" s="7">
        <v>8.4</v>
      </c>
      <c r="AI396" s="7">
        <v>8.1999999999999993</v>
      </c>
      <c r="AJ396" s="7">
        <v>55</v>
      </c>
      <c r="AK396" s="7">
        <v>58.1</v>
      </c>
      <c r="AL396" s="7">
        <v>16.899999999999999</v>
      </c>
      <c r="AM396" s="7">
        <v>101.63</v>
      </c>
      <c r="AN396" s="7">
        <v>7.9</v>
      </c>
      <c r="AO396" s="7">
        <v>702</v>
      </c>
    </row>
    <row r="397" spans="1:41">
      <c r="A397" s="6" t="s">
        <v>833</v>
      </c>
      <c r="B397" s="6" t="s">
        <v>44</v>
      </c>
      <c r="C397" s="41">
        <f t="shared" si="13"/>
        <v>0.53167420814479638</v>
      </c>
      <c r="D397" s="42">
        <f t="shared" si="12"/>
        <v>1.5789473684210527</v>
      </c>
      <c r="E397" s="31">
        <v>141</v>
      </c>
      <c r="F397" s="24">
        <v>56</v>
      </c>
      <c r="G397" s="24">
        <v>126</v>
      </c>
      <c r="H397" s="8">
        <v>43.2</v>
      </c>
      <c r="I397" s="9">
        <v>70</v>
      </c>
      <c r="J397" s="8">
        <v>32.4</v>
      </c>
      <c r="K397" s="8">
        <v>11</v>
      </c>
      <c r="L397" s="25">
        <v>15</v>
      </c>
      <c r="M397" s="8">
        <v>68.8</v>
      </c>
      <c r="N397" s="9">
        <v>19</v>
      </c>
      <c r="O397" s="9">
        <v>63</v>
      </c>
      <c r="P397" s="9">
        <v>81</v>
      </c>
      <c r="Q397" s="24">
        <v>30</v>
      </c>
      <c r="R397" s="24">
        <v>19</v>
      </c>
      <c r="S397" s="9">
        <v>19</v>
      </c>
      <c r="T397" s="9">
        <v>7</v>
      </c>
      <c r="U397" s="9">
        <v>33</v>
      </c>
      <c r="V397" s="8">
        <v>340</v>
      </c>
      <c r="W397" s="8">
        <v>0</v>
      </c>
      <c r="X397" s="8">
        <v>0</v>
      </c>
      <c r="Y397" s="7">
        <v>1.2</v>
      </c>
      <c r="Z397" s="7">
        <v>104.3</v>
      </c>
      <c r="AA397" s="7">
        <v>99.2</v>
      </c>
      <c r="AB397" s="7">
        <v>5.0999999999999996</v>
      </c>
      <c r="AC397" s="7">
        <v>10.7</v>
      </c>
      <c r="AD397" s="7">
        <v>1.72</v>
      </c>
      <c r="AE397" s="7">
        <v>17.100000000000001</v>
      </c>
      <c r="AF397" s="7">
        <v>4</v>
      </c>
      <c r="AG397" s="7">
        <v>14.2</v>
      </c>
      <c r="AH397" s="7">
        <v>9.1</v>
      </c>
      <c r="AI397" s="7">
        <v>9.9</v>
      </c>
      <c r="AJ397" s="7">
        <v>52.4</v>
      </c>
      <c r="AK397" s="7">
        <v>53.8</v>
      </c>
      <c r="AL397" s="7">
        <v>15.2</v>
      </c>
      <c r="AM397" s="7">
        <v>102.86</v>
      </c>
      <c r="AN397" s="7">
        <v>8.8000000000000007</v>
      </c>
      <c r="AO397" s="7">
        <v>868</v>
      </c>
    </row>
    <row r="398" spans="1:41">
      <c r="A398" s="13" t="s">
        <v>835</v>
      </c>
      <c r="B398" s="6" t="s">
        <v>46</v>
      </c>
      <c r="C398" s="41">
        <f t="shared" si="13"/>
        <v>0.55341674687199227</v>
      </c>
      <c r="D398" s="42">
        <f t="shared" si="12"/>
        <v>2</v>
      </c>
      <c r="E398" s="31">
        <v>138</v>
      </c>
      <c r="F398" s="24">
        <v>54</v>
      </c>
      <c r="G398" s="24">
        <v>115</v>
      </c>
      <c r="H398" s="8">
        <v>48.2</v>
      </c>
      <c r="I398" s="9">
        <v>32</v>
      </c>
      <c r="J398" s="8">
        <v>35.5</v>
      </c>
      <c r="K398" s="8">
        <v>16</v>
      </c>
      <c r="L398" s="25">
        <v>22</v>
      </c>
      <c r="M398" s="8">
        <v>81</v>
      </c>
      <c r="N398" s="9">
        <v>10</v>
      </c>
      <c r="O398" s="9">
        <v>38</v>
      </c>
      <c r="P398" s="9">
        <v>48</v>
      </c>
      <c r="Q398" s="24">
        <v>32</v>
      </c>
      <c r="R398" s="24">
        <v>16</v>
      </c>
      <c r="S398" s="9">
        <v>6</v>
      </c>
      <c r="T398" s="9">
        <v>6</v>
      </c>
      <c r="U398" s="9">
        <v>26</v>
      </c>
      <c r="V398" s="8">
        <v>262</v>
      </c>
      <c r="W398" s="8">
        <v>1</v>
      </c>
      <c r="X398" s="8">
        <v>0</v>
      </c>
      <c r="Y398" s="7">
        <v>0.3</v>
      </c>
      <c r="Z398" s="7">
        <v>107.8</v>
      </c>
      <c r="AA398" s="7">
        <v>107</v>
      </c>
      <c r="AB398" s="7">
        <v>0.8</v>
      </c>
      <c r="AC398" s="7">
        <v>13.9</v>
      </c>
      <c r="AD398" s="7">
        <v>2.13</v>
      </c>
      <c r="AE398" s="7">
        <v>18.8</v>
      </c>
      <c r="AF398" s="7">
        <v>2.9</v>
      </c>
      <c r="AG398" s="7">
        <v>10</v>
      </c>
      <c r="AH398" s="7">
        <v>6.5</v>
      </c>
      <c r="AI398" s="7">
        <v>8.8000000000000007</v>
      </c>
      <c r="AJ398" s="7">
        <v>53.1</v>
      </c>
      <c r="AK398" s="7">
        <v>56</v>
      </c>
      <c r="AL398" s="7">
        <v>16.600000000000001</v>
      </c>
      <c r="AM398" s="7">
        <v>103.77</v>
      </c>
      <c r="AN398" s="7">
        <v>8.1999999999999993</v>
      </c>
      <c r="AO398" s="7">
        <v>735</v>
      </c>
    </row>
    <row r="399" spans="1:41">
      <c r="A399" s="6" t="s">
        <v>837</v>
      </c>
      <c r="B399" s="6" t="s">
        <v>164</v>
      </c>
      <c r="C399" s="41">
        <f t="shared" si="13"/>
        <v>0.55897602073882047</v>
      </c>
      <c r="D399" s="42">
        <f t="shared" si="12"/>
        <v>1</v>
      </c>
      <c r="E399" s="31">
        <v>138</v>
      </c>
      <c r="F399" s="24">
        <v>51</v>
      </c>
      <c r="G399" s="24">
        <v>112</v>
      </c>
      <c r="H399" s="8">
        <v>46.4</v>
      </c>
      <c r="I399" s="9">
        <v>54</v>
      </c>
      <c r="J399" s="8">
        <v>27.8</v>
      </c>
      <c r="K399" s="8">
        <v>19</v>
      </c>
      <c r="L399" s="25">
        <v>26</v>
      </c>
      <c r="M399" s="8">
        <v>70.400000000000006</v>
      </c>
      <c r="N399" s="9">
        <v>32</v>
      </c>
      <c r="O399" s="9">
        <v>112</v>
      </c>
      <c r="P399" s="9">
        <v>144</v>
      </c>
      <c r="Q399" s="24">
        <v>19</v>
      </c>
      <c r="R399" s="24">
        <v>19</v>
      </c>
      <c r="S399" s="9">
        <v>10</v>
      </c>
      <c r="T399" s="9">
        <v>32</v>
      </c>
      <c r="U399" s="9">
        <v>58</v>
      </c>
      <c r="V399" s="8">
        <v>438</v>
      </c>
      <c r="W399" s="8">
        <v>0</v>
      </c>
      <c r="X399" s="8">
        <v>0</v>
      </c>
      <c r="Y399" s="7">
        <v>-2.2999999999999998</v>
      </c>
      <c r="Z399" s="7">
        <v>103.5</v>
      </c>
      <c r="AA399" s="7">
        <v>112.5</v>
      </c>
      <c r="AB399" s="7">
        <v>-9</v>
      </c>
      <c r="AC399" s="7">
        <v>6.8</v>
      </c>
      <c r="AD399" s="7">
        <v>0.9</v>
      </c>
      <c r="AE399" s="7">
        <v>11.1</v>
      </c>
      <c r="AF399" s="7">
        <v>7.9</v>
      </c>
      <c r="AG399" s="7">
        <v>26.8</v>
      </c>
      <c r="AH399" s="7">
        <v>17.5</v>
      </c>
      <c r="AI399" s="7">
        <v>12.3</v>
      </c>
      <c r="AJ399" s="7">
        <v>53.1</v>
      </c>
      <c r="AK399" s="7">
        <v>55.7</v>
      </c>
      <c r="AL399" s="7">
        <v>15</v>
      </c>
      <c r="AM399" s="7">
        <v>98.15</v>
      </c>
      <c r="AN399" s="7">
        <v>10</v>
      </c>
      <c r="AO399" s="7">
        <v>846</v>
      </c>
    </row>
    <row r="400" spans="1:41">
      <c r="A400" s="6" t="s">
        <v>839</v>
      </c>
      <c r="B400" s="6" t="s">
        <v>46</v>
      </c>
      <c r="C400" s="41">
        <f t="shared" si="13"/>
        <v>0.56893687707641194</v>
      </c>
      <c r="D400" s="42">
        <f t="shared" si="12"/>
        <v>1</v>
      </c>
      <c r="E400" s="31">
        <v>137</v>
      </c>
      <c r="F400" s="24">
        <v>51</v>
      </c>
      <c r="G400" s="24">
        <v>105</v>
      </c>
      <c r="H400" s="8">
        <v>49.5</v>
      </c>
      <c r="I400" s="9">
        <v>35</v>
      </c>
      <c r="J400" s="8">
        <v>27.8</v>
      </c>
      <c r="K400" s="8">
        <v>23</v>
      </c>
      <c r="L400" s="25">
        <v>35</v>
      </c>
      <c r="M400" s="8">
        <v>68.599999999999994</v>
      </c>
      <c r="N400" s="9">
        <v>31</v>
      </c>
      <c r="O400" s="9">
        <v>23</v>
      </c>
      <c r="P400" s="9">
        <v>55</v>
      </c>
      <c r="Q400" s="24">
        <v>12</v>
      </c>
      <c r="R400" s="24">
        <v>12</v>
      </c>
      <c r="S400" s="9">
        <v>8</v>
      </c>
      <c r="T400" s="9">
        <v>4</v>
      </c>
      <c r="U400" s="9">
        <v>27</v>
      </c>
      <c r="V400" s="8">
        <v>234</v>
      </c>
      <c r="W400" s="8">
        <v>0</v>
      </c>
      <c r="X400" s="8">
        <v>0</v>
      </c>
      <c r="Y400" s="7">
        <v>0</v>
      </c>
      <c r="Z400" s="7">
        <v>107.9</v>
      </c>
      <c r="AA400" s="7">
        <v>107.5</v>
      </c>
      <c r="AB400" s="7">
        <v>0.4</v>
      </c>
      <c r="AC400" s="7">
        <v>8.1999999999999993</v>
      </c>
      <c r="AD400" s="7">
        <v>0.92</v>
      </c>
      <c r="AE400" s="7">
        <v>7.6</v>
      </c>
      <c r="AF400" s="7">
        <v>13.8</v>
      </c>
      <c r="AG400" s="7">
        <v>10.3</v>
      </c>
      <c r="AH400" s="7">
        <v>12.1</v>
      </c>
      <c r="AI400" s="7">
        <v>8.3000000000000007</v>
      </c>
      <c r="AJ400" s="7">
        <v>54.3</v>
      </c>
      <c r="AK400" s="7">
        <v>57.3</v>
      </c>
      <c r="AL400" s="7">
        <v>24.1</v>
      </c>
      <c r="AM400" s="7">
        <v>105.17</v>
      </c>
      <c r="AN400" s="7">
        <v>10.1</v>
      </c>
      <c r="AO400" s="7">
        <v>480</v>
      </c>
    </row>
    <row r="401" spans="1:41">
      <c r="A401" s="6" t="s">
        <v>841</v>
      </c>
      <c r="B401" s="6" t="s">
        <v>116</v>
      </c>
      <c r="C401" s="41">
        <f t="shared" si="13"/>
        <v>0.5265990159901599</v>
      </c>
      <c r="D401" s="42">
        <f t="shared" si="12"/>
        <v>4.5238095238095237</v>
      </c>
      <c r="E401" s="31">
        <v>137</v>
      </c>
      <c r="F401" s="24">
        <v>42</v>
      </c>
      <c r="G401" s="24">
        <v>116</v>
      </c>
      <c r="H401" s="8">
        <v>35</v>
      </c>
      <c r="I401" s="9">
        <v>88</v>
      </c>
      <c r="J401" s="8">
        <v>33</v>
      </c>
      <c r="K401" s="8">
        <v>28</v>
      </c>
      <c r="L401" s="25">
        <v>32</v>
      </c>
      <c r="M401" s="8">
        <v>81.8</v>
      </c>
      <c r="N401" s="9">
        <v>11</v>
      </c>
      <c r="O401" s="9">
        <v>56</v>
      </c>
      <c r="P401" s="9">
        <v>67</v>
      </c>
      <c r="Q401" s="24">
        <v>95</v>
      </c>
      <c r="R401" s="24">
        <v>21</v>
      </c>
      <c r="S401" s="9">
        <v>32</v>
      </c>
      <c r="T401" s="9">
        <v>11</v>
      </c>
      <c r="U401" s="9">
        <v>63</v>
      </c>
      <c r="V401" s="8">
        <v>473</v>
      </c>
      <c r="W401" s="8">
        <v>0</v>
      </c>
      <c r="X401" s="8">
        <v>0</v>
      </c>
      <c r="Y401" s="7">
        <v>-2</v>
      </c>
      <c r="Z401" s="7">
        <v>103.8</v>
      </c>
      <c r="AA401" s="7">
        <v>109.6</v>
      </c>
      <c r="AB401" s="7">
        <v>-5.8</v>
      </c>
      <c r="AC401" s="7">
        <v>20.6</v>
      </c>
      <c r="AD401" s="7">
        <v>4.57</v>
      </c>
      <c r="AE401" s="7">
        <v>38.4</v>
      </c>
      <c r="AF401" s="7">
        <v>1.6</v>
      </c>
      <c r="AG401" s="7">
        <v>8.6</v>
      </c>
      <c r="AH401" s="7">
        <v>5</v>
      </c>
      <c r="AI401" s="7">
        <v>8.4</v>
      </c>
      <c r="AJ401" s="7">
        <v>47.4</v>
      </c>
      <c r="AK401" s="7">
        <v>52.5</v>
      </c>
      <c r="AL401" s="7">
        <v>10</v>
      </c>
      <c r="AM401" s="7">
        <v>99.28</v>
      </c>
      <c r="AN401" s="7">
        <v>6.7</v>
      </c>
      <c r="AO401" s="7">
        <v>1368</v>
      </c>
    </row>
    <row r="402" spans="1:41">
      <c r="A402" s="6" t="s">
        <v>843</v>
      </c>
      <c r="B402" s="6" t="s">
        <v>66</v>
      </c>
      <c r="C402" s="41">
        <f t="shared" si="13"/>
        <v>0.472674579078112</v>
      </c>
      <c r="D402" s="42">
        <f t="shared" si="12"/>
        <v>2.2222222222222223</v>
      </c>
      <c r="E402" s="31">
        <v>137</v>
      </c>
      <c r="F402" s="24">
        <v>47</v>
      </c>
      <c r="G402" s="24">
        <v>126</v>
      </c>
      <c r="H402" s="8">
        <v>37</v>
      </c>
      <c r="I402" s="9">
        <v>61</v>
      </c>
      <c r="J402" s="8">
        <v>29.5</v>
      </c>
      <c r="K402" s="8">
        <v>25</v>
      </c>
      <c r="L402" s="25">
        <v>43</v>
      </c>
      <c r="M402" s="8">
        <v>59.1</v>
      </c>
      <c r="N402" s="9">
        <v>18</v>
      </c>
      <c r="O402" s="9">
        <v>58</v>
      </c>
      <c r="P402" s="9">
        <v>76</v>
      </c>
      <c r="Q402" s="24">
        <v>40</v>
      </c>
      <c r="R402" s="24">
        <v>18</v>
      </c>
      <c r="S402" s="9">
        <v>22</v>
      </c>
      <c r="T402" s="9">
        <v>4</v>
      </c>
      <c r="U402" s="9">
        <v>40</v>
      </c>
      <c r="V402" s="8">
        <v>349</v>
      </c>
      <c r="W402" s="8">
        <v>0</v>
      </c>
      <c r="X402" s="8">
        <v>0</v>
      </c>
      <c r="Y402" s="7">
        <v>1.2</v>
      </c>
      <c r="Z402" s="7">
        <v>113.1</v>
      </c>
      <c r="AA402" s="7">
        <v>109.3</v>
      </c>
      <c r="AB402" s="7">
        <v>3.9</v>
      </c>
      <c r="AC402" s="7">
        <v>13.9</v>
      </c>
      <c r="AD402" s="7">
        <v>2.2799999999999998</v>
      </c>
      <c r="AE402" s="7">
        <v>19.899999999999999</v>
      </c>
      <c r="AF402" s="7">
        <v>4.4000000000000004</v>
      </c>
      <c r="AG402" s="7">
        <v>14.7</v>
      </c>
      <c r="AH402" s="7">
        <v>9.3000000000000007</v>
      </c>
      <c r="AI402" s="7">
        <v>8.6999999999999993</v>
      </c>
      <c r="AJ402" s="7">
        <v>44.1</v>
      </c>
      <c r="AK402" s="7">
        <v>47.1</v>
      </c>
      <c r="AL402" s="7">
        <v>16.899999999999999</v>
      </c>
      <c r="AM402" s="7">
        <v>100.14</v>
      </c>
      <c r="AN402" s="7">
        <v>7</v>
      </c>
      <c r="AO402" s="7">
        <v>831</v>
      </c>
    </row>
    <row r="403" spans="1:41">
      <c r="A403" s="6" t="s">
        <v>845</v>
      </c>
      <c r="B403" s="6" t="s">
        <v>82</v>
      </c>
      <c r="C403" s="41">
        <f t="shared" si="13"/>
        <v>0.56685561853951316</v>
      </c>
      <c r="D403" s="42">
        <f t="shared" si="12"/>
        <v>1</v>
      </c>
      <c r="E403" s="31">
        <v>136</v>
      </c>
      <c r="F403" s="24">
        <v>56</v>
      </c>
      <c r="G403" s="24">
        <v>105</v>
      </c>
      <c r="H403" s="8">
        <v>51.9</v>
      </c>
      <c r="I403" s="9">
        <v>19</v>
      </c>
      <c r="J403" s="8">
        <v>15.8</v>
      </c>
      <c r="K403" s="8">
        <v>22</v>
      </c>
      <c r="L403" s="25">
        <v>34</v>
      </c>
      <c r="M403" s="8">
        <v>65.7</v>
      </c>
      <c r="N403" s="9">
        <v>37</v>
      </c>
      <c r="O403" s="9">
        <v>47</v>
      </c>
      <c r="P403" s="9">
        <v>84</v>
      </c>
      <c r="Q403" s="24">
        <v>12</v>
      </c>
      <c r="R403" s="24">
        <v>12</v>
      </c>
      <c r="S403" s="9">
        <v>9</v>
      </c>
      <c r="T403" s="9">
        <v>9</v>
      </c>
      <c r="U403" s="9">
        <v>19</v>
      </c>
      <c r="V403" s="8">
        <v>291</v>
      </c>
      <c r="W403" s="8">
        <v>1</v>
      </c>
      <c r="X403" s="8">
        <v>0</v>
      </c>
      <c r="Y403" s="7">
        <v>-0.3</v>
      </c>
      <c r="Z403" s="7">
        <v>108.2</v>
      </c>
      <c r="AA403" s="7">
        <v>108.8</v>
      </c>
      <c r="AB403" s="7">
        <v>-0.6</v>
      </c>
      <c r="AC403" s="7">
        <v>6.3</v>
      </c>
      <c r="AD403" s="7">
        <v>0.92</v>
      </c>
      <c r="AE403" s="7">
        <v>7.6</v>
      </c>
      <c r="AF403" s="7">
        <v>12.8</v>
      </c>
      <c r="AG403" s="7">
        <v>15.9</v>
      </c>
      <c r="AH403" s="7">
        <v>14.3</v>
      </c>
      <c r="AI403" s="7">
        <v>8.3000000000000007</v>
      </c>
      <c r="AJ403" s="7">
        <v>53.3</v>
      </c>
      <c r="AK403" s="7">
        <v>56</v>
      </c>
      <c r="AL403" s="7">
        <v>20</v>
      </c>
      <c r="AM403" s="7">
        <v>103.88</v>
      </c>
      <c r="AN403" s="7">
        <v>12.3</v>
      </c>
      <c r="AO403" s="7">
        <v>571</v>
      </c>
    </row>
    <row r="404" spans="1:41">
      <c r="A404" s="6" t="s">
        <v>847</v>
      </c>
      <c r="B404" s="6" t="s">
        <v>116</v>
      </c>
      <c r="C404" s="41">
        <f t="shared" si="13"/>
        <v>0.4964953271028037</v>
      </c>
      <c r="D404" s="42">
        <f t="shared" si="12"/>
        <v>2.9375</v>
      </c>
      <c r="E404" s="31">
        <v>136</v>
      </c>
      <c r="F404" s="24">
        <v>53</v>
      </c>
      <c r="G404" s="24">
        <v>133</v>
      </c>
      <c r="H404" s="8">
        <v>39.1</v>
      </c>
      <c r="I404" s="9">
        <v>74</v>
      </c>
      <c r="J404" s="8">
        <v>33.799999999999997</v>
      </c>
      <c r="K404" s="8">
        <v>6</v>
      </c>
      <c r="L404" s="25">
        <v>9</v>
      </c>
      <c r="M404" s="8">
        <v>77.8</v>
      </c>
      <c r="N404" s="9">
        <v>9</v>
      </c>
      <c r="O404" s="9">
        <v>34</v>
      </c>
      <c r="P404" s="9">
        <v>43</v>
      </c>
      <c r="Q404" s="24">
        <v>47</v>
      </c>
      <c r="R404" s="24">
        <v>16</v>
      </c>
      <c r="S404" s="9">
        <v>16</v>
      </c>
      <c r="T404" s="9">
        <v>3</v>
      </c>
      <c r="U404" s="9">
        <v>34</v>
      </c>
      <c r="V404" s="8">
        <v>295</v>
      </c>
      <c r="W404" s="8">
        <v>0</v>
      </c>
      <c r="X404" s="8">
        <v>0</v>
      </c>
      <c r="Y404" s="7">
        <v>-0.6</v>
      </c>
      <c r="Z404" s="7">
        <v>108.3</v>
      </c>
      <c r="AA404" s="7">
        <v>111.8</v>
      </c>
      <c r="AB404" s="7">
        <v>-3.5</v>
      </c>
      <c r="AC404" s="7">
        <v>17.2</v>
      </c>
      <c r="AD404" s="7">
        <v>2.65</v>
      </c>
      <c r="AE404" s="7">
        <v>22.6</v>
      </c>
      <c r="AF404" s="7">
        <v>2</v>
      </c>
      <c r="AG404" s="7">
        <v>9.3000000000000007</v>
      </c>
      <c r="AH404" s="7">
        <v>5.5</v>
      </c>
      <c r="AI404" s="7">
        <v>8.5</v>
      </c>
      <c r="AJ404" s="7">
        <v>48.5</v>
      </c>
      <c r="AK404" s="7">
        <v>49.6</v>
      </c>
      <c r="AL404" s="7">
        <v>17</v>
      </c>
      <c r="AM404" s="7">
        <v>98.88</v>
      </c>
      <c r="AN404" s="7">
        <v>6.7</v>
      </c>
      <c r="AO404" s="7">
        <v>795</v>
      </c>
    </row>
    <row r="405" spans="1:41">
      <c r="A405" s="6" t="s">
        <v>849</v>
      </c>
      <c r="B405" s="6" t="s">
        <v>66</v>
      </c>
      <c r="C405" s="41">
        <f t="shared" si="13"/>
        <v>0.68108974358974361</v>
      </c>
      <c r="D405" s="42">
        <f t="shared" si="12"/>
        <v>0.75</v>
      </c>
      <c r="E405" s="31">
        <v>136</v>
      </c>
      <c r="F405" s="24">
        <v>56</v>
      </c>
      <c r="G405" s="24">
        <v>84</v>
      </c>
      <c r="H405" s="8">
        <v>65.099999999999994</v>
      </c>
      <c r="I405" s="9">
        <v>8</v>
      </c>
      <c r="J405" s="8">
        <v>37.5</v>
      </c>
      <c r="K405" s="8">
        <v>24</v>
      </c>
      <c r="L405" s="25">
        <v>36</v>
      </c>
      <c r="M405" s="8">
        <v>63.9</v>
      </c>
      <c r="N405" s="9">
        <v>24</v>
      </c>
      <c r="O405" s="9">
        <v>36</v>
      </c>
      <c r="P405" s="9">
        <v>56</v>
      </c>
      <c r="Q405" s="24">
        <v>12</v>
      </c>
      <c r="R405" s="24">
        <v>16</v>
      </c>
      <c r="S405" s="9">
        <v>4</v>
      </c>
      <c r="T405" s="9">
        <v>12</v>
      </c>
      <c r="U405" s="9">
        <v>32</v>
      </c>
      <c r="V405" s="8">
        <v>248</v>
      </c>
      <c r="W405" s="8">
        <v>0</v>
      </c>
      <c r="X405" s="8">
        <v>0</v>
      </c>
      <c r="Y405" s="7">
        <v>-1.6</v>
      </c>
      <c r="Z405" s="7">
        <v>104.6</v>
      </c>
      <c r="AA405" s="7">
        <v>115.1</v>
      </c>
      <c r="AB405" s="7">
        <v>-10.5</v>
      </c>
      <c r="AC405" s="7">
        <v>5.7</v>
      </c>
      <c r="AD405" s="7">
        <v>0.75</v>
      </c>
      <c r="AE405" s="7">
        <v>9.5</v>
      </c>
      <c r="AF405" s="7">
        <v>7.1</v>
      </c>
      <c r="AG405" s="7">
        <v>12</v>
      </c>
      <c r="AH405" s="7">
        <v>9.5</v>
      </c>
      <c r="AI405" s="7">
        <v>12.7</v>
      </c>
      <c r="AJ405" s="7">
        <v>66.900000000000006</v>
      </c>
      <c r="AK405" s="7">
        <v>67.8</v>
      </c>
      <c r="AL405" s="7">
        <v>15.2</v>
      </c>
      <c r="AM405" s="7">
        <v>102.68</v>
      </c>
      <c r="AN405" s="7">
        <v>8.6999999999999993</v>
      </c>
      <c r="AO405" s="7">
        <v>652</v>
      </c>
    </row>
    <row r="406" spans="1:41">
      <c r="A406" s="6" t="s">
        <v>851</v>
      </c>
      <c r="B406" s="6" t="s">
        <v>44</v>
      </c>
      <c r="C406" s="41">
        <f t="shared" si="13"/>
        <v>0.4595588235294118</v>
      </c>
      <c r="D406" s="42">
        <f t="shared" si="12"/>
        <v>2.1851851851851851</v>
      </c>
      <c r="E406" s="31">
        <v>135</v>
      </c>
      <c r="F406" s="24">
        <v>49</v>
      </c>
      <c r="G406" s="24">
        <v>135</v>
      </c>
      <c r="H406" s="8">
        <v>38.299999999999997</v>
      </c>
      <c r="I406" s="9">
        <v>65</v>
      </c>
      <c r="J406" s="8">
        <v>25.4</v>
      </c>
      <c r="K406" s="8">
        <v>16</v>
      </c>
      <c r="L406" s="25">
        <v>27</v>
      </c>
      <c r="M406" s="8">
        <v>60.7</v>
      </c>
      <c r="N406" s="9">
        <v>32</v>
      </c>
      <c r="O406" s="9">
        <v>92</v>
      </c>
      <c r="P406" s="9">
        <v>119</v>
      </c>
      <c r="Q406" s="24">
        <v>59</v>
      </c>
      <c r="R406" s="24">
        <v>27</v>
      </c>
      <c r="S406" s="9">
        <v>16</v>
      </c>
      <c r="T406" s="9">
        <v>5</v>
      </c>
      <c r="U406" s="9">
        <v>54</v>
      </c>
      <c r="V406" s="8">
        <v>400</v>
      </c>
      <c r="W406" s="8">
        <v>1</v>
      </c>
      <c r="X406" s="8">
        <v>0</v>
      </c>
      <c r="Y406" s="7">
        <v>1.4</v>
      </c>
      <c r="Z406" s="7">
        <v>108.9</v>
      </c>
      <c r="AA406" s="7">
        <v>102.9</v>
      </c>
      <c r="AB406" s="7">
        <v>6</v>
      </c>
      <c r="AC406" s="7">
        <v>14.3</v>
      </c>
      <c r="AD406" s="7">
        <v>2.0699999999999998</v>
      </c>
      <c r="AE406" s="7">
        <v>25</v>
      </c>
      <c r="AF406" s="7">
        <v>5</v>
      </c>
      <c r="AG406" s="7">
        <v>15.3</v>
      </c>
      <c r="AH406" s="7">
        <v>10.199999999999999</v>
      </c>
      <c r="AI406" s="7">
        <v>12.1</v>
      </c>
      <c r="AJ406" s="7">
        <v>44.4</v>
      </c>
      <c r="AK406" s="7">
        <v>46.4</v>
      </c>
      <c r="AL406" s="7">
        <v>13.1</v>
      </c>
      <c r="AM406" s="7">
        <v>101.09</v>
      </c>
      <c r="AN406" s="7">
        <v>6.6</v>
      </c>
      <c r="AO406" s="7">
        <v>1164</v>
      </c>
    </row>
    <row r="407" spans="1:41">
      <c r="A407" s="6" t="s">
        <v>853</v>
      </c>
      <c r="B407" s="6" t="s">
        <v>48</v>
      </c>
      <c r="C407" s="41">
        <f t="shared" si="13"/>
        <v>0.49835131894484413</v>
      </c>
      <c r="D407" s="42">
        <f t="shared" si="12"/>
        <v>1.3333333333333333</v>
      </c>
      <c r="E407" s="31">
        <v>133</v>
      </c>
      <c r="F407" s="24">
        <v>46</v>
      </c>
      <c r="G407" s="24">
        <v>122</v>
      </c>
      <c r="H407" s="8">
        <v>37.5</v>
      </c>
      <c r="I407" s="9">
        <v>77</v>
      </c>
      <c r="J407" s="8">
        <v>31.1</v>
      </c>
      <c r="K407" s="8">
        <v>20</v>
      </c>
      <c r="L407" s="25">
        <v>26</v>
      </c>
      <c r="M407" s="8">
        <v>75</v>
      </c>
      <c r="N407" s="9">
        <v>26</v>
      </c>
      <c r="O407" s="9">
        <v>51</v>
      </c>
      <c r="P407" s="9">
        <v>77</v>
      </c>
      <c r="Q407" s="24">
        <v>20</v>
      </c>
      <c r="R407" s="24">
        <v>15</v>
      </c>
      <c r="S407" s="9">
        <v>10</v>
      </c>
      <c r="T407" s="9">
        <v>5</v>
      </c>
      <c r="U407" s="9">
        <v>46</v>
      </c>
      <c r="V407" s="8">
        <v>291</v>
      </c>
      <c r="W407" s="8">
        <v>0</v>
      </c>
      <c r="X407" s="8">
        <v>0</v>
      </c>
      <c r="Y407" s="7">
        <v>-1.9</v>
      </c>
      <c r="Z407" s="7">
        <v>98.5</v>
      </c>
      <c r="AA407" s="7">
        <v>108.7</v>
      </c>
      <c r="AB407" s="7">
        <v>-10.199999999999999</v>
      </c>
      <c r="AC407" s="7">
        <v>7.4</v>
      </c>
      <c r="AD407" s="7">
        <v>1.43</v>
      </c>
      <c r="AE407" s="7">
        <v>12</v>
      </c>
      <c r="AF407" s="7">
        <v>5.5</v>
      </c>
      <c r="AG407" s="7">
        <v>12.4</v>
      </c>
      <c r="AH407" s="7">
        <v>8.8000000000000007</v>
      </c>
      <c r="AI407" s="7">
        <v>8.4</v>
      </c>
      <c r="AJ407" s="7">
        <v>47.1</v>
      </c>
      <c r="AK407" s="7">
        <v>50.6</v>
      </c>
      <c r="AL407" s="7">
        <v>14.6</v>
      </c>
      <c r="AM407" s="7">
        <v>104.6</v>
      </c>
      <c r="AN407" s="7">
        <v>5.7</v>
      </c>
      <c r="AO407" s="7">
        <v>867</v>
      </c>
    </row>
    <row r="408" spans="1:41">
      <c r="A408" s="6" t="s">
        <v>855</v>
      </c>
      <c r="B408" s="6" t="s">
        <v>114</v>
      </c>
      <c r="C408" s="41">
        <f t="shared" si="13"/>
        <v>0.58479532163742687</v>
      </c>
      <c r="D408" s="42">
        <f t="shared" si="12"/>
        <v>1.5</v>
      </c>
      <c r="E408" s="31">
        <v>128</v>
      </c>
      <c r="F408" s="24">
        <v>41</v>
      </c>
      <c r="G408" s="24">
        <v>87</v>
      </c>
      <c r="H408" s="8">
        <v>48.9</v>
      </c>
      <c r="I408" s="9">
        <v>31</v>
      </c>
      <c r="J408" s="8">
        <v>32.299999999999997</v>
      </c>
      <c r="K408" s="8">
        <v>31</v>
      </c>
      <c r="L408" s="25">
        <v>51</v>
      </c>
      <c r="M408" s="8">
        <v>66</v>
      </c>
      <c r="N408" s="9">
        <v>20</v>
      </c>
      <c r="O408" s="9">
        <v>46</v>
      </c>
      <c r="P408" s="9">
        <v>66</v>
      </c>
      <c r="Q408" s="24">
        <v>15</v>
      </c>
      <c r="R408" s="24">
        <v>10</v>
      </c>
      <c r="S408" s="9">
        <v>10</v>
      </c>
      <c r="T408" s="8">
        <v>0</v>
      </c>
      <c r="U408" s="9">
        <v>31</v>
      </c>
      <c r="V408" s="8">
        <v>255</v>
      </c>
      <c r="W408" s="8">
        <v>0</v>
      </c>
      <c r="X408" s="8">
        <v>0</v>
      </c>
      <c r="Y408" s="7">
        <v>-1.4</v>
      </c>
      <c r="Z408" s="7">
        <v>101.9</v>
      </c>
      <c r="AA408" s="7">
        <v>109.7</v>
      </c>
      <c r="AB408" s="7">
        <v>-7.8</v>
      </c>
      <c r="AC408" s="7">
        <v>5.9</v>
      </c>
      <c r="AD408" s="7">
        <v>1.6</v>
      </c>
      <c r="AE408" s="7">
        <v>11.9</v>
      </c>
      <c r="AF408" s="7">
        <v>4.2</v>
      </c>
      <c r="AG408" s="7">
        <v>11.1</v>
      </c>
      <c r="AH408" s="7">
        <v>7.7</v>
      </c>
      <c r="AI408" s="7">
        <v>7.4</v>
      </c>
      <c r="AJ408" s="7">
        <v>54.5</v>
      </c>
      <c r="AK408" s="7">
        <v>58.6</v>
      </c>
      <c r="AL408" s="7">
        <v>12.4</v>
      </c>
      <c r="AM408" s="7">
        <v>101.23</v>
      </c>
      <c r="AN408" s="7">
        <v>7.1</v>
      </c>
      <c r="AO408" s="7">
        <v>835</v>
      </c>
    </row>
    <row r="409" spans="1:41">
      <c r="A409" s="6" t="s">
        <v>857</v>
      </c>
      <c r="B409" s="6" t="s">
        <v>64</v>
      </c>
      <c r="C409" s="41">
        <f t="shared" si="13"/>
        <v>0.43490460157126826</v>
      </c>
      <c r="D409" s="42">
        <f t="shared" si="12"/>
        <v>3.1666666666666665</v>
      </c>
      <c r="E409" s="31">
        <v>124</v>
      </c>
      <c r="F409" s="24">
        <v>44</v>
      </c>
      <c r="G409" s="24">
        <v>132</v>
      </c>
      <c r="H409" s="8">
        <v>34.4</v>
      </c>
      <c r="I409" s="9">
        <v>72</v>
      </c>
      <c r="J409" s="8">
        <v>27.4</v>
      </c>
      <c r="K409" s="8">
        <v>16</v>
      </c>
      <c r="L409" s="25">
        <v>24</v>
      </c>
      <c r="M409" s="8">
        <v>60</v>
      </c>
      <c r="N409" s="9">
        <v>28</v>
      </c>
      <c r="O409" s="9">
        <v>40</v>
      </c>
      <c r="P409" s="9">
        <v>68</v>
      </c>
      <c r="Q409" s="24">
        <v>76</v>
      </c>
      <c r="R409" s="24">
        <v>24</v>
      </c>
      <c r="S409" s="9">
        <v>36</v>
      </c>
      <c r="T409" s="9">
        <v>12</v>
      </c>
      <c r="U409" s="9">
        <v>24</v>
      </c>
      <c r="V409" s="8">
        <v>440</v>
      </c>
      <c r="W409" s="8">
        <v>0</v>
      </c>
      <c r="X409" s="8">
        <v>0</v>
      </c>
      <c r="Y409" s="7">
        <v>0</v>
      </c>
      <c r="Z409" s="7">
        <v>106.1</v>
      </c>
      <c r="AA409" s="7">
        <v>106.3</v>
      </c>
      <c r="AB409" s="7">
        <v>-0.2</v>
      </c>
      <c r="AC409" s="7">
        <v>16.2</v>
      </c>
      <c r="AD409" s="7">
        <v>3.5</v>
      </c>
      <c r="AE409" s="7">
        <v>31.8</v>
      </c>
      <c r="AF409" s="7">
        <v>4.2</v>
      </c>
      <c r="AG409" s="7">
        <v>6.1</v>
      </c>
      <c r="AH409" s="7">
        <v>5.0999999999999996</v>
      </c>
      <c r="AI409" s="7">
        <v>9.1</v>
      </c>
      <c r="AJ409" s="7">
        <v>42</v>
      </c>
      <c r="AK409" s="7">
        <v>44</v>
      </c>
      <c r="AL409" s="7">
        <v>11.1</v>
      </c>
      <c r="AM409" s="7">
        <v>98.84</v>
      </c>
      <c r="AN409" s="7">
        <v>6.1</v>
      </c>
      <c r="AO409" s="7">
        <v>1308</v>
      </c>
    </row>
    <row r="410" spans="1:41">
      <c r="A410" s="6" t="s">
        <v>859</v>
      </c>
      <c r="B410" s="6" t="s">
        <v>56</v>
      </c>
      <c r="C410" s="41">
        <f t="shared" si="13"/>
        <v>0.48753196930946291</v>
      </c>
      <c r="D410" s="42">
        <f t="shared" si="12"/>
        <v>1.6428571428571428</v>
      </c>
      <c r="E410" s="31">
        <v>122</v>
      </c>
      <c r="F410" s="24">
        <v>41</v>
      </c>
      <c r="G410" s="24">
        <v>115</v>
      </c>
      <c r="H410" s="8">
        <v>35.700000000000003</v>
      </c>
      <c r="I410" s="9">
        <v>67</v>
      </c>
      <c r="J410" s="8">
        <v>35.799999999999997</v>
      </c>
      <c r="K410" s="8">
        <v>16</v>
      </c>
      <c r="L410" s="25">
        <v>23</v>
      </c>
      <c r="M410" s="8">
        <v>69.599999999999994</v>
      </c>
      <c r="N410" s="9">
        <v>23</v>
      </c>
      <c r="O410" s="9">
        <v>71</v>
      </c>
      <c r="P410" s="9">
        <v>94</v>
      </c>
      <c r="Q410" s="24">
        <v>23</v>
      </c>
      <c r="R410" s="24">
        <v>14</v>
      </c>
      <c r="S410" s="9">
        <v>16</v>
      </c>
      <c r="T410" s="9">
        <v>5</v>
      </c>
      <c r="U410" s="9">
        <v>21</v>
      </c>
      <c r="V410" s="8">
        <v>311</v>
      </c>
      <c r="W410" s="8">
        <v>0</v>
      </c>
      <c r="X410" s="8">
        <v>0</v>
      </c>
      <c r="Y410" s="7">
        <v>-1.1000000000000001</v>
      </c>
      <c r="Z410" s="7">
        <v>108.7</v>
      </c>
      <c r="AA410" s="7">
        <v>112.3</v>
      </c>
      <c r="AB410" s="7">
        <v>-3.6</v>
      </c>
      <c r="AC410" s="7">
        <v>13.4</v>
      </c>
      <c r="AD410" s="7">
        <v>1.57</v>
      </c>
      <c r="AE410" s="7">
        <v>13.6</v>
      </c>
      <c r="AF410" s="7">
        <v>8</v>
      </c>
      <c r="AG410" s="7">
        <v>28.2</v>
      </c>
      <c r="AH410" s="7">
        <v>17.7</v>
      </c>
      <c r="AI410" s="7">
        <v>8.6</v>
      </c>
      <c r="AJ410" s="7">
        <v>46.1</v>
      </c>
      <c r="AK410" s="7">
        <v>48.8</v>
      </c>
      <c r="AL410" s="7">
        <v>23</v>
      </c>
      <c r="AM410" s="7">
        <v>103.56</v>
      </c>
      <c r="AN410" s="7">
        <v>10.9</v>
      </c>
      <c r="AO410" s="7">
        <v>540</v>
      </c>
    </row>
    <row r="411" spans="1:41">
      <c r="A411" s="6" t="s">
        <v>861</v>
      </c>
      <c r="B411" s="6" t="s">
        <v>44</v>
      </c>
      <c r="C411" s="41">
        <f t="shared" si="13"/>
        <v>0.58451513990034498</v>
      </c>
      <c r="D411" s="42">
        <f t="shared" si="12"/>
        <v>2.1666666666666665</v>
      </c>
      <c r="E411" s="31">
        <v>122</v>
      </c>
      <c r="F411" s="24">
        <v>42</v>
      </c>
      <c r="G411" s="24">
        <v>96</v>
      </c>
      <c r="H411" s="8">
        <v>44.3</v>
      </c>
      <c r="I411" s="9">
        <v>67</v>
      </c>
      <c r="J411" s="8">
        <v>33.299999999999997</v>
      </c>
      <c r="K411" s="8">
        <v>13</v>
      </c>
      <c r="L411" s="25">
        <v>19</v>
      </c>
      <c r="M411" s="8">
        <v>77.8</v>
      </c>
      <c r="N411" s="9">
        <v>16</v>
      </c>
      <c r="O411" s="9">
        <v>38</v>
      </c>
      <c r="P411" s="9">
        <v>54</v>
      </c>
      <c r="Q411" s="24">
        <v>13</v>
      </c>
      <c r="R411" s="24">
        <v>6</v>
      </c>
      <c r="S411" s="9">
        <v>6</v>
      </c>
      <c r="T411" s="9">
        <v>22</v>
      </c>
      <c r="U411" s="9">
        <v>22</v>
      </c>
      <c r="V411" s="8">
        <v>278</v>
      </c>
      <c r="W411" s="8">
        <v>1</v>
      </c>
      <c r="X411" s="8">
        <v>0</v>
      </c>
      <c r="Y411" s="7">
        <v>1.3</v>
      </c>
      <c r="Z411" s="7">
        <v>115.1</v>
      </c>
      <c r="AA411" s="7">
        <v>105.8</v>
      </c>
      <c r="AB411" s="7">
        <v>9.4</v>
      </c>
      <c r="AC411" s="7">
        <v>7.7</v>
      </c>
      <c r="AD411" s="7">
        <v>2</v>
      </c>
      <c r="AE411" s="7">
        <v>11.1</v>
      </c>
      <c r="AF411" s="7">
        <v>6.4</v>
      </c>
      <c r="AG411" s="7">
        <v>13.1</v>
      </c>
      <c r="AH411" s="7">
        <v>9.9</v>
      </c>
      <c r="AI411" s="7">
        <v>5.6</v>
      </c>
      <c r="AJ411" s="7">
        <v>55.7</v>
      </c>
      <c r="AK411" s="7">
        <v>58.1</v>
      </c>
      <c r="AL411" s="7">
        <v>18.5</v>
      </c>
      <c r="AM411" s="7">
        <v>103.83</v>
      </c>
      <c r="AN411" s="7">
        <v>10.1</v>
      </c>
      <c r="AO411" s="7">
        <v>529</v>
      </c>
    </row>
    <row r="412" spans="1:41">
      <c r="A412" s="6" t="s">
        <v>863</v>
      </c>
      <c r="B412" s="6" t="s">
        <v>146</v>
      </c>
      <c r="C412" s="41">
        <f t="shared" si="13"/>
        <v>0.52513774104683197</v>
      </c>
      <c r="D412" s="42">
        <f t="shared" si="12"/>
        <v>1.2608695652173914</v>
      </c>
      <c r="E412" s="31">
        <v>122</v>
      </c>
      <c r="F412" s="24">
        <v>47</v>
      </c>
      <c r="G412" s="24">
        <v>99</v>
      </c>
      <c r="H412" s="8">
        <v>46.9</v>
      </c>
      <c r="I412" s="9">
        <v>16</v>
      </c>
      <c r="J412" s="8">
        <v>12.5</v>
      </c>
      <c r="K412" s="8">
        <v>29</v>
      </c>
      <c r="L412" s="25">
        <v>39</v>
      </c>
      <c r="M412" s="8">
        <v>76.3</v>
      </c>
      <c r="N412" s="9">
        <v>52</v>
      </c>
      <c r="O412" s="9">
        <v>70</v>
      </c>
      <c r="P412" s="9">
        <v>122</v>
      </c>
      <c r="Q412" s="24">
        <v>29</v>
      </c>
      <c r="R412" s="24">
        <v>23</v>
      </c>
      <c r="S412" s="9">
        <v>8</v>
      </c>
      <c r="T412" s="9">
        <v>10</v>
      </c>
      <c r="U412" s="9">
        <v>52</v>
      </c>
      <c r="V412" s="8">
        <v>343</v>
      </c>
      <c r="W412" s="8">
        <v>0</v>
      </c>
      <c r="X412" s="8">
        <v>0</v>
      </c>
      <c r="Y412" s="7">
        <v>-1.2</v>
      </c>
      <c r="Z412" s="7">
        <v>106.1</v>
      </c>
      <c r="AA412" s="7">
        <v>108.2</v>
      </c>
      <c r="AB412" s="7">
        <v>-2.1</v>
      </c>
      <c r="AC412" s="7">
        <v>9.1999999999999993</v>
      </c>
      <c r="AD412" s="7">
        <v>1.22</v>
      </c>
      <c r="AE412" s="7">
        <v>16.899999999999999</v>
      </c>
      <c r="AF412" s="7">
        <v>10.4</v>
      </c>
      <c r="AG412" s="7">
        <v>14.3</v>
      </c>
      <c r="AH412" s="7">
        <v>12.3</v>
      </c>
      <c r="AI412" s="7">
        <v>13.9</v>
      </c>
      <c r="AJ412" s="7">
        <v>48</v>
      </c>
      <c r="AK412" s="7">
        <v>53.6</v>
      </c>
      <c r="AL412" s="7">
        <v>12.5</v>
      </c>
      <c r="AM412" s="7">
        <v>102.22</v>
      </c>
      <c r="AN412" s="7">
        <v>7.4</v>
      </c>
      <c r="AO412" s="7">
        <v>915</v>
      </c>
    </row>
    <row r="413" spans="1:41">
      <c r="A413" s="6" t="s">
        <v>865</v>
      </c>
      <c r="B413" s="6" t="s">
        <v>140</v>
      </c>
      <c r="C413" s="41">
        <f t="shared" si="13"/>
        <v>0.49603174603174599</v>
      </c>
      <c r="D413" s="42">
        <f t="shared" si="12"/>
        <v>1.5555555555555556</v>
      </c>
      <c r="E413" s="31">
        <v>120</v>
      </c>
      <c r="F413" s="24">
        <v>42</v>
      </c>
      <c r="G413" s="24">
        <v>106</v>
      </c>
      <c r="H413" s="8">
        <v>39</v>
      </c>
      <c r="I413" s="9">
        <v>34</v>
      </c>
      <c r="J413" s="8">
        <v>39.4</v>
      </c>
      <c r="K413" s="8">
        <v>26</v>
      </c>
      <c r="L413" s="25">
        <v>34</v>
      </c>
      <c r="M413" s="8">
        <v>73.5</v>
      </c>
      <c r="N413" s="9">
        <v>14</v>
      </c>
      <c r="O413" s="9">
        <v>18</v>
      </c>
      <c r="P413" s="9">
        <v>32</v>
      </c>
      <c r="Q413" s="24">
        <v>28</v>
      </c>
      <c r="R413" s="24">
        <v>18</v>
      </c>
      <c r="S413" s="9">
        <v>12</v>
      </c>
      <c r="T413" s="8">
        <v>0</v>
      </c>
      <c r="U413" s="9">
        <v>22</v>
      </c>
      <c r="V413" s="8">
        <v>216</v>
      </c>
      <c r="W413" s="8">
        <v>0</v>
      </c>
      <c r="X413" s="8">
        <v>0</v>
      </c>
      <c r="Y413" s="7">
        <v>-0.3</v>
      </c>
      <c r="Z413" s="7">
        <v>100</v>
      </c>
      <c r="AA413" s="7">
        <v>102.6</v>
      </c>
      <c r="AB413" s="7">
        <v>-2.6</v>
      </c>
      <c r="AC413" s="7">
        <v>18.7</v>
      </c>
      <c r="AD413" s="7">
        <v>1.56</v>
      </c>
      <c r="AE413" s="7">
        <v>16.8</v>
      </c>
      <c r="AF413" s="7">
        <v>5.0999999999999996</v>
      </c>
      <c r="AG413" s="7">
        <v>7.1</v>
      </c>
      <c r="AH413" s="7">
        <v>6</v>
      </c>
      <c r="AI413" s="7">
        <v>10.8</v>
      </c>
      <c r="AJ413" s="7">
        <v>45.2</v>
      </c>
      <c r="AK413" s="7">
        <v>50</v>
      </c>
      <c r="AL413" s="7">
        <v>22</v>
      </c>
      <c r="AM413" s="7">
        <v>98.35</v>
      </c>
      <c r="AN413" s="7">
        <v>7.7</v>
      </c>
      <c r="AO413" s="7">
        <v>548</v>
      </c>
    </row>
    <row r="414" spans="1:41">
      <c r="A414" s="6" t="s">
        <v>867</v>
      </c>
      <c r="B414" s="6" t="s">
        <v>46</v>
      </c>
      <c r="C414" s="41">
        <f t="shared" si="13"/>
        <v>0.60048038430744599</v>
      </c>
      <c r="D414" s="42">
        <f t="shared" si="12"/>
        <v>2</v>
      </c>
      <c r="E414" s="31">
        <v>120</v>
      </c>
      <c r="F414" s="24">
        <v>46</v>
      </c>
      <c r="G414" s="24">
        <v>92</v>
      </c>
      <c r="H414" s="8">
        <v>48.9</v>
      </c>
      <c r="I414" s="9">
        <v>41</v>
      </c>
      <c r="J414" s="8">
        <v>32.6</v>
      </c>
      <c r="K414" s="8">
        <v>18</v>
      </c>
      <c r="L414" s="25">
        <v>18</v>
      </c>
      <c r="M414" s="8">
        <v>89.5</v>
      </c>
      <c r="N414" s="9">
        <v>14</v>
      </c>
      <c r="O414" s="9">
        <v>37</v>
      </c>
      <c r="P414" s="9">
        <v>46</v>
      </c>
      <c r="Q414" s="24">
        <v>18</v>
      </c>
      <c r="R414" s="24">
        <v>9</v>
      </c>
      <c r="S414" s="9">
        <v>14</v>
      </c>
      <c r="T414" s="9">
        <v>14</v>
      </c>
      <c r="U414" s="9">
        <v>32</v>
      </c>
      <c r="V414" s="8">
        <v>271</v>
      </c>
      <c r="W414" s="8">
        <v>0</v>
      </c>
      <c r="X414" s="8">
        <v>0</v>
      </c>
      <c r="Y414" s="7">
        <v>-0.3</v>
      </c>
      <c r="Z414" s="7">
        <v>104</v>
      </c>
      <c r="AA414" s="7">
        <v>107</v>
      </c>
      <c r="AB414" s="7">
        <v>-3</v>
      </c>
      <c r="AC414" s="7">
        <v>9.6</v>
      </c>
      <c r="AD414" s="7">
        <v>1.64</v>
      </c>
      <c r="AE414" s="7">
        <v>14.2</v>
      </c>
      <c r="AF414" s="7">
        <v>4.4000000000000004</v>
      </c>
      <c r="AG414" s="7">
        <v>11.5</v>
      </c>
      <c r="AH414" s="7">
        <v>8.1</v>
      </c>
      <c r="AI414" s="7">
        <v>8.6999999999999993</v>
      </c>
      <c r="AJ414" s="7">
        <v>56.7</v>
      </c>
      <c r="AK414" s="7">
        <v>60.5</v>
      </c>
      <c r="AL414" s="7">
        <v>16</v>
      </c>
      <c r="AM414" s="7">
        <v>104.77</v>
      </c>
      <c r="AN414" s="7">
        <v>9.5</v>
      </c>
      <c r="AO414" s="7">
        <v>604</v>
      </c>
    </row>
    <row r="415" spans="1:41">
      <c r="A415" s="6" t="s">
        <v>869</v>
      </c>
      <c r="B415" s="6" t="s">
        <v>146</v>
      </c>
      <c r="C415" s="41">
        <f t="shared" si="13"/>
        <v>0.60204081632653061</v>
      </c>
      <c r="D415" s="42">
        <f t="shared" si="12"/>
        <v>1.875</v>
      </c>
      <c r="E415" s="31">
        <v>118</v>
      </c>
      <c r="F415" s="24">
        <v>42</v>
      </c>
      <c r="G415" s="24">
        <v>87</v>
      </c>
      <c r="H415" s="8">
        <v>48.3</v>
      </c>
      <c r="I415" s="9">
        <v>39</v>
      </c>
      <c r="J415" s="8">
        <v>30.8</v>
      </c>
      <c r="K415" s="8">
        <v>22</v>
      </c>
      <c r="L415" s="25">
        <v>25</v>
      </c>
      <c r="M415" s="8">
        <v>88</v>
      </c>
      <c r="N415" s="9">
        <v>14</v>
      </c>
      <c r="O415" s="9">
        <v>28</v>
      </c>
      <c r="P415" s="9">
        <v>42</v>
      </c>
      <c r="Q415" s="24">
        <v>15</v>
      </c>
      <c r="R415" s="24">
        <v>8</v>
      </c>
      <c r="S415" s="9">
        <v>10</v>
      </c>
      <c r="T415" s="9">
        <v>1</v>
      </c>
      <c r="U415" s="9">
        <v>20</v>
      </c>
      <c r="V415" s="8">
        <v>220</v>
      </c>
      <c r="W415" s="8">
        <v>1</v>
      </c>
      <c r="X415" s="8">
        <v>0</v>
      </c>
      <c r="Y415" s="7">
        <v>4.5999999999999996</v>
      </c>
      <c r="Z415" s="7">
        <v>118.1</v>
      </c>
      <c r="AA415" s="7">
        <v>103.4</v>
      </c>
      <c r="AB415" s="7">
        <v>14.7</v>
      </c>
      <c r="AC415" s="7">
        <v>9.8000000000000007</v>
      </c>
      <c r="AD415" s="7">
        <v>1.78</v>
      </c>
      <c r="AE415" s="7">
        <v>12.9</v>
      </c>
      <c r="AF415" s="7">
        <v>5.2</v>
      </c>
      <c r="AG415" s="7">
        <v>11.3</v>
      </c>
      <c r="AH415" s="7">
        <v>8.1999999999999993</v>
      </c>
      <c r="AI415" s="7">
        <v>7.3</v>
      </c>
      <c r="AJ415" s="7">
        <v>55.2</v>
      </c>
      <c r="AK415" s="7">
        <v>60.2</v>
      </c>
      <c r="AL415" s="7">
        <v>18.3</v>
      </c>
      <c r="AM415" s="7">
        <v>103.89</v>
      </c>
      <c r="AN415" s="7">
        <v>10.6</v>
      </c>
      <c r="AO415" s="7">
        <v>486</v>
      </c>
    </row>
    <row r="416" spans="1:41">
      <c r="A416" s="6" t="s">
        <v>871</v>
      </c>
      <c r="B416" s="6" t="s">
        <v>144</v>
      </c>
      <c r="C416" s="41">
        <f t="shared" si="13"/>
        <v>0.72175211548033846</v>
      </c>
      <c r="D416" s="42">
        <f t="shared" si="12"/>
        <v>3.2352941176470589</v>
      </c>
      <c r="E416" s="31">
        <v>116</v>
      </c>
      <c r="F416" s="24">
        <v>44</v>
      </c>
      <c r="G416" s="24">
        <v>61</v>
      </c>
      <c r="H416" s="8">
        <v>68.900000000000006</v>
      </c>
      <c r="I416" s="9">
        <v>6</v>
      </c>
      <c r="J416" s="8">
        <v>40</v>
      </c>
      <c r="K416" s="8">
        <v>28</v>
      </c>
      <c r="L416" s="25">
        <v>44</v>
      </c>
      <c r="M416" s="8">
        <v>65.099999999999994</v>
      </c>
      <c r="N416" s="9">
        <v>50</v>
      </c>
      <c r="O416" s="9">
        <v>72</v>
      </c>
      <c r="P416" s="9">
        <v>116</v>
      </c>
      <c r="Q416" s="24">
        <v>55</v>
      </c>
      <c r="R416" s="24">
        <v>17</v>
      </c>
      <c r="S416" s="9">
        <v>17</v>
      </c>
      <c r="T416" s="9">
        <v>22</v>
      </c>
      <c r="U416" s="9">
        <v>77</v>
      </c>
      <c r="V416" s="8">
        <v>435</v>
      </c>
      <c r="W416" s="8">
        <v>0</v>
      </c>
      <c r="X416" s="8">
        <v>0</v>
      </c>
      <c r="Y416" s="7">
        <v>-0.3</v>
      </c>
      <c r="Z416" s="7">
        <v>108.6</v>
      </c>
      <c r="AA416" s="7">
        <v>109.7</v>
      </c>
      <c r="AB416" s="7">
        <v>-1.1000000000000001</v>
      </c>
      <c r="AC416" s="7">
        <v>13</v>
      </c>
      <c r="AD416" s="7">
        <v>3.06</v>
      </c>
      <c r="AE416" s="7">
        <v>36.200000000000003</v>
      </c>
      <c r="AF416" s="7">
        <v>8.4</v>
      </c>
      <c r="AG416" s="7">
        <v>13.1</v>
      </c>
      <c r="AH416" s="7">
        <v>10.7</v>
      </c>
      <c r="AI416" s="7">
        <v>11.8</v>
      </c>
      <c r="AJ416" s="7">
        <v>70.5</v>
      </c>
      <c r="AK416" s="7">
        <v>71.3</v>
      </c>
      <c r="AL416" s="7">
        <v>7.3</v>
      </c>
      <c r="AM416" s="7">
        <v>102.17</v>
      </c>
      <c r="AN416" s="7">
        <v>7.3</v>
      </c>
      <c r="AO416" s="7">
        <v>1172</v>
      </c>
    </row>
    <row r="417" spans="1:41">
      <c r="A417" s="6" t="s">
        <v>873</v>
      </c>
      <c r="B417" s="6" t="s">
        <v>122</v>
      </c>
      <c r="C417" s="41">
        <f t="shared" si="13"/>
        <v>0.67504655493482313</v>
      </c>
      <c r="D417" s="42">
        <f t="shared" si="12"/>
        <v>1.2222222222222223</v>
      </c>
      <c r="E417" s="31">
        <v>116</v>
      </c>
      <c r="F417" s="24">
        <v>50</v>
      </c>
      <c r="G417" s="24">
        <v>78</v>
      </c>
      <c r="H417" s="8">
        <v>64.099999999999994</v>
      </c>
      <c r="I417" s="9">
        <v>4</v>
      </c>
      <c r="J417" s="8">
        <v>33.299999999999997</v>
      </c>
      <c r="K417" s="8">
        <v>16</v>
      </c>
      <c r="L417" s="25">
        <v>18</v>
      </c>
      <c r="M417" s="8">
        <v>88.2</v>
      </c>
      <c r="N417" s="9">
        <v>36</v>
      </c>
      <c r="O417" s="9">
        <v>84</v>
      </c>
      <c r="P417" s="9">
        <v>118</v>
      </c>
      <c r="Q417" s="24">
        <v>22</v>
      </c>
      <c r="R417" s="24">
        <v>18</v>
      </c>
      <c r="S417" s="9">
        <v>14</v>
      </c>
      <c r="T417" s="9">
        <v>34</v>
      </c>
      <c r="U417" s="9">
        <v>32</v>
      </c>
      <c r="V417" s="8">
        <v>410</v>
      </c>
      <c r="W417" s="8">
        <v>0</v>
      </c>
      <c r="X417" s="8">
        <v>0</v>
      </c>
      <c r="Y417" s="7">
        <v>-0.9</v>
      </c>
      <c r="Z417" s="7">
        <v>106.3</v>
      </c>
      <c r="AA417" s="7">
        <v>108.3</v>
      </c>
      <c r="AB417" s="7">
        <v>-2</v>
      </c>
      <c r="AC417" s="7">
        <v>9</v>
      </c>
      <c r="AD417" s="7">
        <v>1.24</v>
      </c>
      <c r="AE417" s="7">
        <v>17.100000000000001</v>
      </c>
      <c r="AF417" s="7">
        <v>9.6999999999999993</v>
      </c>
      <c r="AG417" s="7">
        <v>21.7</v>
      </c>
      <c r="AH417" s="7">
        <v>15.9</v>
      </c>
      <c r="AI417" s="7">
        <v>13.8</v>
      </c>
      <c r="AJ417" s="7">
        <v>64.7</v>
      </c>
      <c r="AK417" s="7">
        <v>67.900000000000006</v>
      </c>
      <c r="AL417" s="7">
        <v>12</v>
      </c>
      <c r="AM417" s="7">
        <v>100.69</v>
      </c>
      <c r="AN417" s="7">
        <v>13.7</v>
      </c>
      <c r="AO417" s="7">
        <v>736</v>
      </c>
    </row>
    <row r="418" spans="1:41">
      <c r="A418" s="6" t="s">
        <v>875</v>
      </c>
      <c r="B418" s="6" t="s">
        <v>196</v>
      </c>
      <c r="C418" s="41">
        <f t="shared" si="13"/>
        <v>0.50509486999297259</v>
      </c>
      <c r="D418" s="42">
        <f t="shared" si="12"/>
        <v>1.4285714285714286</v>
      </c>
      <c r="E418" s="31">
        <v>115</v>
      </c>
      <c r="F418" s="24">
        <v>45</v>
      </c>
      <c r="G418" s="24">
        <v>109</v>
      </c>
      <c r="H418" s="8">
        <v>41.7</v>
      </c>
      <c r="I418" s="9">
        <v>50</v>
      </c>
      <c r="J418" s="8">
        <v>38</v>
      </c>
      <c r="K418" s="8">
        <v>8</v>
      </c>
      <c r="L418" s="25">
        <v>11</v>
      </c>
      <c r="M418" s="8">
        <v>70</v>
      </c>
      <c r="N418" s="9">
        <v>17</v>
      </c>
      <c r="O418" s="9">
        <v>36</v>
      </c>
      <c r="P418" s="9">
        <v>56</v>
      </c>
      <c r="Q418" s="24">
        <v>20</v>
      </c>
      <c r="R418" s="24">
        <v>14</v>
      </c>
      <c r="S418" s="9">
        <v>8</v>
      </c>
      <c r="T418" s="9">
        <v>8</v>
      </c>
      <c r="U418" s="9">
        <v>28</v>
      </c>
      <c r="V418" s="8">
        <v>244</v>
      </c>
      <c r="W418" s="8">
        <v>0</v>
      </c>
      <c r="X418" s="8">
        <v>0</v>
      </c>
      <c r="Y418" s="7">
        <v>-2.4</v>
      </c>
      <c r="Z418" s="7">
        <v>101.2</v>
      </c>
      <c r="AA418" s="7">
        <v>110.7</v>
      </c>
      <c r="AB418" s="7">
        <v>-9.6</v>
      </c>
      <c r="AC418" s="7">
        <v>9.1</v>
      </c>
      <c r="AD418" s="7">
        <v>1.36</v>
      </c>
      <c r="AE418" s="7">
        <v>13</v>
      </c>
      <c r="AF418" s="7">
        <v>5.0999999999999996</v>
      </c>
      <c r="AG418" s="7">
        <v>11.8</v>
      </c>
      <c r="AH418" s="7">
        <v>8.1999999999999993</v>
      </c>
      <c r="AI418" s="7">
        <v>9.6</v>
      </c>
      <c r="AJ418" s="7">
        <v>50.5</v>
      </c>
      <c r="AK418" s="7">
        <v>51.6</v>
      </c>
      <c r="AL418" s="7">
        <v>16.399999999999999</v>
      </c>
      <c r="AM418" s="7">
        <v>99.39</v>
      </c>
      <c r="AN418" s="7">
        <v>6.6</v>
      </c>
      <c r="AO418" s="7">
        <v>677</v>
      </c>
    </row>
    <row r="419" spans="1:41">
      <c r="A419" s="6" t="s">
        <v>877</v>
      </c>
      <c r="B419" s="6" t="s">
        <v>196</v>
      </c>
      <c r="C419" s="41">
        <f t="shared" si="13"/>
        <v>0.57785888077858882</v>
      </c>
      <c r="D419" s="42">
        <f t="shared" si="12"/>
        <v>0.75</v>
      </c>
      <c r="E419" s="31">
        <v>114</v>
      </c>
      <c r="F419" s="24">
        <v>40</v>
      </c>
      <c r="G419" s="24">
        <v>96</v>
      </c>
      <c r="H419" s="8">
        <v>40.6</v>
      </c>
      <c r="I419" s="9">
        <v>74</v>
      </c>
      <c r="J419" s="8">
        <v>44.6</v>
      </c>
      <c r="K419" s="8">
        <v>4</v>
      </c>
      <c r="L419" s="25">
        <v>6</v>
      </c>
      <c r="M419" s="8">
        <v>60</v>
      </c>
      <c r="N419" s="9">
        <v>4</v>
      </c>
      <c r="O419" s="9">
        <v>26</v>
      </c>
      <c r="P419" s="9">
        <v>30</v>
      </c>
      <c r="Q419" s="24">
        <v>12</v>
      </c>
      <c r="R419" s="24">
        <v>16</v>
      </c>
      <c r="S419" s="9">
        <v>6</v>
      </c>
      <c r="T419" s="9">
        <v>2</v>
      </c>
      <c r="U419" s="9">
        <v>22</v>
      </c>
      <c r="V419" s="8">
        <v>172</v>
      </c>
      <c r="W419" s="8">
        <v>0</v>
      </c>
      <c r="X419" s="8">
        <v>0</v>
      </c>
      <c r="Y419" s="7">
        <v>-3.2</v>
      </c>
      <c r="Z419" s="7">
        <v>98.7</v>
      </c>
      <c r="AA419" s="7">
        <v>109.7</v>
      </c>
      <c r="AB419" s="7">
        <v>-11.1</v>
      </c>
      <c r="AC419" s="7">
        <v>7.8</v>
      </c>
      <c r="AD419" s="7">
        <v>0.8</v>
      </c>
      <c r="AE419" s="7">
        <v>9.6</v>
      </c>
      <c r="AF419" s="7">
        <v>1.5</v>
      </c>
      <c r="AG419" s="7">
        <v>10.5</v>
      </c>
      <c r="AH419" s="7">
        <v>5.6</v>
      </c>
      <c r="AI419" s="7">
        <v>12</v>
      </c>
      <c r="AJ419" s="7">
        <v>57.8</v>
      </c>
      <c r="AK419" s="7">
        <v>58</v>
      </c>
      <c r="AL419" s="7">
        <v>18.899999999999999</v>
      </c>
      <c r="AM419" s="7">
        <v>103.67</v>
      </c>
      <c r="AN419" s="7">
        <v>6.5</v>
      </c>
      <c r="AO419" s="7">
        <v>529</v>
      </c>
    </row>
    <row r="420" spans="1:41">
      <c r="A420" s="6" t="s">
        <v>879</v>
      </c>
      <c r="B420" s="6" t="s">
        <v>122</v>
      </c>
      <c r="C420" s="41">
        <f t="shared" si="13"/>
        <v>0.59100418410041844</v>
      </c>
      <c r="D420" s="42">
        <f t="shared" si="12"/>
        <v>2.0714285714285716</v>
      </c>
      <c r="E420" s="31">
        <v>113</v>
      </c>
      <c r="F420" s="24">
        <v>42</v>
      </c>
      <c r="G420" s="24">
        <v>89</v>
      </c>
      <c r="H420" s="8">
        <v>47.7</v>
      </c>
      <c r="I420" s="9">
        <v>48</v>
      </c>
      <c r="J420" s="8">
        <v>43.8</v>
      </c>
      <c r="K420" s="8">
        <v>8</v>
      </c>
      <c r="L420" s="25">
        <v>15</v>
      </c>
      <c r="M420" s="8">
        <v>46.7</v>
      </c>
      <c r="N420" s="9">
        <v>14</v>
      </c>
      <c r="O420" s="9">
        <v>38</v>
      </c>
      <c r="P420" s="9">
        <v>53</v>
      </c>
      <c r="Q420" s="24">
        <v>29</v>
      </c>
      <c r="R420" s="24">
        <v>14</v>
      </c>
      <c r="S420" s="9">
        <v>33</v>
      </c>
      <c r="T420" s="9">
        <v>9</v>
      </c>
      <c r="U420" s="9">
        <v>14</v>
      </c>
      <c r="V420" s="8">
        <v>330</v>
      </c>
      <c r="W420" s="8">
        <v>0</v>
      </c>
      <c r="X420" s="8">
        <v>0</v>
      </c>
      <c r="Y420" s="7">
        <v>0.1</v>
      </c>
      <c r="Z420" s="7">
        <v>105.3</v>
      </c>
      <c r="AA420" s="7">
        <v>105.1</v>
      </c>
      <c r="AB420" s="7">
        <v>0.2</v>
      </c>
      <c r="AC420" s="7">
        <v>12.6</v>
      </c>
      <c r="AD420" s="7">
        <v>2.15</v>
      </c>
      <c r="AE420" s="7">
        <v>20.7</v>
      </c>
      <c r="AF420" s="7">
        <v>3.8</v>
      </c>
      <c r="AG420" s="7">
        <v>12.2</v>
      </c>
      <c r="AH420" s="7">
        <v>7.6</v>
      </c>
      <c r="AI420" s="7">
        <v>9.6</v>
      </c>
      <c r="AJ420" s="7">
        <v>59.7</v>
      </c>
      <c r="AK420" s="7">
        <v>59.2</v>
      </c>
      <c r="AL420" s="7">
        <v>13.5</v>
      </c>
      <c r="AM420" s="7">
        <v>102.37</v>
      </c>
      <c r="AN420" s="7">
        <v>11.4</v>
      </c>
      <c r="AO420" s="7">
        <v>666</v>
      </c>
    </row>
    <row r="421" spans="1:41">
      <c r="A421" s="6" t="s">
        <v>881</v>
      </c>
      <c r="B421" s="6" t="s">
        <v>52</v>
      </c>
      <c r="C421" s="41">
        <f t="shared" si="13"/>
        <v>0.49002450122506125</v>
      </c>
      <c r="D421" s="42">
        <f t="shared" si="12"/>
        <v>2.8333333333333335</v>
      </c>
      <c r="E421" s="31">
        <v>112</v>
      </c>
      <c r="F421" s="24">
        <v>40</v>
      </c>
      <c r="G421" s="24">
        <v>109</v>
      </c>
      <c r="H421" s="8">
        <v>35.5</v>
      </c>
      <c r="I421" s="9">
        <v>81</v>
      </c>
      <c r="J421" s="8">
        <v>31.7</v>
      </c>
      <c r="K421" s="8">
        <v>9</v>
      </c>
      <c r="L421" s="25">
        <v>12</v>
      </c>
      <c r="M421" s="8">
        <v>75</v>
      </c>
      <c r="N421" s="9">
        <v>19</v>
      </c>
      <c r="O421" s="9">
        <v>47</v>
      </c>
      <c r="P421" s="9">
        <v>65</v>
      </c>
      <c r="Q421" s="24">
        <v>34</v>
      </c>
      <c r="R421" s="24">
        <v>12</v>
      </c>
      <c r="S421" s="9">
        <v>16</v>
      </c>
      <c r="T421" s="9">
        <v>3</v>
      </c>
      <c r="U421" s="9">
        <v>22</v>
      </c>
      <c r="V421" s="8">
        <v>285</v>
      </c>
      <c r="W421" s="8">
        <v>0</v>
      </c>
      <c r="X421" s="8">
        <v>0</v>
      </c>
      <c r="Y421" s="7">
        <v>0.9</v>
      </c>
      <c r="Z421" s="7">
        <v>109.9</v>
      </c>
      <c r="AA421" s="7">
        <v>105.8</v>
      </c>
      <c r="AB421" s="7">
        <v>4.0999999999999996</v>
      </c>
      <c r="AC421" s="7">
        <v>12</v>
      </c>
      <c r="AD421" s="7">
        <v>2.75</v>
      </c>
      <c r="AE421" s="7">
        <v>20.5</v>
      </c>
      <c r="AF421" s="7">
        <v>4.8</v>
      </c>
      <c r="AG421" s="7">
        <v>11.7</v>
      </c>
      <c r="AH421" s="7">
        <v>8.3000000000000007</v>
      </c>
      <c r="AI421" s="7">
        <v>7.5</v>
      </c>
      <c r="AJ421" s="7">
        <v>47.3</v>
      </c>
      <c r="AK421" s="7">
        <v>49</v>
      </c>
      <c r="AL421" s="7">
        <v>14.3</v>
      </c>
      <c r="AM421" s="7">
        <v>95.28</v>
      </c>
      <c r="AN421" s="7">
        <v>7.4</v>
      </c>
      <c r="AO421" s="7">
        <v>761</v>
      </c>
    </row>
    <row r="422" spans="1:41">
      <c r="A422" s="6" t="s">
        <v>883</v>
      </c>
      <c r="B422" s="6" t="s">
        <v>140</v>
      </c>
      <c r="C422" s="41">
        <f t="shared" si="13"/>
        <v>0.39970930232558144</v>
      </c>
      <c r="D422" s="42">
        <f t="shared" si="12"/>
        <v>1.75</v>
      </c>
      <c r="E422" s="31">
        <v>110</v>
      </c>
      <c r="F422" s="24">
        <v>42</v>
      </c>
      <c r="G422" s="24">
        <v>131</v>
      </c>
      <c r="H422" s="8">
        <v>32.299999999999997</v>
      </c>
      <c r="I422" s="9">
        <v>56</v>
      </c>
      <c r="J422" s="8">
        <v>21.4</v>
      </c>
      <c r="K422" s="8">
        <v>14</v>
      </c>
      <c r="L422" s="25">
        <v>15</v>
      </c>
      <c r="M422" s="8">
        <v>86.7</v>
      </c>
      <c r="N422" s="9">
        <v>14</v>
      </c>
      <c r="O422" s="9">
        <v>36</v>
      </c>
      <c r="P422" s="9">
        <v>50</v>
      </c>
      <c r="Q422" s="24">
        <v>56</v>
      </c>
      <c r="R422" s="24">
        <v>32</v>
      </c>
      <c r="S422" s="9">
        <v>15</v>
      </c>
      <c r="T422" s="9">
        <v>2</v>
      </c>
      <c r="U422" s="9">
        <v>23</v>
      </c>
      <c r="V422" s="8">
        <v>273</v>
      </c>
      <c r="W422" s="8">
        <v>0</v>
      </c>
      <c r="X422" s="8">
        <v>0</v>
      </c>
      <c r="Y422" s="7">
        <v>-11.3</v>
      </c>
      <c r="Z422" s="7">
        <v>99.5</v>
      </c>
      <c r="AA422" s="7">
        <v>121.8</v>
      </c>
      <c r="AB422" s="7">
        <v>-22.3</v>
      </c>
      <c r="AC422" s="7">
        <v>23.5</v>
      </c>
      <c r="AD422" s="7">
        <v>1.81</v>
      </c>
      <c r="AE422" s="7">
        <v>25</v>
      </c>
      <c r="AF422" s="7">
        <v>3.3</v>
      </c>
      <c r="AG422" s="7">
        <v>9.8000000000000007</v>
      </c>
      <c r="AH422" s="7">
        <v>6.4</v>
      </c>
      <c r="AI422" s="7">
        <v>13.8</v>
      </c>
      <c r="AJ422" s="7">
        <v>36.9</v>
      </c>
      <c r="AK422" s="7">
        <v>39.9</v>
      </c>
      <c r="AL422" s="7">
        <v>18.600000000000001</v>
      </c>
      <c r="AM422" s="7">
        <v>99.5</v>
      </c>
      <c r="AN422" s="7">
        <v>5.0999999999999996</v>
      </c>
      <c r="AO422" s="7">
        <v>769</v>
      </c>
    </row>
    <row r="423" spans="1:41">
      <c r="A423" s="6" t="s">
        <v>885</v>
      </c>
      <c r="B423" s="6" t="s">
        <v>62</v>
      </c>
      <c r="C423" s="41">
        <f t="shared" si="13"/>
        <v>0.53606237816764135</v>
      </c>
      <c r="D423" s="42">
        <f t="shared" si="12"/>
        <v>1.5294117647058822</v>
      </c>
      <c r="E423" s="31">
        <v>110</v>
      </c>
      <c r="F423" s="24">
        <v>35</v>
      </c>
      <c r="G423" s="24">
        <v>96</v>
      </c>
      <c r="H423" s="8">
        <v>37.5</v>
      </c>
      <c r="I423" s="9">
        <v>75</v>
      </c>
      <c r="J423" s="8">
        <v>34.700000000000003</v>
      </c>
      <c r="K423" s="8">
        <v>12</v>
      </c>
      <c r="L423" s="25">
        <v>15</v>
      </c>
      <c r="M423" s="8">
        <v>92.9</v>
      </c>
      <c r="N423" s="9">
        <v>3</v>
      </c>
      <c r="O423" s="9">
        <v>17</v>
      </c>
      <c r="P423" s="9">
        <v>23</v>
      </c>
      <c r="Q423" s="24">
        <v>26</v>
      </c>
      <c r="R423" s="24">
        <v>17</v>
      </c>
      <c r="S423" s="9">
        <v>12</v>
      </c>
      <c r="T423" s="9">
        <v>3</v>
      </c>
      <c r="U423" s="9">
        <v>23</v>
      </c>
      <c r="V423" s="8">
        <v>209</v>
      </c>
      <c r="W423" s="8">
        <v>0</v>
      </c>
      <c r="X423" s="8">
        <v>0</v>
      </c>
      <c r="Y423" s="7">
        <v>-0.5</v>
      </c>
      <c r="Z423" s="7">
        <v>104.6</v>
      </c>
      <c r="AA423" s="7">
        <v>108</v>
      </c>
      <c r="AB423" s="7">
        <v>-3.4</v>
      </c>
      <c r="AC423" s="7">
        <v>12.3</v>
      </c>
      <c r="AD423" s="7">
        <v>1.53</v>
      </c>
      <c r="AE423" s="7">
        <v>18.100000000000001</v>
      </c>
      <c r="AF423" s="7">
        <v>1.2</v>
      </c>
      <c r="AG423" s="7">
        <v>5.0999999999999996</v>
      </c>
      <c r="AH423" s="7">
        <v>3.2</v>
      </c>
      <c r="AI423" s="7">
        <v>11.8</v>
      </c>
      <c r="AJ423" s="7">
        <v>51</v>
      </c>
      <c r="AK423" s="7">
        <v>54.3</v>
      </c>
      <c r="AL423" s="7">
        <v>15</v>
      </c>
      <c r="AM423" s="7">
        <v>103.29</v>
      </c>
      <c r="AN423" s="7">
        <v>5.5</v>
      </c>
      <c r="AO423" s="7">
        <v>694</v>
      </c>
    </row>
    <row r="424" spans="1:41">
      <c r="A424" s="6" t="s">
        <v>887</v>
      </c>
      <c r="B424" s="6" t="s">
        <v>82</v>
      </c>
      <c r="C424" s="41">
        <f t="shared" si="13"/>
        <v>0.57315548145060446</v>
      </c>
      <c r="D424" s="42">
        <f t="shared" si="12"/>
        <v>2.9285714285714284</v>
      </c>
      <c r="E424" s="31">
        <v>110</v>
      </c>
      <c r="F424" s="24">
        <v>41</v>
      </c>
      <c r="G424" s="24">
        <v>92</v>
      </c>
      <c r="H424" s="8">
        <v>45.1</v>
      </c>
      <c r="I424" s="9">
        <v>60</v>
      </c>
      <c r="J424" s="8">
        <v>37.1</v>
      </c>
      <c r="K424" s="8">
        <v>9</v>
      </c>
      <c r="L424" s="25">
        <v>9</v>
      </c>
      <c r="M424" s="8">
        <v>87.5</v>
      </c>
      <c r="N424" s="9">
        <v>37</v>
      </c>
      <c r="O424" s="9">
        <v>115</v>
      </c>
      <c r="P424" s="9">
        <v>152</v>
      </c>
      <c r="Q424" s="24">
        <v>41</v>
      </c>
      <c r="R424" s="24">
        <v>14</v>
      </c>
      <c r="S424" s="9">
        <v>32</v>
      </c>
      <c r="T424" s="9">
        <v>14</v>
      </c>
      <c r="U424" s="9">
        <v>32</v>
      </c>
      <c r="V424" s="8">
        <v>474</v>
      </c>
      <c r="W424" s="8">
        <v>0</v>
      </c>
      <c r="X424" s="8">
        <v>0</v>
      </c>
      <c r="Y424" s="7">
        <v>1.3</v>
      </c>
      <c r="Z424" s="7">
        <v>113.2</v>
      </c>
      <c r="AA424" s="7">
        <v>107.8</v>
      </c>
      <c r="AB424" s="7">
        <v>5.4</v>
      </c>
      <c r="AC424" s="7">
        <v>9.5</v>
      </c>
      <c r="AD424" s="7">
        <v>2.63</v>
      </c>
      <c r="AE424" s="7">
        <v>27.6</v>
      </c>
      <c r="AF424" s="7">
        <v>6</v>
      </c>
      <c r="AG424" s="7">
        <v>18.7</v>
      </c>
      <c r="AH424" s="7">
        <v>12.3</v>
      </c>
      <c r="AI424" s="7">
        <v>10.5</v>
      </c>
      <c r="AJ424" s="7">
        <v>57.7</v>
      </c>
      <c r="AK424" s="7">
        <v>59.2</v>
      </c>
      <c r="AL424" s="7">
        <v>7.7</v>
      </c>
      <c r="AM424" s="7">
        <v>105.46</v>
      </c>
      <c r="AN424" s="7">
        <v>9.4</v>
      </c>
      <c r="AO424" s="7">
        <v>1223</v>
      </c>
    </row>
    <row r="425" spans="1:41">
      <c r="A425" s="6" t="s">
        <v>889</v>
      </c>
      <c r="B425" s="6" t="s">
        <v>196</v>
      </c>
      <c r="C425" s="41">
        <f t="shared" si="13"/>
        <v>0.4998165810711665</v>
      </c>
      <c r="D425" s="42">
        <f t="shared" si="12"/>
        <v>1.3333333333333333</v>
      </c>
      <c r="E425" s="31">
        <v>109</v>
      </c>
      <c r="F425" s="24">
        <v>45</v>
      </c>
      <c r="G425" s="24">
        <v>102</v>
      </c>
      <c r="H425" s="8">
        <v>44.1</v>
      </c>
      <c r="I425" s="9">
        <v>35</v>
      </c>
      <c r="J425" s="8">
        <v>25.7</v>
      </c>
      <c r="K425" s="8">
        <v>10</v>
      </c>
      <c r="L425" s="25">
        <v>16</v>
      </c>
      <c r="M425" s="8">
        <v>62.5</v>
      </c>
      <c r="N425" s="9">
        <v>17</v>
      </c>
      <c r="O425" s="9">
        <v>48</v>
      </c>
      <c r="P425" s="9">
        <v>65</v>
      </c>
      <c r="Q425" s="24">
        <v>20</v>
      </c>
      <c r="R425" s="24">
        <v>15</v>
      </c>
      <c r="S425" s="9">
        <v>4</v>
      </c>
      <c r="T425" s="9">
        <v>1</v>
      </c>
      <c r="U425" s="9">
        <v>21</v>
      </c>
      <c r="V425" s="8">
        <v>217</v>
      </c>
      <c r="W425" s="8">
        <v>3</v>
      </c>
      <c r="X425" s="8">
        <v>0</v>
      </c>
      <c r="Y425" s="7">
        <v>-7.3</v>
      </c>
      <c r="Z425" s="7">
        <v>102.8</v>
      </c>
      <c r="AA425" s="7">
        <v>115.5</v>
      </c>
      <c r="AB425" s="7">
        <v>-12.6</v>
      </c>
      <c r="AC425" s="7">
        <v>13.7</v>
      </c>
      <c r="AD425" s="7">
        <v>1.33</v>
      </c>
      <c r="AE425" s="7">
        <v>14</v>
      </c>
      <c r="AF425" s="7">
        <v>6</v>
      </c>
      <c r="AG425" s="7">
        <v>19.399999999999999</v>
      </c>
      <c r="AH425" s="7">
        <v>12.3</v>
      </c>
      <c r="AI425" s="7">
        <v>10.5</v>
      </c>
      <c r="AJ425" s="7">
        <v>48.5</v>
      </c>
      <c r="AK425" s="7">
        <v>50</v>
      </c>
      <c r="AL425" s="7">
        <v>20.5</v>
      </c>
      <c r="AM425" s="7">
        <v>100.3</v>
      </c>
      <c r="AN425" s="7">
        <v>8.6</v>
      </c>
      <c r="AO425" s="7">
        <v>531</v>
      </c>
    </row>
    <row r="426" spans="1:41">
      <c r="A426" s="6" t="s">
        <v>891</v>
      </c>
      <c r="B426" s="6" t="s">
        <v>52</v>
      </c>
      <c r="C426" s="41">
        <f t="shared" si="13"/>
        <v>0.56348221670802312</v>
      </c>
      <c r="D426" s="42">
        <f t="shared" si="12"/>
        <v>2.25</v>
      </c>
      <c r="E426" s="31">
        <v>109</v>
      </c>
      <c r="F426" s="24">
        <v>39</v>
      </c>
      <c r="G426" s="24">
        <v>91</v>
      </c>
      <c r="H426" s="8">
        <v>42.2</v>
      </c>
      <c r="I426" s="9">
        <v>65</v>
      </c>
      <c r="J426" s="8">
        <v>36.4</v>
      </c>
      <c r="K426" s="8">
        <v>8</v>
      </c>
      <c r="L426" s="25">
        <v>13</v>
      </c>
      <c r="M426" s="8">
        <v>66.7</v>
      </c>
      <c r="N426" s="9">
        <v>26</v>
      </c>
      <c r="O426" s="9">
        <v>47</v>
      </c>
      <c r="P426" s="9">
        <v>73</v>
      </c>
      <c r="Q426" s="24">
        <v>18</v>
      </c>
      <c r="R426" s="24">
        <v>8</v>
      </c>
      <c r="S426" s="9">
        <v>8</v>
      </c>
      <c r="T426" s="9">
        <v>13</v>
      </c>
      <c r="U426" s="9">
        <v>34</v>
      </c>
      <c r="V426" s="8">
        <v>273</v>
      </c>
      <c r="W426" s="8">
        <v>0</v>
      </c>
      <c r="X426" s="8">
        <v>0</v>
      </c>
      <c r="Y426" s="7">
        <v>-1.9</v>
      </c>
      <c r="Z426" s="7">
        <v>104.9</v>
      </c>
      <c r="AA426" s="7">
        <v>109.8</v>
      </c>
      <c r="AB426" s="7">
        <v>-5</v>
      </c>
      <c r="AC426" s="7">
        <v>7.8</v>
      </c>
      <c r="AD426" s="7">
        <v>2.13</v>
      </c>
      <c r="AE426" s="7">
        <v>14</v>
      </c>
      <c r="AF426" s="7">
        <v>7.6</v>
      </c>
      <c r="AG426" s="7">
        <v>13.8</v>
      </c>
      <c r="AH426" s="7">
        <v>10.6</v>
      </c>
      <c r="AI426" s="7">
        <v>6.6</v>
      </c>
      <c r="AJ426" s="7">
        <v>55.6</v>
      </c>
      <c r="AK426" s="7">
        <v>56.7</v>
      </c>
      <c r="AL426" s="7">
        <v>13.9</v>
      </c>
      <c r="AM426" s="7">
        <v>98.16</v>
      </c>
      <c r="AN426" s="7">
        <v>8</v>
      </c>
      <c r="AO426" s="7">
        <v>634</v>
      </c>
    </row>
    <row r="427" spans="1:41">
      <c r="A427" s="6" t="s">
        <v>893</v>
      </c>
      <c r="B427" s="6" t="s">
        <v>170</v>
      </c>
      <c r="C427" s="41">
        <f t="shared" si="13"/>
        <v>0.50391937290033595</v>
      </c>
      <c r="D427" s="42">
        <f t="shared" si="12"/>
        <v>2</v>
      </c>
      <c r="E427" s="31">
        <v>108</v>
      </c>
      <c r="F427" s="24">
        <v>34</v>
      </c>
      <c r="G427" s="24">
        <v>90</v>
      </c>
      <c r="H427" s="8">
        <v>38.9</v>
      </c>
      <c r="I427" s="9">
        <v>47</v>
      </c>
      <c r="J427" s="8">
        <v>25</v>
      </c>
      <c r="K427" s="8">
        <v>26</v>
      </c>
      <c r="L427" s="25">
        <v>39</v>
      </c>
      <c r="M427" s="8">
        <v>71.099999999999994</v>
      </c>
      <c r="N427" s="9">
        <v>17</v>
      </c>
      <c r="O427" s="9">
        <v>43</v>
      </c>
      <c r="P427" s="9">
        <v>56</v>
      </c>
      <c r="Q427" s="24">
        <v>34</v>
      </c>
      <c r="R427" s="24">
        <v>17</v>
      </c>
      <c r="S427" s="9">
        <v>26</v>
      </c>
      <c r="T427" s="9">
        <v>4</v>
      </c>
      <c r="U427" s="9">
        <v>43</v>
      </c>
      <c r="V427" s="8">
        <v>297</v>
      </c>
      <c r="W427" s="8">
        <v>0</v>
      </c>
      <c r="X427" s="8">
        <v>0</v>
      </c>
      <c r="Y427" s="7">
        <v>-0.7</v>
      </c>
      <c r="Z427" s="7">
        <v>105.6</v>
      </c>
      <c r="AA427" s="7">
        <v>108.9</v>
      </c>
      <c r="AB427" s="7">
        <v>-3.3</v>
      </c>
      <c r="AC427" s="7">
        <v>13</v>
      </c>
      <c r="AD427" s="7">
        <v>2.06</v>
      </c>
      <c r="AE427" s="7">
        <v>21</v>
      </c>
      <c r="AF427" s="7">
        <v>4.4000000000000004</v>
      </c>
      <c r="AG427" s="7">
        <v>10.7</v>
      </c>
      <c r="AH427" s="7">
        <v>7.6</v>
      </c>
      <c r="AI427" s="7">
        <v>10.199999999999999</v>
      </c>
      <c r="AJ427" s="7">
        <v>45.6</v>
      </c>
      <c r="AK427" s="7">
        <v>51.1</v>
      </c>
      <c r="AL427" s="7">
        <v>13.9</v>
      </c>
      <c r="AM427" s="7">
        <v>102.79</v>
      </c>
      <c r="AN427" s="7">
        <v>6.3</v>
      </c>
      <c r="AO427" s="7">
        <v>779</v>
      </c>
    </row>
    <row r="428" spans="1:41">
      <c r="A428" s="6" t="s">
        <v>895</v>
      </c>
      <c r="B428" s="6" t="s">
        <v>140</v>
      </c>
      <c r="C428" s="41">
        <f t="shared" si="13"/>
        <v>0.51264852433882713</v>
      </c>
      <c r="D428" s="42">
        <f t="shared" si="12"/>
        <v>0.84615384615384615</v>
      </c>
      <c r="E428" s="31">
        <v>107</v>
      </c>
      <c r="F428" s="24">
        <v>48</v>
      </c>
      <c r="G428" s="24">
        <v>96</v>
      </c>
      <c r="H428" s="8">
        <v>49.5</v>
      </c>
      <c r="I428" s="9">
        <v>4</v>
      </c>
      <c r="J428" s="8">
        <v>50</v>
      </c>
      <c r="K428" s="8">
        <v>11</v>
      </c>
      <c r="L428" s="25">
        <v>19</v>
      </c>
      <c r="M428" s="8">
        <v>60</v>
      </c>
      <c r="N428" s="9">
        <v>52</v>
      </c>
      <c r="O428" s="9">
        <v>70</v>
      </c>
      <c r="P428" s="9">
        <v>118</v>
      </c>
      <c r="Q428" s="24">
        <v>22</v>
      </c>
      <c r="R428" s="24">
        <v>26</v>
      </c>
      <c r="S428" s="9">
        <v>7</v>
      </c>
      <c r="T428" s="9">
        <v>19</v>
      </c>
      <c r="U428" s="9">
        <v>56</v>
      </c>
      <c r="V428" s="8">
        <v>337</v>
      </c>
      <c r="W428" s="8">
        <v>1</v>
      </c>
      <c r="X428" s="8">
        <v>0</v>
      </c>
      <c r="Y428" s="7">
        <v>-3.4</v>
      </c>
      <c r="Z428" s="7">
        <v>96.6</v>
      </c>
      <c r="AA428" s="7">
        <v>110.4</v>
      </c>
      <c r="AB428" s="7">
        <v>-13.8</v>
      </c>
      <c r="AC428" s="7">
        <v>8.1</v>
      </c>
      <c r="AD428" s="7">
        <v>0.84</v>
      </c>
      <c r="AE428" s="7">
        <v>14</v>
      </c>
      <c r="AF428" s="7">
        <v>11.4</v>
      </c>
      <c r="AG428" s="7">
        <v>15.1</v>
      </c>
      <c r="AH428" s="7">
        <v>13.3</v>
      </c>
      <c r="AI428" s="7">
        <v>16.7</v>
      </c>
      <c r="AJ428" s="7">
        <v>50</v>
      </c>
      <c r="AK428" s="7">
        <v>51.5</v>
      </c>
      <c r="AL428" s="7">
        <v>13.2</v>
      </c>
      <c r="AM428" s="7">
        <v>99.38</v>
      </c>
      <c r="AN428" s="7">
        <v>6.8</v>
      </c>
      <c r="AO428" s="7">
        <v>843</v>
      </c>
    </row>
    <row r="429" spans="1:41">
      <c r="A429" s="6" t="s">
        <v>897</v>
      </c>
      <c r="B429" s="6" t="s">
        <v>116</v>
      </c>
      <c r="C429" s="41">
        <f t="shared" si="13"/>
        <v>0.49888101454681094</v>
      </c>
      <c r="D429" s="42">
        <f t="shared" si="12"/>
        <v>2.1111111111111112</v>
      </c>
      <c r="E429" s="31">
        <v>107</v>
      </c>
      <c r="F429" s="24">
        <v>38</v>
      </c>
      <c r="G429" s="24">
        <v>98</v>
      </c>
      <c r="H429" s="8">
        <v>37.799999999999997</v>
      </c>
      <c r="I429" s="9">
        <v>47</v>
      </c>
      <c r="J429" s="8">
        <v>30.4</v>
      </c>
      <c r="K429" s="8">
        <v>18</v>
      </c>
      <c r="L429" s="25">
        <v>21</v>
      </c>
      <c r="M429" s="8">
        <v>85.7</v>
      </c>
      <c r="N429" s="9">
        <v>3</v>
      </c>
      <c r="O429" s="9">
        <v>24</v>
      </c>
      <c r="P429" s="9">
        <v>27</v>
      </c>
      <c r="Q429" s="24">
        <v>38</v>
      </c>
      <c r="R429" s="24">
        <v>18</v>
      </c>
      <c r="S429" s="9">
        <v>5</v>
      </c>
      <c r="T429" s="9">
        <v>8</v>
      </c>
      <c r="U429" s="9">
        <v>26</v>
      </c>
      <c r="V429" s="8">
        <v>212</v>
      </c>
      <c r="W429" s="8">
        <v>0</v>
      </c>
      <c r="X429" s="8">
        <v>0</v>
      </c>
      <c r="Y429" s="7">
        <v>-6.4</v>
      </c>
      <c r="Z429" s="7">
        <v>107.2</v>
      </c>
      <c r="AA429" s="7">
        <v>123.5</v>
      </c>
      <c r="AB429" s="7">
        <v>-16.399999999999999</v>
      </c>
      <c r="AC429" s="7">
        <v>16.5</v>
      </c>
      <c r="AD429" s="7">
        <v>2.06</v>
      </c>
      <c r="AE429" s="7">
        <v>22.7</v>
      </c>
      <c r="AF429" s="7">
        <v>0.9</v>
      </c>
      <c r="AG429" s="7">
        <v>7.7</v>
      </c>
      <c r="AH429" s="7">
        <v>4.0999999999999996</v>
      </c>
      <c r="AI429" s="7">
        <v>11</v>
      </c>
      <c r="AJ429" s="7">
        <v>44.9</v>
      </c>
      <c r="AK429" s="7">
        <v>49.4</v>
      </c>
      <c r="AL429" s="7">
        <v>16.399999999999999</v>
      </c>
      <c r="AM429" s="7">
        <v>101.36</v>
      </c>
      <c r="AN429" s="7">
        <v>4.9000000000000004</v>
      </c>
      <c r="AO429" s="7">
        <v>670</v>
      </c>
    </row>
    <row r="430" spans="1:41">
      <c r="A430" s="6" t="s">
        <v>899</v>
      </c>
      <c r="B430" s="6" t="s">
        <v>74</v>
      </c>
      <c r="C430" s="41">
        <f t="shared" si="13"/>
        <v>0.51237432327919563</v>
      </c>
      <c r="D430" s="42">
        <f t="shared" si="12"/>
        <v>1.7692307692307692</v>
      </c>
      <c r="E430" s="31">
        <v>106</v>
      </c>
      <c r="F430" s="24">
        <v>40</v>
      </c>
      <c r="G430" s="24">
        <v>92</v>
      </c>
      <c r="H430" s="8">
        <v>40.4</v>
      </c>
      <c r="I430" s="9">
        <v>46</v>
      </c>
      <c r="J430" s="8">
        <v>27.7</v>
      </c>
      <c r="K430" s="8">
        <v>17</v>
      </c>
      <c r="L430" s="25">
        <v>26</v>
      </c>
      <c r="M430" s="8">
        <v>61.5</v>
      </c>
      <c r="N430" s="9">
        <v>17</v>
      </c>
      <c r="O430" s="9">
        <v>50</v>
      </c>
      <c r="P430" s="9">
        <v>66</v>
      </c>
      <c r="Q430" s="24">
        <v>23</v>
      </c>
      <c r="R430" s="24">
        <v>13</v>
      </c>
      <c r="S430" s="9">
        <v>33</v>
      </c>
      <c r="T430" s="9">
        <v>10</v>
      </c>
      <c r="U430" s="9">
        <v>43</v>
      </c>
      <c r="V430" s="8">
        <v>333</v>
      </c>
      <c r="W430" s="8">
        <v>0</v>
      </c>
      <c r="X430" s="8">
        <v>0</v>
      </c>
      <c r="Y430" s="7">
        <v>-2.8</v>
      </c>
      <c r="Z430" s="7">
        <v>107.6</v>
      </c>
      <c r="AA430" s="7">
        <v>115.9</v>
      </c>
      <c r="AB430" s="7">
        <v>-8.4</v>
      </c>
      <c r="AC430" s="7">
        <v>4.9000000000000004</v>
      </c>
      <c r="AD430" s="7">
        <v>1.83</v>
      </c>
      <c r="AE430" s="7">
        <v>15.8</v>
      </c>
      <c r="AF430" s="7">
        <v>2.9</v>
      </c>
      <c r="AG430" s="7">
        <v>8.1</v>
      </c>
      <c r="AH430" s="7">
        <v>5.6</v>
      </c>
      <c r="AI430" s="7">
        <v>8.6</v>
      </c>
      <c r="AJ430" s="7">
        <v>47.3</v>
      </c>
      <c r="AK430" s="7">
        <v>49.8</v>
      </c>
      <c r="AL430" s="7">
        <v>8.4</v>
      </c>
      <c r="AM430" s="7">
        <v>100.53</v>
      </c>
      <c r="AN430" s="7">
        <v>4</v>
      </c>
      <c r="AO430" s="7">
        <v>1240</v>
      </c>
    </row>
    <row r="431" spans="1:41">
      <c r="A431" s="6" t="s">
        <v>901</v>
      </c>
      <c r="B431" s="6" t="s">
        <v>170</v>
      </c>
      <c r="C431" s="41">
        <f t="shared" si="13"/>
        <v>0.63366810138689622</v>
      </c>
      <c r="D431" s="42">
        <f t="shared" si="12"/>
        <v>0.8</v>
      </c>
      <c r="E431" s="31">
        <v>106</v>
      </c>
      <c r="F431" s="24">
        <v>42</v>
      </c>
      <c r="G431" s="24">
        <v>70</v>
      </c>
      <c r="H431" s="8">
        <v>60</v>
      </c>
      <c r="I431" s="8">
        <v>0</v>
      </c>
      <c r="J431" s="8">
        <v>0</v>
      </c>
      <c r="K431" s="8">
        <v>22</v>
      </c>
      <c r="L431" s="25">
        <v>31</v>
      </c>
      <c r="M431" s="8">
        <v>74.2</v>
      </c>
      <c r="N431" s="9">
        <v>46</v>
      </c>
      <c r="O431" s="9">
        <v>76</v>
      </c>
      <c r="P431" s="9">
        <v>122</v>
      </c>
      <c r="Q431" s="24">
        <v>8</v>
      </c>
      <c r="R431" s="24">
        <v>10</v>
      </c>
      <c r="S431" s="9">
        <v>13</v>
      </c>
      <c r="T431" s="9">
        <v>1</v>
      </c>
      <c r="U431" s="9">
        <v>24</v>
      </c>
      <c r="V431" s="8">
        <v>300</v>
      </c>
      <c r="W431" s="8">
        <v>4</v>
      </c>
      <c r="X431" s="8">
        <v>0</v>
      </c>
      <c r="Y431" s="7">
        <v>-0.8</v>
      </c>
      <c r="Z431" s="7">
        <v>113.4</v>
      </c>
      <c r="AA431" s="7">
        <v>115.8</v>
      </c>
      <c r="AB431" s="7">
        <v>-2.5</v>
      </c>
      <c r="AC431" s="7">
        <v>5.0999999999999996</v>
      </c>
      <c r="AD431" s="7">
        <v>0.9</v>
      </c>
      <c r="AE431" s="7">
        <v>8.9</v>
      </c>
      <c r="AF431" s="7">
        <v>16</v>
      </c>
      <c r="AG431" s="7">
        <v>28.6</v>
      </c>
      <c r="AH431" s="7">
        <v>22.1</v>
      </c>
      <c r="AI431" s="7">
        <v>9.9</v>
      </c>
      <c r="AJ431" s="7">
        <v>60</v>
      </c>
      <c r="AK431" s="7">
        <v>64</v>
      </c>
      <c r="AL431" s="7">
        <v>14.4</v>
      </c>
      <c r="AM431" s="7">
        <v>101.2</v>
      </c>
      <c r="AN431" s="7">
        <v>14</v>
      </c>
      <c r="AO431" s="7">
        <v>539</v>
      </c>
    </row>
    <row r="432" spans="1:41">
      <c r="A432" s="6" t="s">
        <v>903</v>
      </c>
      <c r="B432" s="6" t="s">
        <v>84</v>
      </c>
      <c r="C432" s="41">
        <f t="shared" si="13"/>
        <v>0.53137651821862353</v>
      </c>
      <c r="D432" s="42">
        <f t="shared" si="12"/>
        <v>2</v>
      </c>
      <c r="E432" s="31">
        <v>105</v>
      </c>
      <c r="F432" s="24">
        <v>35</v>
      </c>
      <c r="G432" s="24">
        <v>90</v>
      </c>
      <c r="H432" s="8">
        <v>38</v>
      </c>
      <c r="I432" s="9">
        <v>50</v>
      </c>
      <c r="J432" s="8">
        <v>30</v>
      </c>
      <c r="K432" s="8">
        <v>20</v>
      </c>
      <c r="L432" s="25">
        <v>20</v>
      </c>
      <c r="M432" s="8">
        <v>81.8</v>
      </c>
      <c r="N432" s="9">
        <v>25</v>
      </c>
      <c r="O432" s="9">
        <v>50</v>
      </c>
      <c r="P432" s="9">
        <v>70</v>
      </c>
      <c r="Q432" s="24">
        <v>20</v>
      </c>
      <c r="R432" s="24">
        <v>10</v>
      </c>
      <c r="S432" s="9">
        <v>20</v>
      </c>
      <c r="T432" s="9">
        <v>10</v>
      </c>
      <c r="U432" s="9">
        <v>40</v>
      </c>
      <c r="V432" s="8">
        <v>290</v>
      </c>
      <c r="W432" s="8">
        <v>0</v>
      </c>
      <c r="X432" s="8">
        <v>0</v>
      </c>
      <c r="Y432" s="7">
        <v>0.4</v>
      </c>
      <c r="Z432" s="7">
        <v>106.1</v>
      </c>
      <c r="AA432" s="7">
        <v>105.4</v>
      </c>
      <c r="AB432" s="7">
        <v>0.6</v>
      </c>
      <c r="AC432" s="7">
        <v>6.3</v>
      </c>
      <c r="AD432" s="7">
        <v>1.58</v>
      </c>
      <c r="AE432" s="7">
        <v>14.4</v>
      </c>
      <c r="AF432" s="7">
        <v>6</v>
      </c>
      <c r="AG432" s="7">
        <v>12.6</v>
      </c>
      <c r="AH432" s="7">
        <v>9.3000000000000007</v>
      </c>
      <c r="AI432" s="7">
        <v>9.1</v>
      </c>
      <c r="AJ432" s="7">
        <v>46.2</v>
      </c>
      <c r="AK432" s="7">
        <v>50.6</v>
      </c>
      <c r="AL432" s="7">
        <v>11.8</v>
      </c>
      <c r="AM432" s="7">
        <v>105.49</v>
      </c>
      <c r="AN432" s="7">
        <v>5.9</v>
      </c>
      <c r="AO432" s="7">
        <v>842</v>
      </c>
    </row>
    <row r="433" spans="1:41">
      <c r="A433" s="6" t="s">
        <v>905</v>
      </c>
      <c r="B433" s="6" t="s">
        <v>82</v>
      </c>
      <c r="C433" s="41">
        <f t="shared" si="13"/>
        <v>0.57189542483660127</v>
      </c>
      <c r="D433" s="42">
        <f t="shared" si="12"/>
        <v>7</v>
      </c>
      <c r="E433" s="31">
        <v>105</v>
      </c>
      <c r="F433" s="24">
        <v>35</v>
      </c>
      <c r="G433" s="24">
        <v>83</v>
      </c>
      <c r="H433" s="8">
        <v>41.5</v>
      </c>
      <c r="I433" s="9">
        <v>53</v>
      </c>
      <c r="J433" s="8">
        <v>36.5</v>
      </c>
      <c r="K433" s="8">
        <v>20</v>
      </c>
      <c r="L433" s="25">
        <v>20</v>
      </c>
      <c r="M433" s="8">
        <v>100</v>
      </c>
      <c r="N433" s="9">
        <v>13</v>
      </c>
      <c r="O433" s="9">
        <v>18</v>
      </c>
      <c r="P433" s="9">
        <v>30</v>
      </c>
      <c r="Q433" s="24">
        <v>35</v>
      </c>
      <c r="R433" s="24">
        <v>5</v>
      </c>
      <c r="S433" s="9">
        <v>10</v>
      </c>
      <c r="T433" s="8">
        <v>0</v>
      </c>
      <c r="U433" s="9">
        <v>23</v>
      </c>
      <c r="V433" s="8">
        <v>218</v>
      </c>
      <c r="W433" s="8">
        <v>0</v>
      </c>
      <c r="X433" s="8">
        <v>0</v>
      </c>
      <c r="Y433" s="7">
        <v>1.6</v>
      </c>
      <c r="Z433" s="7">
        <v>116.4</v>
      </c>
      <c r="AA433" s="7">
        <v>109.6</v>
      </c>
      <c r="AB433" s="7">
        <v>6.8</v>
      </c>
      <c r="AC433" s="7">
        <v>18.2</v>
      </c>
      <c r="AD433" s="7">
        <v>5.67</v>
      </c>
      <c r="AE433" s="7">
        <v>26.2</v>
      </c>
      <c r="AF433" s="7">
        <v>4.3</v>
      </c>
      <c r="AG433" s="7">
        <v>7</v>
      </c>
      <c r="AH433" s="7">
        <v>5.6</v>
      </c>
      <c r="AI433" s="7">
        <v>4.5999999999999996</v>
      </c>
      <c r="AJ433" s="7">
        <v>53</v>
      </c>
      <c r="AK433" s="7">
        <v>58.7</v>
      </c>
      <c r="AL433" s="7">
        <v>14.8</v>
      </c>
      <c r="AM433" s="7">
        <v>103.04</v>
      </c>
      <c r="AN433" s="7">
        <v>8.6999999999999993</v>
      </c>
      <c r="AO433" s="7">
        <v>543</v>
      </c>
    </row>
    <row r="434" spans="1:41">
      <c r="A434" s="6" t="s">
        <v>907</v>
      </c>
      <c r="B434" s="6" t="s">
        <v>74</v>
      </c>
      <c r="C434" s="41">
        <f t="shared" si="13"/>
        <v>0.49132947976878616</v>
      </c>
      <c r="D434" s="42">
        <f t="shared" si="12"/>
        <v>1.8333333333333333</v>
      </c>
      <c r="E434" s="31">
        <v>102</v>
      </c>
      <c r="F434" s="24">
        <v>37</v>
      </c>
      <c r="G434" s="24">
        <v>95</v>
      </c>
      <c r="H434" s="8">
        <v>38.5</v>
      </c>
      <c r="I434" s="9">
        <v>48</v>
      </c>
      <c r="J434" s="8">
        <v>26.5</v>
      </c>
      <c r="K434" s="8">
        <v>17</v>
      </c>
      <c r="L434" s="25">
        <v>20</v>
      </c>
      <c r="M434" s="8">
        <v>76.2</v>
      </c>
      <c r="N434" s="9">
        <v>24</v>
      </c>
      <c r="O434" s="9">
        <v>71</v>
      </c>
      <c r="P434" s="9">
        <v>95</v>
      </c>
      <c r="Q434" s="24">
        <v>44</v>
      </c>
      <c r="R434" s="24">
        <v>24</v>
      </c>
      <c r="S434" s="9">
        <v>10</v>
      </c>
      <c r="T434" s="9">
        <v>17</v>
      </c>
      <c r="U434" s="9">
        <v>65</v>
      </c>
      <c r="V434" s="8">
        <v>337</v>
      </c>
      <c r="W434" s="8">
        <v>0</v>
      </c>
      <c r="X434" s="8">
        <v>0</v>
      </c>
      <c r="Y434" s="7">
        <v>-0.5</v>
      </c>
      <c r="Z434" s="7">
        <v>111.9</v>
      </c>
      <c r="AA434" s="7">
        <v>112.3</v>
      </c>
      <c r="AB434" s="7">
        <v>-0.4</v>
      </c>
      <c r="AC434" s="7">
        <v>8.6999999999999993</v>
      </c>
      <c r="AD434" s="7">
        <v>1.87</v>
      </c>
      <c r="AE434" s="7">
        <v>25</v>
      </c>
      <c r="AF434" s="7">
        <v>4</v>
      </c>
      <c r="AG434" s="7">
        <v>10.5</v>
      </c>
      <c r="AH434" s="7">
        <v>7.3</v>
      </c>
      <c r="AI434" s="7">
        <v>13.4</v>
      </c>
      <c r="AJ434" s="7">
        <v>45.3</v>
      </c>
      <c r="AK434" s="7">
        <v>48.9</v>
      </c>
      <c r="AL434" s="7">
        <v>8.5</v>
      </c>
      <c r="AM434" s="7">
        <v>101.75</v>
      </c>
      <c r="AN434" s="7">
        <v>3.5</v>
      </c>
      <c r="AO434" s="7">
        <v>1345</v>
      </c>
    </row>
    <row r="435" spans="1:41">
      <c r="A435" s="6" t="s">
        <v>909</v>
      </c>
      <c r="B435" s="6" t="s">
        <v>70</v>
      </c>
      <c r="C435" s="41">
        <f t="shared" si="13"/>
        <v>0.45353572750833021</v>
      </c>
      <c r="D435" s="42">
        <f t="shared" si="12"/>
        <v>2.35</v>
      </c>
      <c r="E435" s="31">
        <v>98</v>
      </c>
      <c r="F435" s="24">
        <v>43</v>
      </c>
      <c r="G435" s="24">
        <v>101</v>
      </c>
      <c r="H435" s="8">
        <v>40.6</v>
      </c>
      <c r="I435" s="9">
        <v>23</v>
      </c>
      <c r="J435" s="8">
        <v>22.7</v>
      </c>
      <c r="K435" s="8">
        <v>12</v>
      </c>
      <c r="L435" s="25">
        <v>16</v>
      </c>
      <c r="M435" s="8">
        <v>73.3</v>
      </c>
      <c r="N435" s="9">
        <v>16</v>
      </c>
      <c r="O435" s="9">
        <v>31</v>
      </c>
      <c r="P435" s="9">
        <v>47</v>
      </c>
      <c r="Q435" s="24">
        <v>47</v>
      </c>
      <c r="R435" s="24">
        <v>20</v>
      </c>
      <c r="S435" s="9">
        <v>16</v>
      </c>
      <c r="T435" s="9">
        <v>4</v>
      </c>
      <c r="U435" s="9">
        <v>20</v>
      </c>
      <c r="V435" s="8">
        <v>257</v>
      </c>
      <c r="W435" s="8">
        <v>0</v>
      </c>
      <c r="X435" s="8">
        <v>0</v>
      </c>
      <c r="Y435" s="7">
        <v>-0.4</v>
      </c>
      <c r="Z435" s="7">
        <v>105</v>
      </c>
      <c r="AA435" s="7">
        <v>107.8</v>
      </c>
      <c r="AB435" s="7">
        <v>-2.8</v>
      </c>
      <c r="AC435" s="7">
        <v>27.4</v>
      </c>
      <c r="AD435" s="7">
        <v>2.67</v>
      </c>
      <c r="AE435" s="7">
        <v>27.6</v>
      </c>
      <c r="AF435" s="7">
        <v>5.5</v>
      </c>
      <c r="AG435" s="7">
        <v>13.1</v>
      </c>
      <c r="AH435" s="7">
        <v>9</v>
      </c>
      <c r="AI435" s="7">
        <v>10.3</v>
      </c>
      <c r="AJ435" s="7">
        <v>43.1</v>
      </c>
      <c r="AK435" s="7">
        <v>45.5</v>
      </c>
      <c r="AL435" s="7">
        <v>20.399999999999999</v>
      </c>
      <c r="AM435" s="7">
        <v>103.26</v>
      </c>
      <c r="AN435" s="7">
        <v>9.3000000000000007</v>
      </c>
      <c r="AO435" s="7">
        <v>536</v>
      </c>
    </row>
    <row r="436" spans="1:41">
      <c r="A436" s="6" t="s">
        <v>911</v>
      </c>
      <c r="B436" s="6" t="s">
        <v>94</v>
      </c>
      <c r="C436" s="41">
        <f t="shared" si="13"/>
        <v>0.57655729909652875</v>
      </c>
      <c r="D436" s="42">
        <f t="shared" si="12"/>
        <v>3.6428571428571428</v>
      </c>
      <c r="E436" s="31">
        <v>97</v>
      </c>
      <c r="F436" s="24">
        <v>32</v>
      </c>
      <c r="G436" s="24">
        <v>74</v>
      </c>
      <c r="H436" s="8">
        <v>43.1</v>
      </c>
      <c r="I436" s="9">
        <v>46</v>
      </c>
      <c r="J436" s="8">
        <v>41.3</v>
      </c>
      <c r="K436" s="8">
        <v>18</v>
      </c>
      <c r="L436" s="25">
        <v>23</v>
      </c>
      <c r="M436" s="8">
        <v>77.3</v>
      </c>
      <c r="N436" s="9">
        <v>5</v>
      </c>
      <c r="O436" s="9">
        <v>23</v>
      </c>
      <c r="P436" s="9">
        <v>32</v>
      </c>
      <c r="Q436" s="24">
        <v>51</v>
      </c>
      <c r="R436" s="24">
        <v>14</v>
      </c>
      <c r="S436" s="9">
        <v>14</v>
      </c>
      <c r="T436" s="8">
        <v>0</v>
      </c>
      <c r="U436" s="9">
        <v>18</v>
      </c>
      <c r="V436" s="8">
        <v>244</v>
      </c>
      <c r="W436" s="8">
        <v>0</v>
      </c>
      <c r="X436" s="8">
        <v>0</v>
      </c>
      <c r="Y436" s="7">
        <v>1.2</v>
      </c>
      <c r="Z436" s="7">
        <v>118</v>
      </c>
      <c r="AA436" s="7">
        <v>108.9</v>
      </c>
      <c r="AB436" s="7">
        <v>9.1</v>
      </c>
      <c r="AC436" s="7">
        <v>20.8</v>
      </c>
      <c r="AD436" s="7">
        <v>3.19</v>
      </c>
      <c r="AE436" s="7">
        <v>34.200000000000003</v>
      </c>
      <c r="AF436" s="7">
        <v>2.1</v>
      </c>
      <c r="AG436" s="7">
        <v>7.4</v>
      </c>
      <c r="AH436" s="7">
        <v>5</v>
      </c>
      <c r="AI436" s="7">
        <v>10.7</v>
      </c>
      <c r="AJ436" s="7">
        <v>56.3</v>
      </c>
      <c r="AK436" s="7">
        <v>60</v>
      </c>
      <c r="AL436" s="7">
        <v>13.4</v>
      </c>
      <c r="AM436" s="7">
        <v>99.58</v>
      </c>
      <c r="AN436" s="7">
        <v>8.3000000000000007</v>
      </c>
      <c r="AO436" s="7">
        <v>651</v>
      </c>
    </row>
    <row r="437" spans="1:41">
      <c r="A437" s="6" t="s">
        <v>913</v>
      </c>
      <c r="B437" s="6" t="s">
        <v>74</v>
      </c>
      <c r="C437" s="41">
        <f t="shared" si="13"/>
        <v>0.54622815087396503</v>
      </c>
      <c r="D437" s="42">
        <f t="shared" si="12"/>
        <v>0.65217391304347827</v>
      </c>
      <c r="E437" s="31">
        <v>95</v>
      </c>
      <c r="F437" s="24">
        <v>42</v>
      </c>
      <c r="G437" s="24">
        <v>72</v>
      </c>
      <c r="H437" s="8">
        <v>55.4</v>
      </c>
      <c r="I437" s="8">
        <v>0</v>
      </c>
      <c r="J437" s="8">
        <v>0</v>
      </c>
      <c r="K437" s="8">
        <v>11</v>
      </c>
      <c r="L437" s="25">
        <v>34</v>
      </c>
      <c r="M437" s="8">
        <v>39.4</v>
      </c>
      <c r="N437" s="9">
        <v>46</v>
      </c>
      <c r="O437" s="9">
        <v>61</v>
      </c>
      <c r="P437" s="9">
        <v>106</v>
      </c>
      <c r="Q437" s="24">
        <v>15</v>
      </c>
      <c r="R437" s="24">
        <v>23</v>
      </c>
      <c r="S437" s="9">
        <v>8</v>
      </c>
      <c r="T437" s="9">
        <v>15</v>
      </c>
      <c r="U437" s="9">
        <v>68</v>
      </c>
      <c r="V437" s="8">
        <v>293</v>
      </c>
      <c r="W437" s="8">
        <v>0</v>
      </c>
      <c r="X437" s="8">
        <v>0</v>
      </c>
      <c r="Y437" s="7">
        <v>-0.5</v>
      </c>
      <c r="Z437" s="7">
        <v>105.6</v>
      </c>
      <c r="AA437" s="7">
        <v>107.8</v>
      </c>
      <c r="AB437" s="7">
        <v>-2.2000000000000002</v>
      </c>
      <c r="AC437" s="7">
        <v>5.8</v>
      </c>
      <c r="AD437" s="7">
        <v>0.67</v>
      </c>
      <c r="AE437" s="7">
        <v>12.3</v>
      </c>
      <c r="AF437" s="7">
        <v>11.4</v>
      </c>
      <c r="AG437" s="7">
        <v>14.1</v>
      </c>
      <c r="AH437" s="7">
        <v>12.8</v>
      </c>
      <c r="AI437" s="7">
        <v>18.5</v>
      </c>
      <c r="AJ437" s="7">
        <v>55.4</v>
      </c>
      <c r="AK437" s="7">
        <v>53.7</v>
      </c>
      <c r="AL437" s="7">
        <v>12.1</v>
      </c>
      <c r="AM437" s="7">
        <v>99.06</v>
      </c>
      <c r="AN437" s="7">
        <v>4.4000000000000004</v>
      </c>
      <c r="AO437" s="7">
        <v>809</v>
      </c>
    </row>
    <row r="438" spans="1:41">
      <c r="A438" s="6" t="s">
        <v>915</v>
      </c>
      <c r="B438" s="6" t="s">
        <v>50</v>
      </c>
      <c r="C438" s="41">
        <f t="shared" si="13"/>
        <v>0.64328277356446373</v>
      </c>
      <c r="D438" s="42">
        <f t="shared" si="12"/>
        <v>1</v>
      </c>
      <c r="E438" s="31">
        <v>95</v>
      </c>
      <c r="F438" s="24">
        <v>42</v>
      </c>
      <c r="G438" s="24">
        <v>69</v>
      </c>
      <c r="H438" s="8">
        <v>63.4</v>
      </c>
      <c r="I438" s="8">
        <v>0</v>
      </c>
      <c r="J438" s="8">
        <v>0</v>
      </c>
      <c r="K438" s="8">
        <v>11</v>
      </c>
      <c r="L438" s="25">
        <v>11</v>
      </c>
      <c r="M438" s="8">
        <v>61.5</v>
      </c>
      <c r="N438" s="9">
        <v>69</v>
      </c>
      <c r="O438" s="9">
        <v>127</v>
      </c>
      <c r="P438" s="9">
        <v>196</v>
      </c>
      <c r="Q438" s="24">
        <v>32</v>
      </c>
      <c r="R438" s="24">
        <v>32</v>
      </c>
      <c r="S438" s="9">
        <v>11</v>
      </c>
      <c r="T438" s="9">
        <v>21</v>
      </c>
      <c r="U438" s="9">
        <v>64</v>
      </c>
      <c r="V438" s="8">
        <v>440</v>
      </c>
      <c r="W438" s="8">
        <v>0</v>
      </c>
      <c r="X438" s="8">
        <v>0</v>
      </c>
      <c r="Y438" s="7">
        <v>0.5</v>
      </c>
      <c r="Z438" s="7">
        <v>111.5</v>
      </c>
      <c r="AA438" s="7">
        <v>109.1</v>
      </c>
      <c r="AB438" s="7">
        <v>2.4</v>
      </c>
      <c r="AC438" s="7">
        <v>6.8</v>
      </c>
      <c r="AD438" s="7">
        <v>1</v>
      </c>
      <c r="AE438" s="7">
        <v>23.1</v>
      </c>
      <c r="AF438" s="7">
        <v>11.4</v>
      </c>
      <c r="AG438" s="7">
        <v>19.600000000000001</v>
      </c>
      <c r="AH438" s="7">
        <v>15.6</v>
      </c>
      <c r="AI438" s="7">
        <v>23.1</v>
      </c>
      <c r="AJ438" s="7">
        <v>63.4</v>
      </c>
      <c r="AK438" s="7">
        <v>63.9</v>
      </c>
      <c r="AL438" s="7">
        <v>7.4</v>
      </c>
      <c r="AM438" s="7">
        <v>98.7</v>
      </c>
      <c r="AN438" s="7">
        <v>7</v>
      </c>
      <c r="AO438" s="7">
        <v>1295</v>
      </c>
    </row>
    <row r="439" spans="1:41">
      <c r="A439" s="6" t="s">
        <v>917</v>
      </c>
      <c r="B439" s="6" t="s">
        <v>196</v>
      </c>
      <c r="C439" s="41">
        <f t="shared" si="13"/>
        <v>0.39938817131203258</v>
      </c>
      <c r="D439" s="42">
        <f t="shared" si="12"/>
        <v>2.9545454545454546</v>
      </c>
      <c r="E439" s="31">
        <v>94</v>
      </c>
      <c r="F439" s="24">
        <v>36</v>
      </c>
      <c r="G439" s="24">
        <v>108</v>
      </c>
      <c r="H439" s="8">
        <v>32.700000000000003</v>
      </c>
      <c r="I439" s="9">
        <v>40</v>
      </c>
      <c r="J439" s="8">
        <v>17.5</v>
      </c>
      <c r="K439" s="8">
        <v>14</v>
      </c>
      <c r="L439" s="25">
        <v>22</v>
      </c>
      <c r="M439" s="8">
        <v>76.2</v>
      </c>
      <c r="N439" s="9">
        <v>14</v>
      </c>
      <c r="O439" s="9">
        <v>25</v>
      </c>
      <c r="P439" s="9">
        <v>40</v>
      </c>
      <c r="Q439" s="24">
        <v>65</v>
      </c>
      <c r="R439" s="24">
        <v>22</v>
      </c>
      <c r="S439" s="9">
        <v>32</v>
      </c>
      <c r="T439" s="9">
        <v>4</v>
      </c>
      <c r="U439" s="9">
        <v>36</v>
      </c>
      <c r="V439" s="8">
        <v>317</v>
      </c>
      <c r="W439" s="8">
        <v>0</v>
      </c>
      <c r="X439" s="8">
        <v>0</v>
      </c>
      <c r="Y439" s="7">
        <v>-3.3</v>
      </c>
      <c r="Z439" s="7">
        <v>98.5</v>
      </c>
      <c r="AA439" s="7">
        <v>110.4</v>
      </c>
      <c r="AB439" s="7">
        <v>-12</v>
      </c>
      <c r="AC439" s="7">
        <v>20.5</v>
      </c>
      <c r="AD439" s="7">
        <v>3</v>
      </c>
      <c r="AE439" s="7">
        <v>31.3</v>
      </c>
      <c r="AF439" s="7">
        <v>2.4</v>
      </c>
      <c r="AG439" s="7">
        <v>6.1</v>
      </c>
      <c r="AH439" s="7">
        <v>4.0999999999999996</v>
      </c>
      <c r="AI439" s="7">
        <v>10.4</v>
      </c>
      <c r="AJ439" s="7">
        <v>36</v>
      </c>
      <c r="AK439" s="7">
        <v>40</v>
      </c>
      <c r="AL439" s="7">
        <v>12.2</v>
      </c>
      <c r="AM439" s="7">
        <v>99.16</v>
      </c>
      <c r="AN439" s="7">
        <v>5.0999999999999996</v>
      </c>
      <c r="AO439" s="7">
        <v>969</v>
      </c>
    </row>
    <row r="440" spans="1:41">
      <c r="A440" s="6" t="s">
        <v>919</v>
      </c>
      <c r="B440" s="6" t="s">
        <v>74</v>
      </c>
      <c r="C440" s="41">
        <f t="shared" si="13"/>
        <v>0.60461956521739135</v>
      </c>
      <c r="D440" s="42">
        <f t="shared" si="12"/>
        <v>1.3636363636363635</v>
      </c>
      <c r="E440" s="31">
        <v>89</v>
      </c>
      <c r="F440" s="24">
        <v>41</v>
      </c>
      <c r="G440" s="24">
        <v>67</v>
      </c>
      <c r="H440" s="8">
        <v>60.6</v>
      </c>
      <c r="I440" s="9">
        <v>4</v>
      </c>
      <c r="J440" s="8">
        <v>0</v>
      </c>
      <c r="K440" s="8">
        <v>11</v>
      </c>
      <c r="L440" s="25">
        <v>15</v>
      </c>
      <c r="M440" s="8">
        <v>71.400000000000006</v>
      </c>
      <c r="N440" s="9">
        <v>33</v>
      </c>
      <c r="O440" s="9">
        <v>56</v>
      </c>
      <c r="P440" s="9">
        <v>93</v>
      </c>
      <c r="Q440" s="24">
        <v>15</v>
      </c>
      <c r="R440" s="24">
        <v>11</v>
      </c>
      <c r="S440" s="9">
        <v>7</v>
      </c>
      <c r="T440" s="9">
        <v>15</v>
      </c>
      <c r="U440" s="9">
        <v>44</v>
      </c>
      <c r="V440" s="8">
        <v>285</v>
      </c>
      <c r="W440" s="8">
        <v>0</v>
      </c>
      <c r="X440" s="8">
        <v>0</v>
      </c>
      <c r="Y440" s="7">
        <v>-0.2</v>
      </c>
      <c r="Z440" s="7">
        <v>104.7</v>
      </c>
      <c r="AA440" s="7">
        <v>106</v>
      </c>
      <c r="AB440" s="7">
        <v>-1.3</v>
      </c>
      <c r="AC440" s="7">
        <v>6.8</v>
      </c>
      <c r="AD440" s="7">
        <v>1.33</v>
      </c>
      <c r="AE440" s="7">
        <v>15.8</v>
      </c>
      <c r="AF440" s="7">
        <v>9.5</v>
      </c>
      <c r="AG440" s="7">
        <v>16.5</v>
      </c>
      <c r="AH440" s="7">
        <v>12.9</v>
      </c>
      <c r="AI440" s="7">
        <v>11.9</v>
      </c>
      <c r="AJ440" s="7">
        <v>60.6</v>
      </c>
      <c r="AK440" s="7">
        <v>62.4</v>
      </c>
      <c r="AL440" s="7">
        <v>10.4</v>
      </c>
      <c r="AM440" s="7">
        <v>101.19</v>
      </c>
      <c r="AN440" s="7">
        <v>8.1999999999999993</v>
      </c>
      <c r="AO440" s="7">
        <v>721</v>
      </c>
    </row>
    <row r="441" spans="1:41">
      <c r="A441" s="6" t="s">
        <v>921</v>
      </c>
      <c r="B441" s="6" t="s">
        <v>56</v>
      </c>
      <c r="C441" s="41">
        <f t="shared" si="13"/>
        <v>0.64235085646780865</v>
      </c>
      <c r="D441" s="42">
        <f t="shared" si="12"/>
        <v>1.2941176470588236</v>
      </c>
      <c r="E441" s="31">
        <v>87</v>
      </c>
      <c r="F441" s="24">
        <v>31</v>
      </c>
      <c r="G441" s="24">
        <v>62</v>
      </c>
      <c r="H441" s="8">
        <v>50.8</v>
      </c>
      <c r="I441" s="9">
        <v>29</v>
      </c>
      <c r="J441" s="8">
        <v>53.3</v>
      </c>
      <c r="K441" s="8">
        <v>8</v>
      </c>
      <c r="L441" s="25">
        <v>13</v>
      </c>
      <c r="M441" s="8">
        <v>75</v>
      </c>
      <c r="N441" s="9">
        <v>13</v>
      </c>
      <c r="O441" s="9">
        <v>24</v>
      </c>
      <c r="P441" s="9">
        <v>36</v>
      </c>
      <c r="Q441" s="24">
        <v>22</v>
      </c>
      <c r="R441" s="24">
        <v>17</v>
      </c>
      <c r="S441" s="9">
        <v>21</v>
      </c>
      <c r="T441" s="9">
        <v>6</v>
      </c>
      <c r="U441" s="9">
        <v>29</v>
      </c>
      <c r="V441" s="8">
        <v>228</v>
      </c>
      <c r="W441" s="8">
        <v>0</v>
      </c>
      <c r="X441" s="8">
        <v>0</v>
      </c>
      <c r="Y441" s="7">
        <v>2.7</v>
      </c>
      <c r="Z441" s="7">
        <v>107.3</v>
      </c>
      <c r="AA441" s="7">
        <v>100.5</v>
      </c>
      <c r="AB441" s="7">
        <v>6.8</v>
      </c>
      <c r="AC441" s="7">
        <v>12.8</v>
      </c>
      <c r="AD441" s="7">
        <v>1.35</v>
      </c>
      <c r="AE441" s="7">
        <v>21.5</v>
      </c>
      <c r="AF441" s="7">
        <v>4.2</v>
      </c>
      <c r="AG441" s="7">
        <v>8.6</v>
      </c>
      <c r="AH441" s="7">
        <v>6.4</v>
      </c>
      <c r="AI441" s="7">
        <v>15.9</v>
      </c>
      <c r="AJ441" s="7">
        <v>63.9</v>
      </c>
      <c r="AK441" s="7">
        <v>65.599999999999994</v>
      </c>
      <c r="AL441" s="7">
        <v>13.1</v>
      </c>
      <c r="AM441" s="7">
        <v>100.58</v>
      </c>
      <c r="AN441" s="7">
        <v>8.1999999999999993</v>
      </c>
      <c r="AO441" s="7">
        <v>562</v>
      </c>
    </row>
    <row r="442" spans="1:41">
      <c r="A442" s="6" t="s">
        <v>923</v>
      </c>
      <c r="B442" s="6" t="s">
        <v>64</v>
      </c>
      <c r="C442" s="41">
        <f t="shared" si="13"/>
        <v>0.67588564325668121</v>
      </c>
      <c r="D442" s="42">
        <f t="shared" si="12"/>
        <v>1.4</v>
      </c>
      <c r="E442" s="31">
        <v>87</v>
      </c>
      <c r="F442" s="24">
        <v>37</v>
      </c>
      <c r="G442" s="24">
        <v>56</v>
      </c>
      <c r="H442" s="8">
        <v>66.099999999999994</v>
      </c>
      <c r="I442" s="8">
        <v>0</v>
      </c>
      <c r="J442" s="8">
        <v>0</v>
      </c>
      <c r="K442" s="8">
        <v>14</v>
      </c>
      <c r="L442" s="25">
        <v>19</v>
      </c>
      <c r="M442" s="8">
        <v>68.400000000000006</v>
      </c>
      <c r="N442" s="9">
        <v>53</v>
      </c>
      <c r="O442" s="9">
        <v>49</v>
      </c>
      <c r="P442" s="9">
        <v>100</v>
      </c>
      <c r="Q442" s="24">
        <v>14</v>
      </c>
      <c r="R442" s="24">
        <v>10</v>
      </c>
      <c r="S442" s="9">
        <v>15</v>
      </c>
      <c r="T442" s="9">
        <v>19</v>
      </c>
      <c r="U442" s="9">
        <v>26</v>
      </c>
      <c r="V442" s="8">
        <v>320</v>
      </c>
      <c r="W442" s="8">
        <v>2</v>
      </c>
      <c r="X442" s="8">
        <v>0</v>
      </c>
      <c r="Y442" s="7">
        <v>1.4</v>
      </c>
      <c r="Z442" s="7">
        <v>113.8</v>
      </c>
      <c r="AA442" s="7">
        <v>108.2</v>
      </c>
      <c r="AB442" s="7">
        <v>5.7</v>
      </c>
      <c r="AC442" s="7">
        <v>6.2</v>
      </c>
      <c r="AD442" s="7">
        <v>1.3</v>
      </c>
      <c r="AE442" s="7">
        <v>14.8</v>
      </c>
      <c r="AF442" s="7">
        <v>17.399999999999999</v>
      </c>
      <c r="AG442" s="7">
        <v>17.600000000000001</v>
      </c>
      <c r="AH442" s="7">
        <v>17.5</v>
      </c>
      <c r="AI442" s="7">
        <v>11.4</v>
      </c>
      <c r="AJ442" s="7">
        <v>66.099999999999994</v>
      </c>
      <c r="AK442" s="7">
        <v>67.599999999999994</v>
      </c>
      <c r="AL442" s="7">
        <v>10.9</v>
      </c>
      <c r="AM442" s="7">
        <v>96.37</v>
      </c>
      <c r="AN442" s="7">
        <v>12.2</v>
      </c>
      <c r="AO442" s="7">
        <v>578</v>
      </c>
    </row>
    <row r="443" spans="1:41">
      <c r="A443" s="6" t="s">
        <v>925</v>
      </c>
      <c r="B443" s="6" t="s">
        <v>164</v>
      </c>
      <c r="C443" s="41">
        <f t="shared" si="13"/>
        <v>0.51361681796464409</v>
      </c>
      <c r="D443" s="42">
        <f t="shared" si="12"/>
        <v>1.6428571428571428</v>
      </c>
      <c r="E443" s="31">
        <v>86</v>
      </c>
      <c r="F443" s="24">
        <v>31</v>
      </c>
      <c r="G443" s="24">
        <v>78</v>
      </c>
      <c r="H443" s="8">
        <v>39.700000000000003</v>
      </c>
      <c r="I443" s="9">
        <v>44</v>
      </c>
      <c r="J443" s="8">
        <v>29.5</v>
      </c>
      <c r="K443" s="8">
        <v>10</v>
      </c>
      <c r="L443" s="25">
        <v>13</v>
      </c>
      <c r="M443" s="8">
        <v>84.6</v>
      </c>
      <c r="N443" s="9">
        <v>4</v>
      </c>
      <c r="O443" s="9">
        <v>16</v>
      </c>
      <c r="P443" s="9">
        <v>20</v>
      </c>
      <c r="Q443" s="24">
        <v>23</v>
      </c>
      <c r="R443" s="24">
        <v>14</v>
      </c>
      <c r="S443" s="9">
        <v>3</v>
      </c>
      <c r="T443" s="9">
        <v>3</v>
      </c>
      <c r="U443" s="9">
        <v>18</v>
      </c>
      <c r="V443" s="8">
        <v>146</v>
      </c>
      <c r="W443" s="8">
        <v>0</v>
      </c>
      <c r="X443" s="8">
        <v>0</v>
      </c>
      <c r="Y443" s="7">
        <v>-2</v>
      </c>
      <c r="Z443" s="7">
        <v>104.5</v>
      </c>
      <c r="AA443" s="7">
        <v>110.4</v>
      </c>
      <c r="AB443" s="7">
        <v>-5.9</v>
      </c>
      <c r="AC443" s="7">
        <v>19.8</v>
      </c>
      <c r="AD443" s="7">
        <v>1.71</v>
      </c>
      <c r="AE443" s="7">
        <v>19.8</v>
      </c>
      <c r="AF443" s="7">
        <v>2</v>
      </c>
      <c r="AG443" s="7">
        <v>7.6</v>
      </c>
      <c r="AH443" s="7">
        <v>4.8</v>
      </c>
      <c r="AI443" s="7">
        <v>11.6</v>
      </c>
      <c r="AJ443" s="7">
        <v>48.1</v>
      </c>
      <c r="AK443" s="7">
        <v>51.4</v>
      </c>
      <c r="AL443" s="7">
        <v>21.3</v>
      </c>
      <c r="AM443" s="7">
        <v>105.49</v>
      </c>
      <c r="AN443" s="7">
        <v>6.5</v>
      </c>
      <c r="AO443" s="7">
        <v>402</v>
      </c>
    </row>
    <row r="444" spans="1:41">
      <c r="A444" s="6" t="s">
        <v>927</v>
      </c>
      <c r="B444" s="6" t="s">
        <v>164</v>
      </c>
      <c r="C444" s="41">
        <f t="shared" si="13"/>
        <v>0.33578509753757596</v>
      </c>
      <c r="D444" s="42">
        <f t="shared" si="12"/>
        <v>2.7666666666666666</v>
      </c>
      <c r="E444" s="31">
        <v>84</v>
      </c>
      <c r="F444" s="24">
        <v>41</v>
      </c>
      <c r="G444" s="24">
        <v>122</v>
      </c>
      <c r="H444" s="8">
        <v>32.799999999999997</v>
      </c>
      <c r="I444" s="9">
        <v>7</v>
      </c>
      <c r="J444" s="8">
        <v>16.7</v>
      </c>
      <c r="K444" s="8">
        <v>5</v>
      </c>
      <c r="L444" s="25">
        <v>7</v>
      </c>
      <c r="M444" s="8">
        <v>57.1</v>
      </c>
      <c r="N444" s="9">
        <v>14</v>
      </c>
      <c r="O444" s="9">
        <v>65</v>
      </c>
      <c r="P444" s="9">
        <v>79</v>
      </c>
      <c r="Q444" s="24">
        <v>166</v>
      </c>
      <c r="R444" s="24">
        <v>60</v>
      </c>
      <c r="S444" s="9">
        <v>24</v>
      </c>
      <c r="T444" s="9">
        <v>12</v>
      </c>
      <c r="U444" s="9">
        <v>36</v>
      </c>
      <c r="V444" s="8">
        <v>475</v>
      </c>
      <c r="W444" s="8">
        <v>2</v>
      </c>
      <c r="X444" s="8">
        <v>0</v>
      </c>
      <c r="Y444" s="7">
        <v>-6.2</v>
      </c>
      <c r="Z444" s="7">
        <v>99.7</v>
      </c>
      <c r="AA444" s="7">
        <v>113.1</v>
      </c>
      <c r="AB444" s="7">
        <v>-13.4</v>
      </c>
      <c r="AC444" s="7">
        <v>44.3</v>
      </c>
      <c r="AD444" s="7">
        <v>2.81</v>
      </c>
      <c r="AE444" s="7">
        <v>47.4</v>
      </c>
      <c r="AF444" s="7">
        <v>2.7</v>
      </c>
      <c r="AG444" s="7">
        <v>11.4</v>
      </c>
      <c r="AH444" s="7">
        <v>7.1</v>
      </c>
      <c r="AI444" s="7">
        <v>16.899999999999999</v>
      </c>
      <c r="AJ444" s="7">
        <v>33.200000000000003</v>
      </c>
      <c r="AK444" s="7">
        <v>34</v>
      </c>
      <c r="AL444" s="7">
        <v>15.1</v>
      </c>
      <c r="AM444" s="7">
        <v>101.3</v>
      </c>
      <c r="AN444" s="7">
        <v>7.9</v>
      </c>
      <c r="AO444" s="7">
        <v>1076</v>
      </c>
    </row>
    <row r="445" spans="1:41">
      <c r="A445" s="6" t="s">
        <v>929</v>
      </c>
      <c r="B445" s="6" t="s">
        <v>52</v>
      </c>
      <c r="C445" s="41">
        <f t="shared" si="13"/>
        <v>0.47482837528604116</v>
      </c>
      <c r="D445" s="42">
        <f t="shared" si="12"/>
        <v>1.3125</v>
      </c>
      <c r="E445" s="31">
        <v>83</v>
      </c>
      <c r="F445" s="24">
        <v>31</v>
      </c>
      <c r="G445" s="24">
        <v>83</v>
      </c>
      <c r="H445" s="8">
        <v>36.1</v>
      </c>
      <c r="I445" s="9">
        <v>57</v>
      </c>
      <c r="J445" s="8">
        <v>27.3</v>
      </c>
      <c r="K445" s="8">
        <v>5</v>
      </c>
      <c r="L445" s="25">
        <v>10</v>
      </c>
      <c r="M445" s="8">
        <v>58.3</v>
      </c>
      <c r="N445" s="9">
        <v>21</v>
      </c>
      <c r="O445" s="9">
        <v>47</v>
      </c>
      <c r="P445" s="9">
        <v>68</v>
      </c>
      <c r="Q445" s="24">
        <v>21</v>
      </c>
      <c r="R445" s="24">
        <v>16</v>
      </c>
      <c r="S445" s="9">
        <v>10</v>
      </c>
      <c r="T445" s="9">
        <v>10</v>
      </c>
      <c r="U445" s="9">
        <v>31</v>
      </c>
      <c r="V445" s="8">
        <v>244</v>
      </c>
      <c r="W445" s="8">
        <v>0</v>
      </c>
      <c r="X445" s="8">
        <v>0</v>
      </c>
      <c r="Y445" s="7">
        <v>0.5</v>
      </c>
      <c r="Z445" s="7">
        <v>111.8</v>
      </c>
      <c r="AA445" s="7">
        <v>108</v>
      </c>
      <c r="AB445" s="7">
        <v>3.8</v>
      </c>
      <c r="AC445" s="7">
        <v>6.4</v>
      </c>
      <c r="AD445" s="7">
        <v>1.1200000000000001</v>
      </c>
      <c r="AE445" s="7">
        <v>15.3</v>
      </c>
      <c r="AF445" s="7">
        <v>5.7</v>
      </c>
      <c r="AG445" s="7">
        <v>11.3</v>
      </c>
      <c r="AH445" s="7">
        <v>8.5</v>
      </c>
      <c r="AI445" s="7">
        <v>13.7</v>
      </c>
      <c r="AJ445" s="7">
        <v>45.2</v>
      </c>
      <c r="AK445" s="7">
        <v>46.4</v>
      </c>
      <c r="AL445" s="7">
        <v>11</v>
      </c>
      <c r="AM445" s="7">
        <v>98.14</v>
      </c>
      <c r="AN445" s="7">
        <v>4.5</v>
      </c>
      <c r="AO445" s="7">
        <v>821</v>
      </c>
    </row>
    <row r="446" spans="1:41">
      <c r="A446" s="6" t="s">
        <v>931</v>
      </c>
      <c r="B446" s="6" t="s">
        <v>54</v>
      </c>
      <c r="C446" s="41">
        <f t="shared" si="13"/>
        <v>0.49522673031026254</v>
      </c>
      <c r="D446" s="42">
        <f t="shared" si="12"/>
        <v>1</v>
      </c>
      <c r="E446" s="31">
        <v>83</v>
      </c>
      <c r="F446" s="24">
        <v>28</v>
      </c>
      <c r="G446" s="24">
        <v>75</v>
      </c>
      <c r="H446" s="8">
        <v>36.5</v>
      </c>
      <c r="I446" s="9">
        <v>38</v>
      </c>
      <c r="J446" s="8">
        <v>24.3</v>
      </c>
      <c r="K446" s="8">
        <v>20</v>
      </c>
      <c r="L446" s="25">
        <v>20</v>
      </c>
      <c r="M446" s="8">
        <v>95.2</v>
      </c>
      <c r="N446" s="9">
        <v>3</v>
      </c>
      <c r="O446" s="9">
        <v>18</v>
      </c>
      <c r="P446" s="9">
        <v>20</v>
      </c>
      <c r="Q446" s="24">
        <v>10</v>
      </c>
      <c r="R446" s="24">
        <v>10</v>
      </c>
      <c r="S446" s="9">
        <v>5</v>
      </c>
      <c r="T446" s="8">
        <v>0</v>
      </c>
      <c r="U446" s="9">
        <v>5</v>
      </c>
      <c r="V446" s="8">
        <v>133</v>
      </c>
      <c r="W446" s="8">
        <v>0</v>
      </c>
      <c r="X446" s="8">
        <v>0</v>
      </c>
      <c r="Y446" s="7">
        <v>1</v>
      </c>
      <c r="Z446" s="7">
        <v>104.7</v>
      </c>
      <c r="AA446" s="7">
        <v>98.7</v>
      </c>
      <c r="AB446" s="7">
        <v>6</v>
      </c>
      <c r="AC446" s="7">
        <v>12.1</v>
      </c>
      <c r="AD446" s="7">
        <v>1.1000000000000001</v>
      </c>
      <c r="AE446" s="7">
        <v>10.5</v>
      </c>
      <c r="AF446" s="7">
        <v>2</v>
      </c>
      <c r="AG446" s="7">
        <v>10.4</v>
      </c>
      <c r="AH446" s="7">
        <v>6.4</v>
      </c>
      <c r="AI446" s="7">
        <v>9.5</v>
      </c>
      <c r="AJ446" s="7">
        <v>42.6</v>
      </c>
      <c r="AK446" s="7">
        <v>49.9</v>
      </c>
      <c r="AL446" s="7">
        <v>26.9</v>
      </c>
      <c r="AM446" s="7">
        <v>104.99</v>
      </c>
      <c r="AN446" s="7">
        <v>8.9</v>
      </c>
      <c r="AO446" s="7">
        <v>318</v>
      </c>
    </row>
    <row r="447" spans="1:41">
      <c r="A447" s="6" t="s">
        <v>933</v>
      </c>
      <c r="B447" s="6" t="s">
        <v>64</v>
      </c>
      <c r="C447" s="41">
        <f t="shared" si="13"/>
        <v>0.4604672057502246</v>
      </c>
      <c r="D447" s="42">
        <f t="shared" si="12"/>
        <v>4.375</v>
      </c>
      <c r="E447" s="31">
        <v>82</v>
      </c>
      <c r="F447" s="24">
        <v>29</v>
      </c>
      <c r="G447" s="24">
        <v>82</v>
      </c>
      <c r="H447" s="8">
        <v>32.9</v>
      </c>
      <c r="I447" s="9">
        <v>45</v>
      </c>
      <c r="J447" s="8">
        <v>29.8</v>
      </c>
      <c r="K447" s="8">
        <v>12</v>
      </c>
      <c r="L447" s="25">
        <v>16</v>
      </c>
      <c r="M447" s="8">
        <v>76.5</v>
      </c>
      <c r="N447" s="9">
        <v>8</v>
      </c>
      <c r="O447" s="9">
        <v>21</v>
      </c>
      <c r="P447" s="9">
        <v>29</v>
      </c>
      <c r="Q447" s="24">
        <v>70</v>
      </c>
      <c r="R447" s="24">
        <v>16</v>
      </c>
      <c r="S447" s="9">
        <v>12</v>
      </c>
      <c r="T447" s="9">
        <v>4</v>
      </c>
      <c r="U447" s="9">
        <v>25</v>
      </c>
      <c r="V447" s="8">
        <v>250</v>
      </c>
      <c r="W447" s="8">
        <v>0</v>
      </c>
      <c r="X447" s="8">
        <v>0</v>
      </c>
      <c r="Y447" s="7">
        <v>0</v>
      </c>
      <c r="Z447" s="7">
        <v>104.1</v>
      </c>
      <c r="AA447" s="7">
        <v>104.4</v>
      </c>
      <c r="AB447" s="7">
        <v>-0.3</v>
      </c>
      <c r="AC447" s="7">
        <v>32.1</v>
      </c>
      <c r="AD447" s="7">
        <v>3.89</v>
      </c>
      <c r="AE447" s="7">
        <v>39.299999999999997</v>
      </c>
      <c r="AF447" s="7">
        <v>2.7</v>
      </c>
      <c r="AG447" s="7">
        <v>5.9</v>
      </c>
      <c r="AH447" s="7">
        <v>4.3</v>
      </c>
      <c r="AI447" s="7">
        <v>10.1</v>
      </c>
      <c r="AJ447" s="7">
        <v>41.5</v>
      </c>
      <c r="AK447" s="7">
        <v>45.3</v>
      </c>
      <c r="AL447" s="7">
        <v>15.2</v>
      </c>
      <c r="AM447" s="7">
        <v>102.35</v>
      </c>
      <c r="AN447" s="7">
        <v>7.2</v>
      </c>
      <c r="AO447" s="7">
        <v>632</v>
      </c>
    </row>
    <row r="448" spans="1:41">
      <c r="A448" s="6" t="s">
        <v>935</v>
      </c>
      <c r="B448" s="6" t="s">
        <v>114</v>
      </c>
      <c r="C448" s="41">
        <f t="shared" si="13"/>
        <v>0.48716730038022815</v>
      </c>
      <c r="D448" s="42">
        <f t="shared" si="12"/>
        <v>1.4285714285714286</v>
      </c>
      <c r="E448" s="31">
        <v>82</v>
      </c>
      <c r="F448" s="24">
        <v>31</v>
      </c>
      <c r="G448" s="24">
        <v>78</v>
      </c>
      <c r="H448" s="8">
        <v>41</v>
      </c>
      <c r="I448" s="9">
        <v>31</v>
      </c>
      <c r="J448" s="8">
        <v>24.1</v>
      </c>
      <c r="K448" s="8">
        <v>10</v>
      </c>
      <c r="L448" s="25">
        <v>14</v>
      </c>
      <c r="M448" s="8">
        <v>60</v>
      </c>
      <c r="N448" s="9">
        <v>10</v>
      </c>
      <c r="O448" s="9">
        <v>27</v>
      </c>
      <c r="P448" s="9">
        <v>37</v>
      </c>
      <c r="Q448" s="24">
        <v>10</v>
      </c>
      <c r="R448" s="24">
        <v>7</v>
      </c>
      <c r="S448" s="9">
        <v>14</v>
      </c>
      <c r="T448" s="9">
        <v>7</v>
      </c>
      <c r="U448" s="9">
        <v>17</v>
      </c>
      <c r="V448" s="8">
        <v>197</v>
      </c>
      <c r="W448" s="8">
        <v>0</v>
      </c>
      <c r="X448" s="8">
        <v>0</v>
      </c>
      <c r="Y448" s="7">
        <v>-0.8</v>
      </c>
      <c r="Z448" s="7">
        <v>104.7</v>
      </c>
      <c r="AA448" s="7">
        <v>107.2</v>
      </c>
      <c r="AB448" s="7">
        <v>-2.5</v>
      </c>
      <c r="AC448" s="7">
        <v>6.4</v>
      </c>
      <c r="AD448" s="7">
        <v>1.57</v>
      </c>
      <c r="AE448" s="7">
        <v>10.7</v>
      </c>
      <c r="AF448" s="7">
        <v>3.6</v>
      </c>
      <c r="AG448" s="7">
        <v>10.4</v>
      </c>
      <c r="AH448" s="7">
        <v>6.9</v>
      </c>
      <c r="AI448" s="7">
        <v>6.8</v>
      </c>
      <c r="AJ448" s="7">
        <v>45.5</v>
      </c>
      <c r="AK448" s="7">
        <v>47.3</v>
      </c>
      <c r="AL448" s="7">
        <v>15</v>
      </c>
      <c r="AM448" s="7">
        <v>106.66</v>
      </c>
      <c r="AN448" s="7">
        <v>6.7</v>
      </c>
      <c r="AO448" s="7">
        <v>531</v>
      </c>
    </row>
    <row r="449" spans="1:41">
      <c r="A449" s="6" t="s">
        <v>937</v>
      </c>
      <c r="B449" s="6" t="s">
        <v>64</v>
      </c>
      <c r="C449" s="41">
        <f t="shared" si="13"/>
        <v>0.53121720881427081</v>
      </c>
      <c r="D449" s="42">
        <f t="shared" si="12"/>
        <v>0.7857142857142857</v>
      </c>
      <c r="E449" s="31">
        <v>81</v>
      </c>
      <c r="F449" s="24">
        <v>28</v>
      </c>
      <c r="G449" s="24">
        <v>67</v>
      </c>
      <c r="H449" s="8">
        <v>41.5</v>
      </c>
      <c r="I449" s="9">
        <v>28</v>
      </c>
      <c r="J449" s="8">
        <v>34.5</v>
      </c>
      <c r="K449" s="8">
        <v>14</v>
      </c>
      <c r="L449" s="25">
        <v>21</v>
      </c>
      <c r="M449" s="8">
        <v>75</v>
      </c>
      <c r="N449" s="9">
        <v>11</v>
      </c>
      <c r="O449" s="9">
        <v>32</v>
      </c>
      <c r="P449" s="9">
        <v>46</v>
      </c>
      <c r="Q449" s="24">
        <v>11</v>
      </c>
      <c r="R449" s="24">
        <v>14</v>
      </c>
      <c r="S449" s="9">
        <v>4</v>
      </c>
      <c r="T449" s="8">
        <v>0</v>
      </c>
      <c r="U449" s="9">
        <v>14</v>
      </c>
      <c r="V449" s="8">
        <v>147</v>
      </c>
      <c r="W449" s="8">
        <v>0</v>
      </c>
      <c r="X449" s="8">
        <v>0</v>
      </c>
      <c r="Y449" s="7">
        <v>0.3</v>
      </c>
      <c r="Z449" s="7">
        <v>94.8</v>
      </c>
      <c r="AA449" s="7">
        <v>92</v>
      </c>
      <c r="AB449" s="7">
        <v>2.9</v>
      </c>
      <c r="AC449" s="7">
        <v>12.4</v>
      </c>
      <c r="AD449" s="7">
        <v>0.73</v>
      </c>
      <c r="AE449" s="7">
        <v>10.9</v>
      </c>
      <c r="AF449" s="7">
        <v>6.4</v>
      </c>
      <c r="AG449" s="7">
        <v>19.8</v>
      </c>
      <c r="AH449" s="7">
        <v>12.9</v>
      </c>
      <c r="AI449" s="7">
        <v>14.9</v>
      </c>
      <c r="AJ449" s="7">
        <v>49.2</v>
      </c>
      <c r="AK449" s="7">
        <v>53.5</v>
      </c>
      <c r="AL449" s="7">
        <v>22.2</v>
      </c>
      <c r="AM449" s="7">
        <v>106.73</v>
      </c>
      <c r="AN449" s="7">
        <v>12.3</v>
      </c>
      <c r="AO449" s="7">
        <v>347</v>
      </c>
    </row>
    <row r="450" spans="1:41">
      <c r="A450" s="6" t="s">
        <v>939</v>
      </c>
      <c r="B450" s="6" t="s">
        <v>114</v>
      </c>
      <c r="C450" s="41">
        <f t="shared" si="13"/>
        <v>0.4974489795918367</v>
      </c>
      <c r="D450" s="42">
        <f t="shared" ref="D450:D513" si="14">IFERROR(Q450/R450,"NA")</f>
        <v>1.3846153846153846</v>
      </c>
      <c r="E450" s="31">
        <v>78</v>
      </c>
      <c r="F450" s="24">
        <v>30</v>
      </c>
      <c r="G450" s="24">
        <v>74</v>
      </c>
      <c r="H450" s="8">
        <v>41.9</v>
      </c>
      <c r="I450" s="9">
        <v>22</v>
      </c>
      <c r="J450" s="8">
        <v>30.4</v>
      </c>
      <c r="K450" s="8">
        <v>10</v>
      </c>
      <c r="L450" s="25">
        <v>10</v>
      </c>
      <c r="M450" s="8">
        <v>90</v>
      </c>
      <c r="N450" s="9">
        <v>11</v>
      </c>
      <c r="O450" s="9">
        <v>34</v>
      </c>
      <c r="P450" s="9">
        <v>45</v>
      </c>
      <c r="Q450" s="24">
        <v>18</v>
      </c>
      <c r="R450" s="24">
        <v>13</v>
      </c>
      <c r="S450" s="9">
        <v>10</v>
      </c>
      <c r="T450" s="8">
        <v>0</v>
      </c>
      <c r="U450" s="9">
        <v>14</v>
      </c>
      <c r="V450" s="8">
        <v>171</v>
      </c>
      <c r="W450" s="8">
        <v>0</v>
      </c>
      <c r="X450" s="8">
        <v>0</v>
      </c>
      <c r="Y450" s="7">
        <v>-8.1999999999999993</v>
      </c>
      <c r="Z450" s="7">
        <v>93.6</v>
      </c>
      <c r="AA450" s="7">
        <v>120.7</v>
      </c>
      <c r="AB450" s="7">
        <v>-27.1</v>
      </c>
      <c r="AC450" s="7">
        <v>12</v>
      </c>
      <c r="AD450" s="7">
        <v>1.42</v>
      </c>
      <c r="AE450" s="7">
        <v>16</v>
      </c>
      <c r="AF450" s="7">
        <v>4</v>
      </c>
      <c r="AG450" s="7">
        <v>14.1</v>
      </c>
      <c r="AH450" s="7">
        <v>8.6</v>
      </c>
      <c r="AI450" s="7">
        <v>11.3</v>
      </c>
      <c r="AJ450" s="7">
        <v>46.6</v>
      </c>
      <c r="AK450" s="7">
        <v>49.7</v>
      </c>
      <c r="AL450" s="7">
        <v>15.5</v>
      </c>
      <c r="AM450" s="7">
        <v>100.58</v>
      </c>
      <c r="AN450" s="7">
        <v>7.4</v>
      </c>
      <c r="AO450" s="7">
        <v>502</v>
      </c>
    </row>
    <row r="451" spans="1:41">
      <c r="A451" s="6" t="s">
        <v>941</v>
      </c>
      <c r="B451" s="6" t="s">
        <v>116</v>
      </c>
      <c r="C451" s="41">
        <f t="shared" ref="C451:C514" si="15">IFERROR((E451/(2*(G451+0.44*L451))),"NA")</f>
        <v>0.64946018893387314</v>
      </c>
      <c r="D451" s="42">
        <f t="shared" si="14"/>
        <v>0.83333333333333337</v>
      </c>
      <c r="E451" s="31">
        <v>77</v>
      </c>
      <c r="F451" s="24">
        <v>26</v>
      </c>
      <c r="G451" s="24">
        <v>54</v>
      </c>
      <c r="H451" s="8">
        <v>48.1</v>
      </c>
      <c r="I451" s="9">
        <v>41</v>
      </c>
      <c r="J451" s="8">
        <v>36.6</v>
      </c>
      <c r="K451" s="8">
        <v>9</v>
      </c>
      <c r="L451" s="25">
        <v>12</v>
      </c>
      <c r="M451" s="8">
        <v>75</v>
      </c>
      <c r="N451" s="9">
        <v>9</v>
      </c>
      <c r="O451" s="9">
        <v>38</v>
      </c>
      <c r="P451" s="9">
        <v>47</v>
      </c>
      <c r="Q451" s="24">
        <v>5</v>
      </c>
      <c r="R451" s="24">
        <v>6</v>
      </c>
      <c r="S451" s="9">
        <v>11</v>
      </c>
      <c r="T451" s="9">
        <v>11</v>
      </c>
      <c r="U451" s="9">
        <v>21</v>
      </c>
      <c r="V451" s="8">
        <v>192</v>
      </c>
      <c r="W451" s="8">
        <v>0</v>
      </c>
      <c r="X451" s="8">
        <v>0</v>
      </c>
      <c r="Y451" s="7">
        <v>1.3</v>
      </c>
      <c r="Z451" s="7">
        <v>117.3</v>
      </c>
      <c r="AA451" s="7">
        <v>111.8</v>
      </c>
      <c r="AB451" s="7">
        <v>5.5</v>
      </c>
      <c r="AC451" s="7">
        <v>2.2999999999999998</v>
      </c>
      <c r="AD451" s="7">
        <v>0.67</v>
      </c>
      <c r="AE451" s="7">
        <v>5.8</v>
      </c>
      <c r="AF451" s="7">
        <v>4.0999999999999996</v>
      </c>
      <c r="AG451" s="7">
        <v>16.100000000000001</v>
      </c>
      <c r="AH451" s="7">
        <v>10.3</v>
      </c>
      <c r="AI451" s="7">
        <v>8.6999999999999993</v>
      </c>
      <c r="AJ451" s="7">
        <v>62</v>
      </c>
      <c r="AK451" s="7">
        <v>64.099999999999994</v>
      </c>
      <c r="AL451" s="7">
        <v>12.3</v>
      </c>
      <c r="AM451" s="7">
        <v>104.64</v>
      </c>
      <c r="AN451" s="7">
        <v>7.9</v>
      </c>
      <c r="AO451" s="7">
        <v>468</v>
      </c>
    </row>
    <row r="452" spans="1:41">
      <c r="A452" s="6" t="s">
        <v>943</v>
      </c>
      <c r="B452" s="6" t="s">
        <v>62</v>
      </c>
      <c r="C452" s="41">
        <f t="shared" si="15"/>
        <v>0.50317796610169496</v>
      </c>
      <c r="D452" s="42">
        <f t="shared" si="14"/>
        <v>2</v>
      </c>
      <c r="E452" s="31">
        <v>76</v>
      </c>
      <c r="F452" s="24">
        <v>32</v>
      </c>
      <c r="G452" s="24">
        <v>72</v>
      </c>
      <c r="H452" s="8">
        <v>45.8</v>
      </c>
      <c r="I452" s="9">
        <v>28</v>
      </c>
      <c r="J452" s="8">
        <v>23.1</v>
      </c>
      <c r="K452" s="8">
        <v>4</v>
      </c>
      <c r="L452" s="25">
        <v>8</v>
      </c>
      <c r="M452" s="8">
        <v>71.400000000000006</v>
      </c>
      <c r="N452" s="9">
        <v>20</v>
      </c>
      <c r="O452" s="9">
        <v>48</v>
      </c>
      <c r="P452" s="9">
        <v>64</v>
      </c>
      <c r="Q452" s="24">
        <v>24</v>
      </c>
      <c r="R452" s="24">
        <v>12</v>
      </c>
      <c r="S452" s="9">
        <v>8</v>
      </c>
      <c r="T452" s="9">
        <v>4</v>
      </c>
      <c r="U452" s="9">
        <v>24</v>
      </c>
      <c r="V452" s="8">
        <v>212</v>
      </c>
      <c r="W452" s="8">
        <v>0</v>
      </c>
      <c r="X452" s="8">
        <v>0</v>
      </c>
      <c r="Y452" s="7">
        <v>-1.3</v>
      </c>
      <c r="Z452" s="7">
        <v>105.9</v>
      </c>
      <c r="AA452" s="7">
        <v>114.7</v>
      </c>
      <c r="AB452" s="7">
        <v>-8.6999999999999993</v>
      </c>
      <c r="AC452" s="7">
        <v>13.7</v>
      </c>
      <c r="AD452" s="7">
        <v>2</v>
      </c>
      <c r="AE452" s="7">
        <v>21.8</v>
      </c>
      <c r="AF452" s="7">
        <v>7</v>
      </c>
      <c r="AG452" s="7">
        <v>17.600000000000001</v>
      </c>
      <c r="AH452" s="7">
        <v>12.2</v>
      </c>
      <c r="AI452" s="7">
        <v>10.9</v>
      </c>
      <c r="AJ452" s="7">
        <v>50</v>
      </c>
      <c r="AK452" s="7">
        <v>51.3</v>
      </c>
      <c r="AL452" s="7">
        <v>13.4</v>
      </c>
      <c r="AM452" s="7">
        <v>98.21</v>
      </c>
      <c r="AN452" s="7">
        <v>8.3000000000000007</v>
      </c>
      <c r="AO452" s="7">
        <v>555</v>
      </c>
    </row>
    <row r="453" spans="1:41">
      <c r="A453" s="6" t="s">
        <v>945</v>
      </c>
      <c r="B453" s="6" t="s">
        <v>144</v>
      </c>
      <c r="C453" s="41">
        <f t="shared" si="15"/>
        <v>0.702247191011236</v>
      </c>
      <c r="D453" s="42">
        <f t="shared" si="14"/>
        <v>0.3</v>
      </c>
      <c r="E453" s="31">
        <v>75</v>
      </c>
      <c r="F453" s="24">
        <v>34</v>
      </c>
      <c r="G453" s="24">
        <v>49</v>
      </c>
      <c r="H453" s="8">
        <v>69.400000000000006</v>
      </c>
      <c r="I453" s="8">
        <v>0</v>
      </c>
      <c r="J453" s="8">
        <v>0</v>
      </c>
      <c r="K453" s="8">
        <v>8</v>
      </c>
      <c r="L453" s="25">
        <v>10</v>
      </c>
      <c r="M453" s="8">
        <v>72.7</v>
      </c>
      <c r="N453" s="9">
        <v>12</v>
      </c>
      <c r="O453" s="9">
        <v>33</v>
      </c>
      <c r="P453" s="9">
        <v>44</v>
      </c>
      <c r="Q453" s="24">
        <v>3</v>
      </c>
      <c r="R453" s="24">
        <v>10</v>
      </c>
      <c r="S453" s="9">
        <v>7</v>
      </c>
      <c r="T453" s="9">
        <v>4</v>
      </c>
      <c r="U453" s="9">
        <v>17</v>
      </c>
      <c r="V453" s="8">
        <v>151</v>
      </c>
      <c r="W453" s="8">
        <v>1</v>
      </c>
      <c r="X453" s="8">
        <v>0</v>
      </c>
      <c r="Y453" s="7">
        <v>-1.1000000000000001</v>
      </c>
      <c r="Z453" s="7">
        <v>101.5</v>
      </c>
      <c r="AA453" s="7">
        <v>105.9</v>
      </c>
      <c r="AB453" s="7">
        <v>-4.4000000000000004</v>
      </c>
      <c r="AC453" s="7">
        <v>2.9</v>
      </c>
      <c r="AD453" s="7">
        <v>0.18</v>
      </c>
      <c r="AE453" s="7">
        <v>3</v>
      </c>
      <c r="AF453" s="7">
        <v>9.8000000000000007</v>
      </c>
      <c r="AG453" s="7">
        <v>22.4</v>
      </c>
      <c r="AH453" s="7">
        <v>16.5</v>
      </c>
      <c r="AI453" s="7">
        <v>16.7</v>
      </c>
      <c r="AJ453" s="7">
        <v>69.400000000000006</v>
      </c>
      <c r="AK453" s="7">
        <v>70.599999999999994</v>
      </c>
      <c r="AL453" s="7">
        <v>21.6</v>
      </c>
      <c r="AM453" s="7">
        <v>108.49</v>
      </c>
      <c r="AN453" s="7">
        <v>15.4</v>
      </c>
      <c r="AO453" s="7">
        <v>267</v>
      </c>
    </row>
    <row r="454" spans="1:41">
      <c r="A454" s="6" t="s">
        <v>947</v>
      </c>
      <c r="B454" s="6" t="s">
        <v>82</v>
      </c>
      <c r="C454" s="41">
        <f t="shared" si="15"/>
        <v>0.55637982195845692</v>
      </c>
      <c r="D454" s="42">
        <f t="shared" si="14"/>
        <v>0.9</v>
      </c>
      <c r="E454" s="31">
        <v>75</v>
      </c>
      <c r="F454" s="24">
        <v>29</v>
      </c>
      <c r="G454" s="24">
        <v>63</v>
      </c>
      <c r="H454" s="8">
        <v>46</v>
      </c>
      <c r="I454" s="9">
        <v>27</v>
      </c>
      <c r="J454" s="8">
        <v>29.6</v>
      </c>
      <c r="K454" s="8">
        <v>9</v>
      </c>
      <c r="L454" s="25">
        <v>10</v>
      </c>
      <c r="M454" s="8">
        <v>72.7</v>
      </c>
      <c r="N454" s="9">
        <v>3</v>
      </c>
      <c r="O454" s="9">
        <v>34</v>
      </c>
      <c r="P454" s="9">
        <v>37</v>
      </c>
      <c r="Q454" s="24">
        <v>9</v>
      </c>
      <c r="R454" s="24">
        <v>10</v>
      </c>
      <c r="S454" s="9">
        <v>5</v>
      </c>
      <c r="T454" s="9">
        <v>3</v>
      </c>
      <c r="U454" s="9">
        <v>15</v>
      </c>
      <c r="V454" s="8">
        <v>146</v>
      </c>
      <c r="W454" s="8">
        <v>0</v>
      </c>
      <c r="X454" s="8">
        <v>0</v>
      </c>
      <c r="Y454" s="7">
        <v>3.9</v>
      </c>
      <c r="Z454" s="7">
        <v>128.19999999999999</v>
      </c>
      <c r="AA454" s="7">
        <v>101.8</v>
      </c>
      <c r="AB454" s="7">
        <v>26.4</v>
      </c>
      <c r="AC454" s="7">
        <v>6.3</v>
      </c>
      <c r="AD454" s="7">
        <v>0.8</v>
      </c>
      <c r="AE454" s="7">
        <v>9.3000000000000007</v>
      </c>
      <c r="AF454" s="7">
        <v>2.7</v>
      </c>
      <c r="AG454" s="7">
        <v>18.399999999999999</v>
      </c>
      <c r="AH454" s="7">
        <v>11.4</v>
      </c>
      <c r="AI454" s="7">
        <v>11.6</v>
      </c>
      <c r="AJ454" s="7">
        <v>52.4</v>
      </c>
      <c r="AK454" s="7">
        <v>54.5</v>
      </c>
      <c r="AL454" s="7">
        <v>21</v>
      </c>
      <c r="AM454" s="7">
        <v>102.46</v>
      </c>
      <c r="AN454" s="7">
        <v>9</v>
      </c>
      <c r="AO454" s="7">
        <v>323</v>
      </c>
    </row>
    <row r="455" spans="1:41">
      <c r="A455" s="6" t="s">
        <v>949</v>
      </c>
      <c r="B455" s="6" t="s">
        <v>74</v>
      </c>
      <c r="C455" s="41">
        <f t="shared" si="15"/>
        <v>0.51446051167964402</v>
      </c>
      <c r="D455" s="42">
        <f t="shared" si="14"/>
        <v>2.0555555555555554</v>
      </c>
      <c r="E455" s="31">
        <v>74</v>
      </c>
      <c r="F455" s="24">
        <v>32</v>
      </c>
      <c r="G455" s="24">
        <v>64</v>
      </c>
      <c r="H455" s="8">
        <v>50.8</v>
      </c>
      <c r="I455" s="9">
        <v>9</v>
      </c>
      <c r="J455" s="8">
        <v>22.2</v>
      </c>
      <c r="K455" s="8">
        <v>9</v>
      </c>
      <c r="L455" s="25">
        <v>18</v>
      </c>
      <c r="M455" s="8">
        <v>47.1</v>
      </c>
      <c r="N455" s="9">
        <v>37</v>
      </c>
      <c r="O455" s="9">
        <v>55</v>
      </c>
      <c r="P455" s="9">
        <v>97</v>
      </c>
      <c r="Q455" s="24">
        <v>37</v>
      </c>
      <c r="R455" s="24">
        <v>18</v>
      </c>
      <c r="S455" s="9">
        <v>9</v>
      </c>
      <c r="T455" s="9">
        <v>23</v>
      </c>
      <c r="U455" s="9">
        <v>55</v>
      </c>
      <c r="V455" s="8">
        <v>313</v>
      </c>
      <c r="W455" s="8">
        <v>0</v>
      </c>
      <c r="X455" s="8">
        <v>0</v>
      </c>
      <c r="Y455" s="7">
        <v>-3.3</v>
      </c>
      <c r="Z455" s="7">
        <v>101.4</v>
      </c>
      <c r="AA455" s="7">
        <v>118.9</v>
      </c>
      <c r="AB455" s="7">
        <v>-17.5</v>
      </c>
      <c r="AC455" s="7">
        <v>14.3</v>
      </c>
      <c r="AD455" s="7">
        <v>1.9</v>
      </c>
      <c r="AE455" s="7">
        <v>29.5</v>
      </c>
      <c r="AF455" s="7">
        <v>9.4</v>
      </c>
      <c r="AG455" s="7">
        <v>14.2</v>
      </c>
      <c r="AH455" s="7">
        <v>11.8</v>
      </c>
      <c r="AI455" s="7">
        <v>15.5</v>
      </c>
      <c r="AJ455" s="7">
        <v>52.4</v>
      </c>
      <c r="AK455" s="7">
        <v>52.5</v>
      </c>
      <c r="AL455" s="7">
        <v>10.1</v>
      </c>
      <c r="AM455" s="7">
        <v>101.55</v>
      </c>
      <c r="AN455" s="7">
        <v>5.7</v>
      </c>
      <c r="AO455" s="7">
        <v>798</v>
      </c>
    </row>
    <row r="456" spans="1:41">
      <c r="A456" s="6" t="s">
        <v>951</v>
      </c>
      <c r="B456" s="6" t="s">
        <v>114</v>
      </c>
      <c r="C456" s="41">
        <f t="shared" si="15"/>
        <v>0.51664753157290466</v>
      </c>
      <c r="D456" s="42">
        <f t="shared" si="14"/>
        <v>0.6</v>
      </c>
      <c r="E456" s="31">
        <v>72</v>
      </c>
      <c r="F456" s="24">
        <v>26</v>
      </c>
      <c r="G456" s="24">
        <v>60</v>
      </c>
      <c r="H456" s="8">
        <v>42.4</v>
      </c>
      <c r="I456" s="9">
        <v>22</v>
      </c>
      <c r="J456" s="8">
        <v>28.6</v>
      </c>
      <c r="K456" s="8">
        <v>16</v>
      </c>
      <c r="L456" s="25">
        <v>22</v>
      </c>
      <c r="M456" s="8">
        <v>68.2</v>
      </c>
      <c r="N456" s="9">
        <v>20</v>
      </c>
      <c r="O456" s="9">
        <v>28</v>
      </c>
      <c r="P456" s="9">
        <v>48</v>
      </c>
      <c r="Q456" s="24">
        <v>6</v>
      </c>
      <c r="R456" s="24">
        <v>10</v>
      </c>
      <c r="S456" s="9">
        <v>8</v>
      </c>
      <c r="T456" s="9">
        <v>10</v>
      </c>
      <c r="U456" s="9">
        <v>18</v>
      </c>
      <c r="V456" s="8">
        <v>180</v>
      </c>
      <c r="W456" s="8">
        <v>0</v>
      </c>
      <c r="X456" s="8">
        <v>0</v>
      </c>
      <c r="Y456" s="7">
        <v>-4.8</v>
      </c>
      <c r="Z456" s="7">
        <v>95.3</v>
      </c>
      <c r="AA456" s="7">
        <v>115.3</v>
      </c>
      <c r="AB456" s="7">
        <v>-20</v>
      </c>
      <c r="AC456" s="7">
        <v>4</v>
      </c>
      <c r="AD456" s="7">
        <v>0.67</v>
      </c>
      <c r="AE456" s="7">
        <v>7.1</v>
      </c>
      <c r="AF456" s="7">
        <v>7</v>
      </c>
      <c r="AG456" s="7">
        <v>10.1</v>
      </c>
      <c r="AH456" s="7">
        <v>8.5</v>
      </c>
      <c r="AI456" s="7">
        <v>10.6</v>
      </c>
      <c r="AJ456" s="7">
        <v>47.5</v>
      </c>
      <c r="AK456" s="7">
        <v>51.7</v>
      </c>
      <c r="AL456" s="7">
        <v>13.2</v>
      </c>
      <c r="AM456" s="7">
        <v>98.57</v>
      </c>
      <c r="AN456" s="7">
        <v>6.5</v>
      </c>
      <c r="AO456" s="7">
        <v>515</v>
      </c>
    </row>
    <row r="457" spans="1:41">
      <c r="A457" s="6" t="s">
        <v>953</v>
      </c>
      <c r="B457" s="6" t="s">
        <v>76</v>
      </c>
      <c r="C457" s="41">
        <f t="shared" si="15"/>
        <v>0.39498141263940523</v>
      </c>
      <c r="D457" s="42">
        <f t="shared" si="14"/>
        <v>1.5</v>
      </c>
      <c r="E457" s="31">
        <v>68</v>
      </c>
      <c r="F457" s="24">
        <v>32</v>
      </c>
      <c r="G457" s="24">
        <v>72</v>
      </c>
      <c r="H457" s="8">
        <v>43.7</v>
      </c>
      <c r="I457" s="9">
        <v>4</v>
      </c>
      <c r="J457" s="8">
        <v>0</v>
      </c>
      <c r="K457" s="8">
        <v>8</v>
      </c>
      <c r="L457" s="25">
        <v>32</v>
      </c>
      <c r="M457" s="8">
        <v>23.3</v>
      </c>
      <c r="N457" s="9">
        <v>32</v>
      </c>
      <c r="O457" s="9">
        <v>104</v>
      </c>
      <c r="P457" s="9">
        <v>136</v>
      </c>
      <c r="Q457" s="24">
        <v>24</v>
      </c>
      <c r="R457" s="24">
        <v>16</v>
      </c>
      <c r="S457" s="9">
        <v>4</v>
      </c>
      <c r="T457" s="9">
        <v>12</v>
      </c>
      <c r="U457" s="9">
        <v>36</v>
      </c>
      <c r="V457" s="8">
        <v>292</v>
      </c>
      <c r="W457" s="8">
        <v>0</v>
      </c>
      <c r="X457" s="8">
        <v>0</v>
      </c>
      <c r="Y457" s="7">
        <v>-2.1</v>
      </c>
      <c r="Z457" s="7">
        <v>97.2</v>
      </c>
      <c r="AA457" s="7">
        <v>109.8</v>
      </c>
      <c r="AB457" s="7">
        <v>-12.5</v>
      </c>
      <c r="AC457" s="7">
        <v>10.9</v>
      </c>
      <c r="AD457" s="7">
        <v>1.71</v>
      </c>
      <c r="AE457" s="7">
        <v>19.5</v>
      </c>
      <c r="AF457" s="7">
        <v>8.4</v>
      </c>
      <c r="AG457" s="7">
        <v>27.1</v>
      </c>
      <c r="AH457" s="7">
        <v>17.7</v>
      </c>
      <c r="AI457" s="7">
        <v>11.4</v>
      </c>
      <c r="AJ457" s="7">
        <v>43.7</v>
      </c>
      <c r="AK457" s="7">
        <v>41</v>
      </c>
      <c r="AL457" s="7">
        <v>12.3</v>
      </c>
      <c r="AM457" s="7">
        <v>100.56</v>
      </c>
      <c r="AN457" s="7">
        <v>8.3000000000000007</v>
      </c>
      <c r="AO457" s="7">
        <v>688</v>
      </c>
    </row>
    <row r="458" spans="1:41">
      <c r="A458" s="6" t="s">
        <v>955</v>
      </c>
      <c r="B458" s="6" t="s">
        <v>50</v>
      </c>
      <c r="C458" s="41">
        <f t="shared" si="15"/>
        <v>0.61945266272189348</v>
      </c>
      <c r="D458" s="42">
        <f t="shared" si="14"/>
        <v>0.7142857142857143</v>
      </c>
      <c r="E458" s="31">
        <v>67</v>
      </c>
      <c r="F458" s="24">
        <v>23</v>
      </c>
      <c r="G458" s="24">
        <v>51</v>
      </c>
      <c r="H458" s="8">
        <v>48</v>
      </c>
      <c r="I458" s="9">
        <v>30</v>
      </c>
      <c r="J458" s="8">
        <v>43.3</v>
      </c>
      <c r="K458" s="8">
        <v>7</v>
      </c>
      <c r="L458" s="25">
        <v>7</v>
      </c>
      <c r="M458" s="8">
        <v>75</v>
      </c>
      <c r="N458" s="9">
        <v>7</v>
      </c>
      <c r="O458" s="9">
        <v>18</v>
      </c>
      <c r="P458" s="9">
        <v>25</v>
      </c>
      <c r="Q458" s="24">
        <v>5</v>
      </c>
      <c r="R458" s="24">
        <v>7</v>
      </c>
      <c r="S458" s="9">
        <v>2</v>
      </c>
      <c r="T458" s="9">
        <v>5</v>
      </c>
      <c r="U458" s="9">
        <v>12</v>
      </c>
      <c r="V458" s="8">
        <v>115</v>
      </c>
      <c r="W458" s="8">
        <v>0</v>
      </c>
      <c r="X458" s="8">
        <v>0</v>
      </c>
      <c r="Y458" s="7">
        <v>0.3</v>
      </c>
      <c r="Z458" s="7">
        <v>103.4</v>
      </c>
      <c r="AA458" s="7">
        <v>96.3</v>
      </c>
      <c r="AB458" s="7">
        <v>7.1</v>
      </c>
      <c r="AC458" s="7">
        <v>5.6</v>
      </c>
      <c r="AD458" s="7">
        <v>0.5</v>
      </c>
      <c r="AE458" s="7">
        <v>6.2</v>
      </c>
      <c r="AF458" s="7">
        <v>5</v>
      </c>
      <c r="AG458" s="7">
        <v>14.3</v>
      </c>
      <c r="AH458" s="7">
        <v>9.8000000000000007</v>
      </c>
      <c r="AI458" s="7">
        <v>12.3</v>
      </c>
      <c r="AJ458" s="7">
        <v>61</v>
      </c>
      <c r="AK458" s="7">
        <v>62.6</v>
      </c>
      <c r="AL458" s="7">
        <v>20.5</v>
      </c>
      <c r="AM458" s="7">
        <v>105.22</v>
      </c>
      <c r="AN458" s="7">
        <v>12.3</v>
      </c>
      <c r="AO458" s="7">
        <v>261</v>
      </c>
    </row>
    <row r="459" spans="1:41">
      <c r="A459" s="6" t="s">
        <v>957</v>
      </c>
      <c r="B459" s="6" t="s">
        <v>164</v>
      </c>
      <c r="C459" s="41">
        <f t="shared" si="15"/>
        <v>0.43036998972250767</v>
      </c>
      <c r="D459" s="42">
        <f t="shared" si="14"/>
        <v>2.25</v>
      </c>
      <c r="E459" s="31">
        <v>67</v>
      </c>
      <c r="F459" s="24">
        <v>26</v>
      </c>
      <c r="G459" s="24">
        <v>73</v>
      </c>
      <c r="H459" s="8">
        <v>35.6</v>
      </c>
      <c r="I459" s="9">
        <v>27</v>
      </c>
      <c r="J459" s="8">
        <v>29.6</v>
      </c>
      <c r="K459" s="8">
        <v>7</v>
      </c>
      <c r="L459" s="25">
        <v>11</v>
      </c>
      <c r="M459" s="8">
        <v>63.6</v>
      </c>
      <c r="N459" s="9">
        <v>6</v>
      </c>
      <c r="O459" s="9">
        <v>14</v>
      </c>
      <c r="P459" s="9">
        <v>20</v>
      </c>
      <c r="Q459" s="24">
        <v>18</v>
      </c>
      <c r="R459" s="24">
        <v>8</v>
      </c>
      <c r="S459" s="9">
        <v>1</v>
      </c>
      <c r="T459" s="9">
        <v>4</v>
      </c>
      <c r="U459" s="9">
        <v>9</v>
      </c>
      <c r="V459" s="8">
        <v>125</v>
      </c>
      <c r="W459" s="8">
        <v>0</v>
      </c>
      <c r="X459" s="8">
        <v>0</v>
      </c>
      <c r="Y459" s="7">
        <v>-5.3</v>
      </c>
      <c r="Z459" s="7">
        <v>100.9</v>
      </c>
      <c r="AA459" s="7">
        <v>114</v>
      </c>
      <c r="AB459" s="7">
        <v>-13.1</v>
      </c>
      <c r="AC459" s="7">
        <v>17.600000000000001</v>
      </c>
      <c r="AD459" s="7">
        <v>2.25</v>
      </c>
      <c r="AE459" s="7">
        <v>17.3</v>
      </c>
      <c r="AF459" s="7">
        <v>3.2</v>
      </c>
      <c r="AG459" s="7">
        <v>8.6</v>
      </c>
      <c r="AH459" s="7">
        <v>5.8</v>
      </c>
      <c r="AI459" s="7">
        <v>7.7</v>
      </c>
      <c r="AJ459" s="7">
        <v>41.1</v>
      </c>
      <c r="AK459" s="7">
        <v>43</v>
      </c>
      <c r="AL459" s="7">
        <v>21.5</v>
      </c>
      <c r="AM459" s="7">
        <v>96.24</v>
      </c>
      <c r="AN459" s="7">
        <v>6</v>
      </c>
      <c r="AO459" s="7">
        <v>338</v>
      </c>
    </row>
    <row r="460" spans="1:41">
      <c r="A460" s="6" t="s">
        <v>959</v>
      </c>
      <c r="B460" s="6" t="s">
        <v>44</v>
      </c>
      <c r="C460" s="41">
        <f t="shared" si="15"/>
        <v>0.34267594108019639</v>
      </c>
      <c r="D460" s="42">
        <f t="shared" si="14"/>
        <v>2.75</v>
      </c>
      <c r="E460" s="31">
        <v>67</v>
      </c>
      <c r="F460" s="24">
        <v>26</v>
      </c>
      <c r="G460" s="24">
        <v>96</v>
      </c>
      <c r="H460" s="8">
        <v>26</v>
      </c>
      <c r="I460" s="9">
        <v>70</v>
      </c>
      <c r="J460" s="8">
        <v>19.399999999999999</v>
      </c>
      <c r="K460" s="8">
        <v>0</v>
      </c>
      <c r="L460" s="25">
        <v>4</v>
      </c>
      <c r="M460" s="8">
        <v>50</v>
      </c>
      <c r="N460" s="9">
        <v>7</v>
      </c>
      <c r="O460" s="9">
        <v>19</v>
      </c>
      <c r="P460" s="9">
        <v>26</v>
      </c>
      <c r="Q460" s="24">
        <v>11</v>
      </c>
      <c r="R460" s="24">
        <v>4</v>
      </c>
      <c r="S460" s="9">
        <v>7</v>
      </c>
      <c r="T460" s="9">
        <v>4</v>
      </c>
      <c r="U460" s="9">
        <v>15</v>
      </c>
      <c r="V460" s="8">
        <v>144</v>
      </c>
      <c r="W460" s="8">
        <v>0</v>
      </c>
      <c r="X460" s="8">
        <v>0</v>
      </c>
      <c r="Y460" s="7">
        <v>0.2</v>
      </c>
      <c r="Z460" s="7">
        <v>99.1</v>
      </c>
      <c r="AA460" s="7">
        <v>96.7</v>
      </c>
      <c r="AB460" s="7">
        <v>2.2999999999999998</v>
      </c>
      <c r="AC460" s="7">
        <v>9.4</v>
      </c>
      <c r="AD460" s="7">
        <v>3</v>
      </c>
      <c r="AE460" s="7">
        <v>10.6</v>
      </c>
      <c r="AF460" s="7">
        <v>2.9</v>
      </c>
      <c r="AG460" s="7">
        <v>8.6</v>
      </c>
      <c r="AH460" s="7">
        <v>5.7</v>
      </c>
      <c r="AI460" s="7">
        <v>3.5</v>
      </c>
      <c r="AJ460" s="7">
        <v>33.299999999999997</v>
      </c>
      <c r="AK460" s="7">
        <v>33.5</v>
      </c>
      <c r="AL460" s="7">
        <v>20.7</v>
      </c>
      <c r="AM460" s="7">
        <v>100.16</v>
      </c>
      <c r="AN460" s="7">
        <v>2.5</v>
      </c>
      <c r="AO460" s="7">
        <v>422</v>
      </c>
    </row>
    <row r="461" spans="1:41">
      <c r="A461" s="6" t="s">
        <v>961</v>
      </c>
      <c r="B461" s="6" t="s">
        <v>116</v>
      </c>
      <c r="C461" s="41">
        <f t="shared" si="15"/>
        <v>0.45640326975476836</v>
      </c>
      <c r="D461" s="42">
        <f t="shared" si="14"/>
        <v>1.4285714285714286</v>
      </c>
      <c r="E461" s="31">
        <v>67</v>
      </c>
      <c r="F461" s="24">
        <v>27</v>
      </c>
      <c r="G461" s="24">
        <v>69</v>
      </c>
      <c r="H461" s="8">
        <v>39.1</v>
      </c>
      <c r="I461" s="9">
        <v>32</v>
      </c>
      <c r="J461" s="8">
        <v>15.6</v>
      </c>
      <c r="K461" s="8">
        <v>8</v>
      </c>
      <c r="L461" s="25">
        <v>10</v>
      </c>
      <c r="M461" s="8">
        <v>80</v>
      </c>
      <c r="N461" s="9">
        <v>23</v>
      </c>
      <c r="O461" s="9">
        <v>47</v>
      </c>
      <c r="P461" s="9">
        <v>70</v>
      </c>
      <c r="Q461" s="24">
        <v>10</v>
      </c>
      <c r="R461" s="24">
        <v>7</v>
      </c>
      <c r="S461" s="9">
        <v>9</v>
      </c>
      <c r="T461" s="9">
        <v>12</v>
      </c>
      <c r="U461" s="9">
        <v>16</v>
      </c>
      <c r="V461" s="8">
        <v>222</v>
      </c>
      <c r="W461" s="8">
        <v>2</v>
      </c>
      <c r="X461" s="8">
        <v>0</v>
      </c>
      <c r="Y461" s="7">
        <v>-8.4</v>
      </c>
      <c r="Z461" s="7">
        <v>101.1</v>
      </c>
      <c r="AA461" s="7">
        <v>117</v>
      </c>
      <c r="AB461" s="7">
        <v>-15.9</v>
      </c>
      <c r="AC461" s="7">
        <v>5.6</v>
      </c>
      <c r="AD461" s="7">
        <v>1.43</v>
      </c>
      <c r="AE461" s="7">
        <v>11</v>
      </c>
      <c r="AF461" s="7">
        <v>7.8</v>
      </c>
      <c r="AG461" s="7">
        <v>17.5</v>
      </c>
      <c r="AH461" s="7">
        <v>12.4</v>
      </c>
      <c r="AI461" s="7">
        <v>7.7</v>
      </c>
      <c r="AJ461" s="7">
        <v>42.8</v>
      </c>
      <c r="AK461" s="7">
        <v>45.6</v>
      </c>
      <c r="AL461" s="7">
        <v>12.8</v>
      </c>
      <c r="AM461" s="7">
        <v>102.58</v>
      </c>
      <c r="AN461" s="7">
        <v>7.7</v>
      </c>
      <c r="AO461" s="7">
        <v>542</v>
      </c>
    </row>
    <row r="462" spans="1:41">
      <c r="A462" s="6" t="s">
        <v>963</v>
      </c>
      <c r="B462" s="6" t="s">
        <v>68</v>
      </c>
      <c r="C462" s="41">
        <f t="shared" si="15"/>
        <v>0.50366300366300365</v>
      </c>
      <c r="D462" s="42">
        <f t="shared" si="14"/>
        <v>0.7142857142857143</v>
      </c>
      <c r="E462" s="31">
        <v>66</v>
      </c>
      <c r="F462" s="24">
        <v>28</v>
      </c>
      <c r="G462" s="24">
        <v>62</v>
      </c>
      <c r="H462" s="8">
        <v>43.5</v>
      </c>
      <c r="I462" s="9">
        <v>26</v>
      </c>
      <c r="J462" s="8">
        <v>23.1</v>
      </c>
      <c r="K462" s="8">
        <v>6</v>
      </c>
      <c r="L462" s="25">
        <v>8</v>
      </c>
      <c r="M462" s="8">
        <v>62.5</v>
      </c>
      <c r="N462" s="9">
        <v>6</v>
      </c>
      <c r="O462" s="9">
        <v>8</v>
      </c>
      <c r="P462" s="9">
        <v>14</v>
      </c>
      <c r="Q462" s="24">
        <v>10</v>
      </c>
      <c r="R462" s="24">
        <v>14</v>
      </c>
      <c r="S462" s="9">
        <v>8</v>
      </c>
      <c r="T462" s="9">
        <v>4</v>
      </c>
      <c r="U462" s="9">
        <v>16</v>
      </c>
      <c r="V462" s="8">
        <v>116</v>
      </c>
      <c r="W462" s="8">
        <v>0</v>
      </c>
      <c r="X462" s="8">
        <v>0</v>
      </c>
      <c r="Y462" s="7">
        <v>-1.2</v>
      </c>
      <c r="Z462" s="7">
        <v>110.6</v>
      </c>
      <c r="AA462" s="7">
        <v>116.8</v>
      </c>
      <c r="AB462" s="7">
        <v>-6.2</v>
      </c>
      <c r="AC462" s="7">
        <v>7.9</v>
      </c>
      <c r="AD462" s="7">
        <v>0.64</v>
      </c>
      <c r="AE462" s="7">
        <v>10.1</v>
      </c>
      <c r="AF462" s="7">
        <v>3.3</v>
      </c>
      <c r="AG462" s="7">
        <v>5.3</v>
      </c>
      <c r="AH462" s="7">
        <v>4.3</v>
      </c>
      <c r="AI462" s="7">
        <v>15.7</v>
      </c>
      <c r="AJ462" s="7">
        <v>48.4</v>
      </c>
      <c r="AK462" s="7">
        <v>49.6</v>
      </c>
      <c r="AL462" s="7">
        <v>21.2</v>
      </c>
      <c r="AM462" s="7">
        <v>108.85</v>
      </c>
      <c r="AN462" s="7">
        <v>3.8</v>
      </c>
      <c r="AO462" s="7">
        <v>331</v>
      </c>
    </row>
    <row r="463" spans="1:41">
      <c r="A463" s="6" t="s">
        <v>965</v>
      </c>
      <c r="B463" s="6" t="s">
        <v>196</v>
      </c>
      <c r="C463" s="41">
        <f t="shared" si="15"/>
        <v>0.53894297635605004</v>
      </c>
      <c r="D463" s="42">
        <f t="shared" si="14"/>
        <v>1.7</v>
      </c>
      <c r="E463" s="31">
        <v>62</v>
      </c>
      <c r="F463" s="24">
        <v>22</v>
      </c>
      <c r="G463" s="24">
        <v>54</v>
      </c>
      <c r="H463" s="8">
        <v>40.700000000000003</v>
      </c>
      <c r="I463" s="9">
        <v>35</v>
      </c>
      <c r="J463" s="8">
        <v>37.1</v>
      </c>
      <c r="K463" s="8">
        <v>5</v>
      </c>
      <c r="L463" s="25">
        <v>8</v>
      </c>
      <c r="M463" s="8">
        <v>62.5</v>
      </c>
      <c r="N463" s="9">
        <v>6</v>
      </c>
      <c r="O463" s="9">
        <v>14</v>
      </c>
      <c r="P463" s="9">
        <v>20</v>
      </c>
      <c r="Q463" s="24">
        <v>17</v>
      </c>
      <c r="R463" s="24">
        <v>10</v>
      </c>
      <c r="S463" s="9">
        <v>7</v>
      </c>
      <c r="T463" s="9">
        <v>2</v>
      </c>
      <c r="U463" s="9">
        <v>18</v>
      </c>
      <c r="V463" s="8">
        <v>128</v>
      </c>
      <c r="W463" s="8">
        <v>1</v>
      </c>
      <c r="X463" s="8">
        <v>0</v>
      </c>
      <c r="Y463" s="7">
        <v>4.5</v>
      </c>
      <c r="Z463" s="7">
        <v>108.3</v>
      </c>
      <c r="AA463" s="7">
        <v>97.4</v>
      </c>
      <c r="AB463" s="7">
        <v>10.9</v>
      </c>
      <c r="AC463" s="7">
        <v>20.5</v>
      </c>
      <c r="AD463" s="7">
        <v>1.7</v>
      </c>
      <c r="AE463" s="7">
        <v>20</v>
      </c>
      <c r="AF463" s="7">
        <v>4.5999999999999996</v>
      </c>
      <c r="AG463" s="7">
        <v>10.4</v>
      </c>
      <c r="AH463" s="7">
        <v>7.5</v>
      </c>
      <c r="AI463" s="7">
        <v>11.8</v>
      </c>
      <c r="AJ463" s="7">
        <v>52.8</v>
      </c>
      <c r="AK463" s="7">
        <v>53.9</v>
      </c>
      <c r="AL463" s="7">
        <v>22.3</v>
      </c>
      <c r="AM463" s="7">
        <v>105.54</v>
      </c>
      <c r="AN463" s="7">
        <v>9.1</v>
      </c>
      <c r="AO463" s="7">
        <v>265</v>
      </c>
    </row>
    <row r="464" spans="1:41">
      <c r="A464" s="6" t="s">
        <v>967</v>
      </c>
      <c r="B464" s="6" t="s">
        <v>84</v>
      </c>
      <c r="C464" s="41">
        <f t="shared" si="15"/>
        <v>0.65071368597816959</v>
      </c>
      <c r="D464" s="42">
        <f t="shared" si="14"/>
        <v>1</v>
      </c>
      <c r="E464" s="31">
        <v>62</v>
      </c>
      <c r="F464" s="24">
        <v>29</v>
      </c>
      <c r="G464" s="24">
        <v>45</v>
      </c>
      <c r="H464" s="8">
        <v>64.400000000000006</v>
      </c>
      <c r="I464" s="9">
        <v>3</v>
      </c>
      <c r="J464" s="8">
        <v>33.299999999999997</v>
      </c>
      <c r="K464" s="8">
        <v>1</v>
      </c>
      <c r="L464" s="25">
        <v>6</v>
      </c>
      <c r="M464" s="8">
        <v>33.299999999999997</v>
      </c>
      <c r="N464" s="9">
        <v>18</v>
      </c>
      <c r="O464" s="9">
        <v>24</v>
      </c>
      <c r="P464" s="9">
        <v>42</v>
      </c>
      <c r="Q464" s="24">
        <v>6</v>
      </c>
      <c r="R464" s="24">
        <v>6</v>
      </c>
      <c r="S464" s="9">
        <v>1</v>
      </c>
      <c r="T464" s="9">
        <v>8</v>
      </c>
      <c r="U464" s="9">
        <v>11</v>
      </c>
      <c r="V464" s="8">
        <v>148</v>
      </c>
      <c r="W464" s="8">
        <v>1</v>
      </c>
      <c r="X464" s="8">
        <v>0</v>
      </c>
      <c r="Y464" s="7">
        <v>3.1</v>
      </c>
      <c r="Z464" s="7">
        <v>112.6</v>
      </c>
      <c r="AA464" s="7">
        <v>93.6</v>
      </c>
      <c r="AB464" s="7">
        <v>19</v>
      </c>
      <c r="AC464" s="7">
        <v>8</v>
      </c>
      <c r="AD464" s="7">
        <v>1.2</v>
      </c>
      <c r="AE464" s="7">
        <v>10.199999999999999</v>
      </c>
      <c r="AF464" s="7">
        <v>15.1</v>
      </c>
      <c r="AG464" s="7">
        <v>19.2</v>
      </c>
      <c r="AH464" s="7">
        <v>17.2</v>
      </c>
      <c r="AI464" s="7">
        <v>8.5</v>
      </c>
      <c r="AJ464" s="7">
        <v>65.599999999999994</v>
      </c>
      <c r="AK464" s="7">
        <v>64</v>
      </c>
      <c r="AL464" s="7">
        <v>18.2</v>
      </c>
      <c r="AM464" s="7">
        <v>105.38</v>
      </c>
      <c r="AN464" s="7">
        <v>16</v>
      </c>
      <c r="AO464" s="7">
        <v>246</v>
      </c>
    </row>
    <row r="465" spans="1:41">
      <c r="A465" s="6" t="s">
        <v>969</v>
      </c>
      <c r="B465" s="6" t="s">
        <v>74</v>
      </c>
      <c r="C465" s="41">
        <f t="shared" si="15"/>
        <v>0.41801510248112189</v>
      </c>
      <c r="D465" s="42">
        <f t="shared" si="14"/>
        <v>1.5714285714285714</v>
      </c>
      <c r="E465" s="31">
        <v>62</v>
      </c>
      <c r="F465" s="24">
        <v>22</v>
      </c>
      <c r="G465" s="24">
        <v>68</v>
      </c>
      <c r="H465" s="8">
        <v>31.3</v>
      </c>
      <c r="I465" s="9">
        <v>32</v>
      </c>
      <c r="J465" s="8">
        <v>28.1</v>
      </c>
      <c r="K465" s="8">
        <v>11</v>
      </c>
      <c r="L465" s="25">
        <v>14</v>
      </c>
      <c r="M465" s="8">
        <v>78.599999999999994</v>
      </c>
      <c r="N465" s="9">
        <v>3</v>
      </c>
      <c r="O465" s="9">
        <v>14</v>
      </c>
      <c r="P465" s="9">
        <v>19</v>
      </c>
      <c r="Q465" s="24">
        <v>22</v>
      </c>
      <c r="R465" s="24">
        <v>14</v>
      </c>
      <c r="S465" s="9">
        <v>8</v>
      </c>
      <c r="T465" s="9">
        <v>3</v>
      </c>
      <c r="U465" s="9">
        <v>14</v>
      </c>
      <c r="V465" s="8">
        <v>140</v>
      </c>
      <c r="W465" s="8">
        <v>0</v>
      </c>
      <c r="X465" s="8">
        <v>0</v>
      </c>
      <c r="Y465" s="7">
        <v>-2.6</v>
      </c>
      <c r="Z465" s="7">
        <v>95.5</v>
      </c>
      <c r="AA465" s="7">
        <v>114.1</v>
      </c>
      <c r="AB465" s="7">
        <v>-18.600000000000001</v>
      </c>
      <c r="AC465" s="7">
        <v>19.100000000000001</v>
      </c>
      <c r="AD465" s="7">
        <v>1.69</v>
      </c>
      <c r="AE465" s="7">
        <v>20.399999999999999</v>
      </c>
      <c r="AF465" s="7">
        <v>2.1</v>
      </c>
      <c r="AG465" s="7">
        <v>7.6</v>
      </c>
      <c r="AH465" s="7">
        <v>4.8</v>
      </c>
      <c r="AI465" s="7">
        <v>12</v>
      </c>
      <c r="AJ465" s="7">
        <v>38.1</v>
      </c>
      <c r="AK465" s="7">
        <v>42.4</v>
      </c>
      <c r="AL465" s="7">
        <v>19.899999999999999</v>
      </c>
      <c r="AM465" s="7">
        <v>99.45</v>
      </c>
      <c r="AN465" s="7">
        <v>5</v>
      </c>
      <c r="AO465" s="7">
        <v>375</v>
      </c>
    </row>
    <row r="466" spans="1:41">
      <c r="A466" s="6" t="s">
        <v>971</v>
      </c>
      <c r="B466" s="6" t="s">
        <v>66</v>
      </c>
      <c r="C466" s="41">
        <f t="shared" si="15"/>
        <v>0.45522388059701491</v>
      </c>
      <c r="D466" s="42">
        <f t="shared" si="14"/>
        <v>1.8</v>
      </c>
      <c r="E466" s="31">
        <v>61</v>
      </c>
      <c r="F466" s="24">
        <v>27</v>
      </c>
      <c r="G466" s="24">
        <v>67</v>
      </c>
      <c r="H466" s="8">
        <v>41.8</v>
      </c>
      <c r="I466" s="9">
        <v>8</v>
      </c>
      <c r="J466" s="8">
        <v>50</v>
      </c>
      <c r="K466" s="8">
        <v>0</v>
      </c>
      <c r="L466" s="25">
        <v>0</v>
      </c>
      <c r="M466" s="8">
        <v>100</v>
      </c>
      <c r="N466" s="9">
        <v>6</v>
      </c>
      <c r="O466" s="9">
        <v>15</v>
      </c>
      <c r="P466" s="9">
        <v>21</v>
      </c>
      <c r="Q466" s="24">
        <v>27</v>
      </c>
      <c r="R466" s="24">
        <v>15</v>
      </c>
      <c r="S466" s="9">
        <v>11</v>
      </c>
      <c r="T466" s="9">
        <v>2</v>
      </c>
      <c r="U466" s="9">
        <v>13</v>
      </c>
      <c r="V466" s="8">
        <v>147</v>
      </c>
      <c r="W466" s="8">
        <v>0</v>
      </c>
      <c r="X466" s="8">
        <v>0</v>
      </c>
      <c r="Y466" s="7">
        <v>0.2</v>
      </c>
      <c r="Z466" s="7">
        <v>109.3</v>
      </c>
      <c r="AA466" s="7">
        <v>105.7</v>
      </c>
      <c r="AB466" s="7">
        <v>3.6</v>
      </c>
      <c r="AC466" s="7">
        <v>20.8</v>
      </c>
      <c r="AD466" s="7">
        <v>1.8</v>
      </c>
      <c r="AE466" s="7">
        <v>24.8</v>
      </c>
      <c r="AF466" s="7">
        <v>3.6</v>
      </c>
      <c r="AG466" s="7">
        <v>7.7</v>
      </c>
      <c r="AH466" s="7">
        <v>5.8</v>
      </c>
      <c r="AI466" s="7">
        <v>13.8</v>
      </c>
      <c r="AJ466" s="7">
        <v>44.8</v>
      </c>
      <c r="AK466" s="7">
        <v>45.2</v>
      </c>
      <c r="AL466" s="7">
        <v>19.600000000000001</v>
      </c>
      <c r="AM466" s="7">
        <v>99.36</v>
      </c>
      <c r="AN466" s="7">
        <v>6.5</v>
      </c>
      <c r="AO466" s="7">
        <v>377</v>
      </c>
    </row>
    <row r="467" spans="1:41">
      <c r="A467" s="6" t="s">
        <v>973</v>
      </c>
      <c r="B467" s="6" t="s">
        <v>146</v>
      </c>
      <c r="C467" s="41">
        <f t="shared" si="15"/>
        <v>0.46500630517023961</v>
      </c>
      <c r="D467" s="42">
        <f t="shared" si="14"/>
        <v>0.75</v>
      </c>
      <c r="E467" s="31">
        <v>59</v>
      </c>
      <c r="F467" s="24">
        <v>22</v>
      </c>
      <c r="G467" s="24">
        <v>63</v>
      </c>
      <c r="H467" s="8">
        <v>34.9</v>
      </c>
      <c r="I467" s="9">
        <v>47</v>
      </c>
      <c r="J467" s="8">
        <v>31.9</v>
      </c>
      <c r="K467" s="8">
        <v>0</v>
      </c>
      <c r="L467" s="25">
        <v>1</v>
      </c>
      <c r="M467" s="8">
        <v>0</v>
      </c>
      <c r="N467" s="9">
        <v>5</v>
      </c>
      <c r="O467" s="9">
        <v>22</v>
      </c>
      <c r="P467" s="9">
        <v>27</v>
      </c>
      <c r="Q467" s="24">
        <v>3</v>
      </c>
      <c r="R467" s="24">
        <v>4</v>
      </c>
      <c r="S467" s="9">
        <v>4</v>
      </c>
      <c r="T467" s="9">
        <v>2</v>
      </c>
      <c r="U467" s="9">
        <v>12</v>
      </c>
      <c r="V467" s="8">
        <v>110</v>
      </c>
      <c r="W467" s="8">
        <v>0</v>
      </c>
      <c r="X467" s="8">
        <v>0</v>
      </c>
      <c r="Y467" s="7">
        <v>5.4</v>
      </c>
      <c r="Z467" s="7">
        <v>114.2</v>
      </c>
      <c r="AA467" s="7">
        <v>100.5</v>
      </c>
      <c r="AB467" s="7">
        <v>13.7</v>
      </c>
      <c r="AC467" s="7">
        <v>2.2000000000000002</v>
      </c>
      <c r="AD467" s="7">
        <v>0.75</v>
      </c>
      <c r="AE467" s="7">
        <v>4.3</v>
      </c>
      <c r="AF467" s="7">
        <v>2.6</v>
      </c>
      <c r="AG467" s="7">
        <v>11.9</v>
      </c>
      <c r="AH467" s="7">
        <v>7.2</v>
      </c>
      <c r="AI467" s="7">
        <v>5.7</v>
      </c>
      <c r="AJ467" s="7">
        <v>46.8</v>
      </c>
      <c r="AK467" s="7">
        <v>46.5</v>
      </c>
      <c r="AL467" s="7">
        <v>15.5</v>
      </c>
      <c r="AM467" s="7">
        <v>104.92</v>
      </c>
      <c r="AN467" s="7">
        <v>4.5999999999999996</v>
      </c>
      <c r="AO467" s="7">
        <v>372</v>
      </c>
    </row>
    <row r="468" spans="1:41">
      <c r="A468" s="6" t="s">
        <v>975</v>
      </c>
      <c r="B468" s="6" t="s">
        <v>146</v>
      </c>
      <c r="C468" s="41">
        <f t="shared" si="15"/>
        <v>0.547583081570997</v>
      </c>
      <c r="D468" s="42">
        <f t="shared" si="14"/>
        <v>1.3571428571428572</v>
      </c>
      <c r="E468" s="31">
        <v>58</v>
      </c>
      <c r="F468" s="24">
        <v>26</v>
      </c>
      <c r="G468" s="24">
        <v>49</v>
      </c>
      <c r="H468" s="8">
        <v>53.1</v>
      </c>
      <c r="I468" s="8">
        <v>0</v>
      </c>
      <c r="J468" s="8">
        <v>0</v>
      </c>
      <c r="K468" s="8">
        <v>7</v>
      </c>
      <c r="L468" s="25">
        <v>9</v>
      </c>
      <c r="M468" s="8">
        <v>75</v>
      </c>
      <c r="N468" s="9">
        <v>20</v>
      </c>
      <c r="O468" s="9">
        <v>31</v>
      </c>
      <c r="P468" s="9">
        <v>51</v>
      </c>
      <c r="Q468" s="24">
        <v>19</v>
      </c>
      <c r="R468" s="24">
        <v>14</v>
      </c>
      <c r="S468" s="9">
        <v>3</v>
      </c>
      <c r="T468" s="9">
        <v>9</v>
      </c>
      <c r="U468" s="9">
        <v>27</v>
      </c>
      <c r="V468" s="8">
        <v>172</v>
      </c>
      <c r="W468" s="8">
        <v>0</v>
      </c>
      <c r="X468" s="8">
        <v>0</v>
      </c>
      <c r="Y468" s="7">
        <v>-1.3</v>
      </c>
      <c r="Z468" s="7">
        <v>103.9</v>
      </c>
      <c r="AA468" s="7">
        <v>110.1</v>
      </c>
      <c r="AB468" s="7">
        <v>-6.1</v>
      </c>
      <c r="AC468" s="7">
        <v>19.399999999999999</v>
      </c>
      <c r="AD468" s="7">
        <v>1.29</v>
      </c>
      <c r="AE468" s="7">
        <v>21.2</v>
      </c>
      <c r="AF468" s="7">
        <v>12.7</v>
      </c>
      <c r="AG468" s="7">
        <v>21</v>
      </c>
      <c r="AH468" s="7">
        <v>16.5</v>
      </c>
      <c r="AI468" s="7">
        <v>16.5</v>
      </c>
      <c r="AJ468" s="7">
        <v>53.1</v>
      </c>
      <c r="AK468" s="7">
        <v>55.2</v>
      </c>
      <c r="AL468" s="7">
        <v>18.2</v>
      </c>
      <c r="AM468" s="7">
        <v>100.37</v>
      </c>
      <c r="AN468" s="7">
        <v>10</v>
      </c>
      <c r="AO468" s="7">
        <v>305</v>
      </c>
    </row>
    <row r="469" spans="1:41">
      <c r="A469" s="6" t="s">
        <v>977</v>
      </c>
      <c r="B469" s="6" t="s">
        <v>48</v>
      </c>
      <c r="C469" s="41">
        <f t="shared" si="15"/>
        <v>0.44871794871794873</v>
      </c>
      <c r="D469" s="42">
        <f t="shared" si="14"/>
        <v>1.5714285714285714</v>
      </c>
      <c r="E469" s="31">
        <v>56</v>
      </c>
      <c r="F469" s="24">
        <v>21</v>
      </c>
      <c r="G469" s="24">
        <v>58</v>
      </c>
      <c r="H469" s="8">
        <v>36.200000000000003</v>
      </c>
      <c r="I469" s="9">
        <v>26</v>
      </c>
      <c r="J469" s="8">
        <v>26.9</v>
      </c>
      <c r="K469" s="8">
        <v>6</v>
      </c>
      <c r="L469" s="25">
        <v>10</v>
      </c>
      <c r="M469" s="8">
        <v>70</v>
      </c>
      <c r="N469" s="9">
        <v>14</v>
      </c>
      <c r="O469" s="9">
        <v>37</v>
      </c>
      <c r="P469" s="9">
        <v>50</v>
      </c>
      <c r="Q469" s="24">
        <v>22</v>
      </c>
      <c r="R469" s="24">
        <v>14</v>
      </c>
      <c r="S469" s="9">
        <v>6</v>
      </c>
      <c r="T469" s="9">
        <v>2</v>
      </c>
      <c r="U469" s="9">
        <v>19</v>
      </c>
      <c r="V469" s="8">
        <v>160</v>
      </c>
      <c r="W469" s="8">
        <v>1</v>
      </c>
      <c r="X469" s="8">
        <v>0</v>
      </c>
      <c r="Y469" s="7">
        <v>-3.1</v>
      </c>
      <c r="Z469" s="7">
        <v>97.3</v>
      </c>
      <c r="AA469" s="7">
        <v>108.7</v>
      </c>
      <c r="AB469" s="7">
        <v>-11.5</v>
      </c>
      <c r="AC469" s="7">
        <v>17</v>
      </c>
      <c r="AD469" s="7">
        <v>1.53</v>
      </c>
      <c r="AE469" s="7">
        <v>22.8</v>
      </c>
      <c r="AF469" s="7">
        <v>5.9</v>
      </c>
      <c r="AG469" s="7">
        <v>15.8</v>
      </c>
      <c r="AH469" s="7">
        <v>10.7</v>
      </c>
      <c r="AI469" s="7">
        <v>14.9</v>
      </c>
      <c r="AJ469" s="7">
        <v>42.2</v>
      </c>
      <c r="AK469" s="7">
        <v>44.9</v>
      </c>
      <c r="AL469" s="7">
        <v>15.7</v>
      </c>
      <c r="AM469" s="7">
        <v>99.59</v>
      </c>
      <c r="AN469" s="7">
        <v>6.7</v>
      </c>
      <c r="AO469" s="7">
        <v>437</v>
      </c>
    </row>
    <row r="470" spans="1:41">
      <c r="A470" s="6" t="s">
        <v>979</v>
      </c>
      <c r="B470" s="6" t="s">
        <v>74</v>
      </c>
      <c r="C470" s="41">
        <f t="shared" si="15"/>
        <v>0.38022813688212925</v>
      </c>
      <c r="D470" s="42">
        <f t="shared" si="14"/>
        <v>4.2</v>
      </c>
      <c r="E470" s="31">
        <v>56</v>
      </c>
      <c r="F470" s="24">
        <v>21</v>
      </c>
      <c r="G470" s="24">
        <v>71</v>
      </c>
      <c r="H470" s="8">
        <v>30</v>
      </c>
      <c r="I470" s="9">
        <v>36</v>
      </c>
      <c r="J470" s="8">
        <v>25</v>
      </c>
      <c r="K470" s="8">
        <v>5</v>
      </c>
      <c r="L470" s="25">
        <v>6</v>
      </c>
      <c r="M470" s="8">
        <v>83.3</v>
      </c>
      <c r="N470" s="9">
        <v>3</v>
      </c>
      <c r="O470" s="9">
        <v>20</v>
      </c>
      <c r="P470" s="9">
        <v>23</v>
      </c>
      <c r="Q470" s="24">
        <v>21</v>
      </c>
      <c r="R470" s="24">
        <v>5</v>
      </c>
      <c r="S470" s="9">
        <v>2</v>
      </c>
      <c r="T470" s="9">
        <v>3</v>
      </c>
      <c r="U470" s="9">
        <v>17</v>
      </c>
      <c r="V470" s="8">
        <v>125</v>
      </c>
      <c r="W470" s="8">
        <v>0</v>
      </c>
      <c r="X470" s="8">
        <v>0</v>
      </c>
      <c r="Y470" s="7">
        <v>-1.9</v>
      </c>
      <c r="Z470" s="7">
        <v>106.1</v>
      </c>
      <c r="AA470" s="7">
        <v>113.9</v>
      </c>
      <c r="AB470" s="7">
        <v>-7.8</v>
      </c>
      <c r="AC470" s="7">
        <v>19.100000000000001</v>
      </c>
      <c r="AD470" s="7">
        <v>4.2</v>
      </c>
      <c r="AE470" s="7">
        <v>21.2</v>
      </c>
      <c r="AF470" s="7">
        <v>1.7</v>
      </c>
      <c r="AG470" s="7">
        <v>11.4</v>
      </c>
      <c r="AH470" s="7">
        <v>6.6</v>
      </c>
      <c r="AI470" s="7">
        <v>5.0999999999999996</v>
      </c>
      <c r="AJ470" s="7">
        <v>36.4</v>
      </c>
      <c r="AK470" s="7">
        <v>38.5</v>
      </c>
      <c r="AL470" s="7">
        <v>20.2</v>
      </c>
      <c r="AM470" s="7">
        <v>100.86</v>
      </c>
      <c r="AN470" s="7">
        <v>4.5</v>
      </c>
      <c r="AO470" s="7">
        <v>345</v>
      </c>
    </row>
    <row r="471" spans="1:41">
      <c r="A471" s="6" t="s">
        <v>981</v>
      </c>
      <c r="B471" s="6" t="s">
        <v>196</v>
      </c>
      <c r="C471" s="41">
        <f t="shared" si="15"/>
        <v>0.48758865248226951</v>
      </c>
      <c r="D471" s="42">
        <f t="shared" si="14"/>
        <v>1.5</v>
      </c>
      <c r="E471" s="31">
        <v>55</v>
      </c>
      <c r="F471" s="24">
        <v>17</v>
      </c>
      <c r="G471" s="24">
        <v>52</v>
      </c>
      <c r="H471" s="8">
        <v>32.700000000000003</v>
      </c>
      <c r="I471" s="9">
        <v>44</v>
      </c>
      <c r="J471" s="8">
        <v>29.5</v>
      </c>
      <c r="K471" s="8">
        <v>8</v>
      </c>
      <c r="L471" s="25">
        <v>10</v>
      </c>
      <c r="M471" s="8">
        <v>80</v>
      </c>
      <c r="N471" s="9">
        <v>3</v>
      </c>
      <c r="O471" s="9">
        <v>6</v>
      </c>
      <c r="P471" s="9">
        <v>9</v>
      </c>
      <c r="Q471" s="24">
        <v>12</v>
      </c>
      <c r="R471" s="24">
        <v>8</v>
      </c>
      <c r="S471" s="9">
        <v>3</v>
      </c>
      <c r="T471" s="9">
        <v>1</v>
      </c>
      <c r="U471" s="9">
        <v>17</v>
      </c>
      <c r="V471" s="8">
        <v>88</v>
      </c>
      <c r="W471" s="8">
        <v>0</v>
      </c>
      <c r="X471" s="8">
        <v>0</v>
      </c>
      <c r="Y471" s="7">
        <v>-10</v>
      </c>
      <c r="Z471" s="7">
        <v>98.8</v>
      </c>
      <c r="AA471" s="7">
        <v>119.3</v>
      </c>
      <c r="AB471" s="7">
        <v>-20.5</v>
      </c>
      <c r="AC471" s="7">
        <v>12.6</v>
      </c>
      <c r="AD471" s="7">
        <v>1.5</v>
      </c>
      <c r="AE471" s="7">
        <v>15.6</v>
      </c>
      <c r="AF471" s="7">
        <v>1.8</v>
      </c>
      <c r="AG471" s="7">
        <v>4.5999999999999996</v>
      </c>
      <c r="AH471" s="7">
        <v>3</v>
      </c>
      <c r="AI471" s="7">
        <v>10.4</v>
      </c>
      <c r="AJ471" s="7">
        <v>45.2</v>
      </c>
      <c r="AK471" s="7">
        <v>48.8</v>
      </c>
      <c r="AL471" s="7">
        <v>17.7</v>
      </c>
      <c r="AM471" s="7">
        <v>105.16</v>
      </c>
      <c r="AN471" s="7">
        <v>2.4</v>
      </c>
      <c r="AO471" s="7">
        <v>330</v>
      </c>
    </row>
    <row r="472" spans="1:41">
      <c r="A472" s="6" t="s">
        <v>983</v>
      </c>
      <c r="B472" s="6" t="s">
        <v>52</v>
      </c>
      <c r="C472" s="41">
        <f t="shared" si="15"/>
        <v>0.61936936936936937</v>
      </c>
      <c r="D472" s="42">
        <f t="shared" si="14"/>
        <v>1.625</v>
      </c>
      <c r="E472" s="31">
        <v>55</v>
      </c>
      <c r="F472" s="24">
        <v>18</v>
      </c>
      <c r="G472" s="24">
        <v>40</v>
      </c>
      <c r="H472" s="8">
        <v>41.5</v>
      </c>
      <c r="I472" s="9">
        <v>33</v>
      </c>
      <c r="J472" s="8">
        <v>39.4</v>
      </c>
      <c r="K472" s="8">
        <v>8</v>
      </c>
      <c r="L472" s="25">
        <v>10</v>
      </c>
      <c r="M472" s="8">
        <v>77.8</v>
      </c>
      <c r="N472" s="9">
        <v>10</v>
      </c>
      <c r="O472" s="9">
        <v>30</v>
      </c>
      <c r="P472" s="9">
        <v>40</v>
      </c>
      <c r="Q472" s="24">
        <v>13</v>
      </c>
      <c r="R472" s="24">
        <v>8</v>
      </c>
      <c r="S472" s="9">
        <v>5</v>
      </c>
      <c r="T472" s="9">
        <v>3</v>
      </c>
      <c r="U472" s="9">
        <v>18</v>
      </c>
      <c r="V472" s="8">
        <v>135</v>
      </c>
      <c r="W472" s="8">
        <v>0</v>
      </c>
      <c r="X472" s="8">
        <v>0</v>
      </c>
      <c r="Y472" s="7">
        <v>1.8</v>
      </c>
      <c r="Z472" s="7">
        <v>115.7</v>
      </c>
      <c r="AA472" s="7">
        <v>102.9</v>
      </c>
      <c r="AB472" s="7">
        <v>12.8</v>
      </c>
      <c r="AC472" s="7">
        <v>9.5</v>
      </c>
      <c r="AD472" s="7">
        <v>1.63</v>
      </c>
      <c r="AE472" s="7">
        <v>19.7</v>
      </c>
      <c r="AF472" s="7">
        <v>5.0999999999999996</v>
      </c>
      <c r="AG472" s="7">
        <v>16.100000000000001</v>
      </c>
      <c r="AH472" s="7">
        <v>10.8</v>
      </c>
      <c r="AI472" s="7">
        <v>12.1</v>
      </c>
      <c r="AJ472" s="7">
        <v>57.3</v>
      </c>
      <c r="AK472" s="7">
        <v>60.1</v>
      </c>
      <c r="AL472" s="7">
        <v>12.1</v>
      </c>
      <c r="AM472" s="7">
        <v>96.96</v>
      </c>
      <c r="AN472" s="7">
        <v>7.8</v>
      </c>
      <c r="AO472" s="7">
        <v>375</v>
      </c>
    </row>
    <row r="473" spans="1:41">
      <c r="A473" s="6" t="s">
        <v>985</v>
      </c>
      <c r="B473" s="6" t="s">
        <v>196</v>
      </c>
      <c r="C473" s="41">
        <f t="shared" si="15"/>
        <v>0.55923777961888976</v>
      </c>
      <c r="D473" s="42">
        <f t="shared" si="14"/>
        <v>3.4444444444444446</v>
      </c>
      <c r="E473" s="31">
        <v>54</v>
      </c>
      <c r="F473" s="24">
        <v>18</v>
      </c>
      <c r="G473" s="24">
        <v>43</v>
      </c>
      <c r="H473" s="8">
        <v>41.9</v>
      </c>
      <c r="I473" s="9">
        <v>21</v>
      </c>
      <c r="J473" s="8">
        <v>38.1</v>
      </c>
      <c r="K473" s="8">
        <v>10</v>
      </c>
      <c r="L473" s="25">
        <v>12</v>
      </c>
      <c r="M473" s="8">
        <v>83.3</v>
      </c>
      <c r="N473" s="9">
        <v>5</v>
      </c>
      <c r="O473" s="9">
        <v>13</v>
      </c>
      <c r="P473" s="9">
        <v>18</v>
      </c>
      <c r="Q473" s="24">
        <v>31</v>
      </c>
      <c r="R473" s="24">
        <v>9</v>
      </c>
      <c r="S473" s="9">
        <v>4</v>
      </c>
      <c r="T473" s="9">
        <v>4</v>
      </c>
      <c r="U473" s="9">
        <v>13</v>
      </c>
      <c r="V473" s="8">
        <v>137</v>
      </c>
      <c r="W473" s="8">
        <v>0</v>
      </c>
      <c r="X473" s="8">
        <v>0</v>
      </c>
      <c r="Y473" s="7">
        <v>-4</v>
      </c>
      <c r="Z473" s="7">
        <v>109.9</v>
      </c>
      <c r="AA473" s="7">
        <v>115.6</v>
      </c>
      <c r="AB473" s="7">
        <v>-5.7</v>
      </c>
      <c r="AC473" s="7">
        <v>27.4</v>
      </c>
      <c r="AD473" s="7">
        <v>3.44</v>
      </c>
      <c r="AE473" s="7">
        <v>34.799999999999997</v>
      </c>
      <c r="AF473" s="7">
        <v>2.8</v>
      </c>
      <c r="AG473" s="7">
        <v>8.6999999999999993</v>
      </c>
      <c r="AH473" s="7">
        <v>5.5</v>
      </c>
      <c r="AI473" s="7">
        <v>10.1</v>
      </c>
      <c r="AJ473" s="7">
        <v>51.2</v>
      </c>
      <c r="AK473" s="7">
        <v>55.9</v>
      </c>
      <c r="AL473" s="7">
        <v>14.5</v>
      </c>
      <c r="AM473" s="7">
        <v>101.72</v>
      </c>
      <c r="AN473" s="7">
        <v>8.5</v>
      </c>
      <c r="AO473" s="7">
        <v>342</v>
      </c>
    </row>
    <row r="474" spans="1:41">
      <c r="A474" s="6" t="s">
        <v>987</v>
      </c>
      <c r="B474" s="6" t="s">
        <v>58</v>
      </c>
      <c r="C474" s="41">
        <f t="shared" si="15"/>
        <v>0.48252002913328479</v>
      </c>
      <c r="D474" s="42">
        <f t="shared" si="14"/>
        <v>2.125</v>
      </c>
      <c r="E474" s="31">
        <v>53</v>
      </c>
      <c r="F474" s="24">
        <v>18</v>
      </c>
      <c r="G474" s="24">
        <v>47</v>
      </c>
      <c r="H474" s="8">
        <v>38.299999999999997</v>
      </c>
      <c r="I474" s="9">
        <v>19</v>
      </c>
      <c r="J474" s="8">
        <v>21.1</v>
      </c>
      <c r="K474" s="8">
        <v>13</v>
      </c>
      <c r="L474" s="25">
        <v>18</v>
      </c>
      <c r="M474" s="8">
        <v>72.2</v>
      </c>
      <c r="N474" s="9">
        <v>5</v>
      </c>
      <c r="O474" s="9">
        <v>16</v>
      </c>
      <c r="P474" s="9">
        <v>21</v>
      </c>
      <c r="Q474" s="24">
        <v>17</v>
      </c>
      <c r="R474" s="24">
        <v>8</v>
      </c>
      <c r="S474" s="9">
        <v>3</v>
      </c>
      <c r="T474" s="9">
        <v>2</v>
      </c>
      <c r="U474" s="9">
        <v>9</v>
      </c>
      <c r="V474" s="8">
        <v>111</v>
      </c>
      <c r="W474" s="8">
        <v>0</v>
      </c>
      <c r="X474" s="8">
        <v>0</v>
      </c>
      <c r="Y474" s="7">
        <v>-2.2999999999999998</v>
      </c>
      <c r="Z474" s="7">
        <v>95.3</v>
      </c>
      <c r="AA474" s="7">
        <v>103.3</v>
      </c>
      <c r="AB474" s="7">
        <v>-8</v>
      </c>
      <c r="AC474" s="7">
        <v>21.3</v>
      </c>
      <c r="AD474" s="7">
        <v>2.13</v>
      </c>
      <c r="AE474" s="7">
        <v>21.3</v>
      </c>
      <c r="AF474" s="7">
        <v>3.5</v>
      </c>
      <c r="AG474" s="7">
        <v>12.3</v>
      </c>
      <c r="AH474" s="7">
        <v>7.7</v>
      </c>
      <c r="AI474" s="7">
        <v>10</v>
      </c>
      <c r="AJ474" s="7">
        <v>42.6</v>
      </c>
      <c r="AK474" s="7">
        <v>48.3</v>
      </c>
      <c r="AL474" s="7">
        <v>20.3</v>
      </c>
      <c r="AM474" s="7">
        <v>106.96</v>
      </c>
      <c r="AN474" s="7">
        <v>8.6</v>
      </c>
      <c r="AO474" s="7">
        <v>275</v>
      </c>
    </row>
    <row r="475" spans="1:41">
      <c r="A475" s="6" t="s">
        <v>989</v>
      </c>
      <c r="B475" s="6" t="s">
        <v>76</v>
      </c>
      <c r="C475" s="41">
        <f t="shared" si="15"/>
        <v>0.64133591481122942</v>
      </c>
      <c r="D475" s="42">
        <f t="shared" si="14"/>
        <v>5</v>
      </c>
      <c r="E475" s="31">
        <v>53</v>
      </c>
      <c r="F475" s="24">
        <v>20</v>
      </c>
      <c r="G475" s="24">
        <v>40</v>
      </c>
      <c r="H475" s="8">
        <v>50</v>
      </c>
      <c r="I475" s="9">
        <v>28</v>
      </c>
      <c r="J475" s="8">
        <v>39.299999999999997</v>
      </c>
      <c r="K475" s="8">
        <v>2</v>
      </c>
      <c r="L475" s="25">
        <v>3</v>
      </c>
      <c r="M475" s="8">
        <v>66.7</v>
      </c>
      <c r="N475" s="9">
        <v>21</v>
      </c>
      <c r="O475" s="9">
        <v>26</v>
      </c>
      <c r="P475" s="9">
        <v>47</v>
      </c>
      <c r="Q475" s="24">
        <v>15</v>
      </c>
      <c r="R475" s="24">
        <v>3</v>
      </c>
      <c r="S475" s="9">
        <v>5</v>
      </c>
      <c r="T475" s="9">
        <v>4</v>
      </c>
      <c r="U475" s="9">
        <v>5</v>
      </c>
      <c r="V475" s="8">
        <v>156</v>
      </c>
      <c r="W475" s="8">
        <v>1</v>
      </c>
      <c r="X475" s="8">
        <v>0</v>
      </c>
      <c r="Y475" s="7">
        <v>-3.1</v>
      </c>
      <c r="Z475" s="7">
        <v>115.8</v>
      </c>
      <c r="AA475" s="7">
        <v>122.1</v>
      </c>
      <c r="AB475" s="7">
        <v>-6.3</v>
      </c>
      <c r="AC475" s="7">
        <v>10.1</v>
      </c>
      <c r="AD475" s="7">
        <v>5</v>
      </c>
      <c r="AE475" s="7">
        <v>25.4</v>
      </c>
      <c r="AF475" s="7">
        <v>9.9</v>
      </c>
      <c r="AG475" s="7">
        <v>14.1</v>
      </c>
      <c r="AH475" s="7">
        <v>11.8</v>
      </c>
      <c r="AI475" s="7">
        <v>5.0999999999999996</v>
      </c>
      <c r="AJ475" s="7">
        <v>63.8</v>
      </c>
      <c r="AK475" s="7">
        <v>64.099999999999994</v>
      </c>
      <c r="AL475" s="7">
        <v>9.3000000000000007</v>
      </c>
      <c r="AM475" s="7">
        <v>99.08</v>
      </c>
      <c r="AN475" s="7">
        <v>8.9</v>
      </c>
      <c r="AO475" s="7">
        <v>405</v>
      </c>
    </row>
    <row r="476" spans="1:41">
      <c r="A476" s="13" t="s">
        <v>991</v>
      </c>
      <c r="B476" s="6" t="s">
        <v>62</v>
      </c>
      <c r="C476" s="41">
        <f t="shared" si="15"/>
        <v>0.69371727748691092</v>
      </c>
      <c r="D476" s="42">
        <f t="shared" si="14"/>
        <v>0.4</v>
      </c>
      <c r="E476" s="31">
        <v>53</v>
      </c>
      <c r="F476" s="24">
        <v>19</v>
      </c>
      <c r="G476" s="24">
        <v>36</v>
      </c>
      <c r="H476" s="8">
        <v>54.3</v>
      </c>
      <c r="I476" s="9">
        <v>24</v>
      </c>
      <c r="J476" s="8">
        <v>56.5</v>
      </c>
      <c r="K476" s="8">
        <v>2</v>
      </c>
      <c r="L476" s="25">
        <v>5</v>
      </c>
      <c r="M476" s="8">
        <v>50</v>
      </c>
      <c r="N476" s="9">
        <v>5</v>
      </c>
      <c r="O476" s="9">
        <v>19</v>
      </c>
      <c r="P476" s="9">
        <v>24</v>
      </c>
      <c r="Q476" s="24">
        <v>2</v>
      </c>
      <c r="R476" s="24">
        <v>5</v>
      </c>
      <c r="S476" s="9">
        <v>2</v>
      </c>
      <c r="T476" s="9">
        <v>2</v>
      </c>
      <c r="U476" s="9">
        <v>7</v>
      </c>
      <c r="V476" s="8">
        <v>98</v>
      </c>
      <c r="W476" s="8">
        <v>0</v>
      </c>
      <c r="X476" s="8">
        <v>0</v>
      </c>
      <c r="Y476" s="7">
        <v>1.2</v>
      </c>
      <c r="Z476" s="7">
        <v>114.6</v>
      </c>
      <c r="AA476" s="7">
        <v>102.1</v>
      </c>
      <c r="AB476" s="7">
        <v>12.4</v>
      </c>
      <c r="AC476" s="7">
        <v>4.2</v>
      </c>
      <c r="AD476" s="7">
        <v>0.6</v>
      </c>
      <c r="AE476" s="7">
        <v>6.7</v>
      </c>
      <c r="AF476" s="7">
        <v>3.8</v>
      </c>
      <c r="AG476" s="7">
        <v>18.899999999999999</v>
      </c>
      <c r="AH476" s="7">
        <v>10.5</v>
      </c>
      <c r="AI476" s="7">
        <v>11.1</v>
      </c>
      <c r="AJ476" s="7">
        <v>72.900000000000006</v>
      </c>
      <c r="AK476" s="7">
        <v>72.099999999999994</v>
      </c>
      <c r="AL476" s="7">
        <v>15.1</v>
      </c>
      <c r="AM476" s="7">
        <v>104.77</v>
      </c>
      <c r="AN476" s="7">
        <v>12.2</v>
      </c>
      <c r="AO476" s="7">
        <v>233</v>
      </c>
    </row>
    <row r="477" spans="1:41">
      <c r="A477" s="6" t="s">
        <v>993</v>
      </c>
      <c r="B477" s="6" t="s">
        <v>146</v>
      </c>
      <c r="C477" s="41">
        <f t="shared" si="15"/>
        <v>0.41510025062656641</v>
      </c>
      <c r="D477" s="42">
        <f t="shared" si="14"/>
        <v>2.8181818181818183</v>
      </c>
      <c r="E477" s="31">
        <v>53</v>
      </c>
      <c r="F477" s="24">
        <v>17</v>
      </c>
      <c r="G477" s="24">
        <v>59</v>
      </c>
      <c r="H477" s="8">
        <v>30</v>
      </c>
      <c r="I477" s="9">
        <v>28</v>
      </c>
      <c r="J477" s="8">
        <v>21.4</v>
      </c>
      <c r="K477" s="8">
        <v>11</v>
      </c>
      <c r="L477" s="25">
        <v>11</v>
      </c>
      <c r="M477" s="8">
        <v>91.7</v>
      </c>
      <c r="N477" s="9">
        <v>8</v>
      </c>
      <c r="O477" s="9">
        <v>20</v>
      </c>
      <c r="P477" s="9">
        <v>28</v>
      </c>
      <c r="Q477" s="24">
        <v>31</v>
      </c>
      <c r="R477" s="24">
        <v>11</v>
      </c>
      <c r="S477" s="9">
        <v>17</v>
      </c>
      <c r="T477" s="9">
        <v>3</v>
      </c>
      <c r="U477" s="9">
        <v>22</v>
      </c>
      <c r="V477" s="8">
        <v>182</v>
      </c>
      <c r="W477" s="8">
        <v>0</v>
      </c>
      <c r="X477" s="8">
        <v>0</v>
      </c>
      <c r="Y477" s="7">
        <v>-1</v>
      </c>
      <c r="Z477" s="7">
        <v>106.6</v>
      </c>
      <c r="AA477" s="7">
        <v>111.1</v>
      </c>
      <c r="AB477" s="7">
        <v>-4.5</v>
      </c>
      <c r="AC477" s="7">
        <v>17.100000000000001</v>
      </c>
      <c r="AD477" s="7">
        <v>3.1</v>
      </c>
      <c r="AE477" s="7">
        <v>29</v>
      </c>
      <c r="AF477" s="7">
        <v>3.6</v>
      </c>
      <c r="AG477" s="7">
        <v>9</v>
      </c>
      <c r="AH477" s="7">
        <v>6.1</v>
      </c>
      <c r="AI477" s="7">
        <v>9.3000000000000007</v>
      </c>
      <c r="AJ477" s="7">
        <v>35</v>
      </c>
      <c r="AK477" s="7">
        <v>40.6</v>
      </c>
      <c r="AL477" s="7">
        <v>12.9</v>
      </c>
      <c r="AM477" s="7">
        <v>105.94</v>
      </c>
      <c r="AN477" s="7">
        <v>5.0999999999999996</v>
      </c>
      <c r="AO477" s="7">
        <v>498</v>
      </c>
    </row>
    <row r="478" spans="1:41">
      <c r="A478" s="6" t="s">
        <v>995</v>
      </c>
      <c r="B478" s="6" t="s">
        <v>116</v>
      </c>
      <c r="C478" s="41">
        <f t="shared" si="15"/>
        <v>0.57573073516386186</v>
      </c>
      <c r="D478" s="42">
        <f t="shared" si="14"/>
        <v>0.5</v>
      </c>
      <c r="E478" s="31">
        <v>52</v>
      </c>
      <c r="F478" s="24">
        <v>19</v>
      </c>
      <c r="G478" s="24">
        <v>39</v>
      </c>
      <c r="H478" s="8">
        <v>48.7</v>
      </c>
      <c r="I478" s="9">
        <v>18</v>
      </c>
      <c r="J478" s="8">
        <v>33.299999999999997</v>
      </c>
      <c r="K478" s="8">
        <v>8</v>
      </c>
      <c r="L478" s="25">
        <v>14</v>
      </c>
      <c r="M478" s="8">
        <v>57.1</v>
      </c>
      <c r="N478" s="9">
        <v>7</v>
      </c>
      <c r="O478" s="9">
        <v>15</v>
      </c>
      <c r="P478" s="9">
        <v>22</v>
      </c>
      <c r="Q478" s="24">
        <v>4</v>
      </c>
      <c r="R478" s="24">
        <v>8</v>
      </c>
      <c r="S478" s="9">
        <v>4</v>
      </c>
      <c r="T478" s="9">
        <v>3</v>
      </c>
      <c r="U478" s="9">
        <v>14</v>
      </c>
      <c r="V478" s="8">
        <v>97</v>
      </c>
      <c r="W478" s="8">
        <v>0</v>
      </c>
      <c r="X478" s="8">
        <v>0</v>
      </c>
      <c r="Y478" s="7">
        <v>-5.2</v>
      </c>
      <c r="Z478" s="7">
        <v>113.6</v>
      </c>
      <c r="AA478" s="7">
        <v>124.3</v>
      </c>
      <c r="AB478" s="7">
        <v>-10.7</v>
      </c>
      <c r="AC478" s="7">
        <v>4</v>
      </c>
      <c r="AD478" s="7">
        <v>0.5</v>
      </c>
      <c r="AE478" s="7">
        <v>7.1</v>
      </c>
      <c r="AF478" s="7">
        <v>4.7</v>
      </c>
      <c r="AG478" s="7">
        <v>11.5</v>
      </c>
      <c r="AH478" s="7">
        <v>7.9</v>
      </c>
      <c r="AI478" s="7">
        <v>14.3</v>
      </c>
      <c r="AJ478" s="7">
        <v>56.4</v>
      </c>
      <c r="AK478" s="7">
        <v>57.6</v>
      </c>
      <c r="AL478" s="7">
        <v>15.4</v>
      </c>
      <c r="AM478" s="7">
        <v>101.4</v>
      </c>
      <c r="AN478" s="7">
        <v>5</v>
      </c>
      <c r="AO478" s="7">
        <v>301</v>
      </c>
    </row>
    <row r="479" spans="1:41">
      <c r="A479" s="6" t="s">
        <v>997</v>
      </c>
      <c r="B479" s="6" t="s">
        <v>64</v>
      </c>
      <c r="C479" s="41">
        <f t="shared" si="15"/>
        <v>0.67189249720044797</v>
      </c>
      <c r="D479" s="42">
        <f t="shared" si="14"/>
        <v>0.5</v>
      </c>
      <c r="E479" s="31">
        <v>48</v>
      </c>
      <c r="F479" s="24">
        <v>20</v>
      </c>
      <c r="G479" s="24">
        <v>30</v>
      </c>
      <c r="H479" s="8">
        <v>67.7</v>
      </c>
      <c r="I479" s="8">
        <v>0</v>
      </c>
      <c r="J479" s="8">
        <v>0</v>
      </c>
      <c r="K479" s="8">
        <v>5</v>
      </c>
      <c r="L479" s="25">
        <v>13</v>
      </c>
      <c r="M479" s="8">
        <v>46.2</v>
      </c>
      <c r="N479" s="9">
        <v>15</v>
      </c>
      <c r="O479" s="9">
        <v>38</v>
      </c>
      <c r="P479" s="9">
        <v>50</v>
      </c>
      <c r="Q479" s="24">
        <v>10</v>
      </c>
      <c r="R479" s="24">
        <v>20</v>
      </c>
      <c r="S479" s="8">
        <v>0</v>
      </c>
      <c r="T479" s="9">
        <v>15</v>
      </c>
      <c r="U479" s="9">
        <v>33</v>
      </c>
      <c r="V479" s="8">
        <v>153</v>
      </c>
      <c r="W479" s="8">
        <v>0</v>
      </c>
      <c r="X479" s="8">
        <v>0</v>
      </c>
      <c r="Y479" s="7">
        <v>-2.5</v>
      </c>
      <c r="Z479" s="7">
        <v>97.6</v>
      </c>
      <c r="AA479" s="7">
        <v>110.1</v>
      </c>
      <c r="AB479" s="7">
        <v>-12.4</v>
      </c>
      <c r="AC479" s="7">
        <v>7.5</v>
      </c>
      <c r="AD479" s="7">
        <v>0.52</v>
      </c>
      <c r="AE479" s="7">
        <v>15.9</v>
      </c>
      <c r="AF479" s="7">
        <v>6.6</v>
      </c>
      <c r="AG479" s="7">
        <v>15.1</v>
      </c>
      <c r="AH479" s="7">
        <v>11.2</v>
      </c>
      <c r="AI479" s="7">
        <v>30.4</v>
      </c>
      <c r="AJ479" s="7">
        <v>67.7</v>
      </c>
      <c r="AK479" s="7">
        <v>65.400000000000006</v>
      </c>
      <c r="AL479" s="7">
        <v>11.3</v>
      </c>
      <c r="AM479" s="7">
        <v>102.57</v>
      </c>
      <c r="AN479" s="7">
        <v>4.8</v>
      </c>
      <c r="AO479" s="7">
        <v>462</v>
      </c>
    </row>
    <row r="480" spans="1:41">
      <c r="A480" s="6" t="s">
        <v>999</v>
      </c>
      <c r="B480" s="6" t="s">
        <v>70</v>
      </c>
      <c r="C480" s="41">
        <f t="shared" si="15"/>
        <v>0.58198380566801611</v>
      </c>
      <c r="D480" s="42">
        <f t="shared" si="14"/>
        <v>1.5</v>
      </c>
      <c r="E480" s="31">
        <v>46</v>
      </c>
      <c r="F480" s="24">
        <v>18</v>
      </c>
      <c r="G480" s="24">
        <v>36</v>
      </c>
      <c r="H480" s="8">
        <v>50</v>
      </c>
      <c r="I480" s="9">
        <v>15</v>
      </c>
      <c r="J480" s="8">
        <v>26.7</v>
      </c>
      <c r="K480" s="8">
        <v>6</v>
      </c>
      <c r="L480" s="25">
        <v>8</v>
      </c>
      <c r="M480" s="8">
        <v>75</v>
      </c>
      <c r="N480" s="9">
        <v>7</v>
      </c>
      <c r="O480" s="9">
        <v>10</v>
      </c>
      <c r="P480" s="9">
        <v>17</v>
      </c>
      <c r="Q480" s="24">
        <v>6</v>
      </c>
      <c r="R480" s="24">
        <v>4</v>
      </c>
      <c r="S480" s="9">
        <v>1</v>
      </c>
      <c r="T480" s="9">
        <v>4</v>
      </c>
      <c r="U480" s="9">
        <v>6</v>
      </c>
      <c r="V480" s="8">
        <v>88</v>
      </c>
      <c r="W480" s="8">
        <v>0</v>
      </c>
      <c r="X480" s="8">
        <v>0</v>
      </c>
      <c r="Y480" s="7">
        <v>-0.2</v>
      </c>
      <c r="Z480" s="7">
        <v>112.7</v>
      </c>
      <c r="AA480" s="7">
        <v>115.6</v>
      </c>
      <c r="AB480" s="7">
        <v>-2.9</v>
      </c>
      <c r="AC480" s="7">
        <v>8.6</v>
      </c>
      <c r="AD480" s="7">
        <v>1.25</v>
      </c>
      <c r="AE480" s="7">
        <v>10.199999999999999</v>
      </c>
      <c r="AF480" s="7">
        <v>6.9</v>
      </c>
      <c r="AG480" s="7">
        <v>14.9</v>
      </c>
      <c r="AH480" s="7">
        <v>10.1</v>
      </c>
      <c r="AI480" s="7">
        <v>8.1999999999999993</v>
      </c>
      <c r="AJ480" s="7">
        <v>55.6</v>
      </c>
      <c r="AK480" s="7">
        <v>58.2</v>
      </c>
      <c r="AL480" s="7">
        <v>20.2</v>
      </c>
      <c r="AM480" s="7">
        <v>103.28</v>
      </c>
      <c r="AN480" s="7">
        <v>10.4</v>
      </c>
      <c r="AO480" s="7">
        <v>181</v>
      </c>
    </row>
    <row r="481" spans="1:41">
      <c r="A481" s="6" t="s">
        <v>1001</v>
      </c>
      <c r="B481" s="6" t="s">
        <v>84</v>
      </c>
      <c r="C481" s="41">
        <f t="shared" si="15"/>
        <v>0.50218340611353718</v>
      </c>
      <c r="D481" s="42">
        <f t="shared" si="14"/>
        <v>1.2857142857142858</v>
      </c>
      <c r="E481" s="31">
        <v>46</v>
      </c>
      <c r="F481" s="24">
        <v>15</v>
      </c>
      <c r="G481" s="24">
        <v>37</v>
      </c>
      <c r="H481" s="8">
        <v>43.2</v>
      </c>
      <c r="I481" s="9">
        <v>11</v>
      </c>
      <c r="J481" s="8">
        <v>10</v>
      </c>
      <c r="K481" s="8">
        <v>13</v>
      </c>
      <c r="L481" s="25">
        <v>20</v>
      </c>
      <c r="M481" s="8">
        <v>68.400000000000006</v>
      </c>
      <c r="N481" s="9">
        <v>11</v>
      </c>
      <c r="O481" s="9">
        <v>20</v>
      </c>
      <c r="P481" s="9">
        <v>31</v>
      </c>
      <c r="Q481" s="24">
        <v>9</v>
      </c>
      <c r="R481" s="24">
        <v>7</v>
      </c>
      <c r="S481" s="9">
        <v>2</v>
      </c>
      <c r="T481" s="9">
        <v>2</v>
      </c>
      <c r="U481" s="9">
        <v>22</v>
      </c>
      <c r="V481" s="8">
        <v>108</v>
      </c>
      <c r="W481" s="8">
        <v>0</v>
      </c>
      <c r="X481" s="8">
        <v>0</v>
      </c>
      <c r="Y481" s="7">
        <v>-0.9</v>
      </c>
      <c r="Z481" s="7">
        <v>104.4</v>
      </c>
      <c r="AA481" s="7">
        <v>110.7</v>
      </c>
      <c r="AB481" s="7">
        <v>-6.3</v>
      </c>
      <c r="AC481" s="7">
        <v>6.2</v>
      </c>
      <c r="AD481" s="7">
        <v>1.5</v>
      </c>
      <c r="AE481" s="7">
        <v>15</v>
      </c>
      <c r="AF481" s="7">
        <v>5.4</v>
      </c>
      <c r="AG481" s="7">
        <v>10.6</v>
      </c>
      <c r="AH481" s="7">
        <v>7.8</v>
      </c>
      <c r="AI481" s="7">
        <v>10</v>
      </c>
      <c r="AJ481" s="7">
        <v>44.6</v>
      </c>
      <c r="AK481" s="7">
        <v>50.7</v>
      </c>
      <c r="AL481" s="7">
        <v>10.9</v>
      </c>
      <c r="AM481" s="7">
        <v>107.55</v>
      </c>
      <c r="AN481" s="7">
        <v>4</v>
      </c>
      <c r="AO481" s="7">
        <v>409</v>
      </c>
    </row>
    <row r="482" spans="1:41">
      <c r="A482" s="6" t="s">
        <v>1003</v>
      </c>
      <c r="B482" s="6" t="s">
        <v>58</v>
      </c>
      <c r="C482" s="41">
        <f t="shared" si="15"/>
        <v>0.83075734157650694</v>
      </c>
      <c r="D482" s="42">
        <f t="shared" si="14"/>
        <v>0.5</v>
      </c>
      <c r="E482" s="31">
        <v>43</v>
      </c>
      <c r="F482" s="24">
        <v>16</v>
      </c>
      <c r="G482" s="24">
        <v>25</v>
      </c>
      <c r="H482" s="8">
        <v>64</v>
      </c>
      <c r="I482" s="9">
        <v>17</v>
      </c>
      <c r="J482" s="8">
        <v>52.9</v>
      </c>
      <c r="K482" s="8">
        <v>2</v>
      </c>
      <c r="L482" s="25">
        <v>2</v>
      </c>
      <c r="M482" s="8">
        <v>100</v>
      </c>
      <c r="N482" s="9">
        <v>4</v>
      </c>
      <c r="O482" s="9">
        <v>7</v>
      </c>
      <c r="P482" s="9">
        <v>11</v>
      </c>
      <c r="Q482" s="24">
        <v>2</v>
      </c>
      <c r="R482" s="24">
        <v>4</v>
      </c>
      <c r="S482" s="8">
        <v>0</v>
      </c>
      <c r="T482" s="8">
        <v>0</v>
      </c>
      <c r="U482" s="9">
        <v>10</v>
      </c>
      <c r="V482" s="8">
        <v>55</v>
      </c>
      <c r="W482" s="8">
        <v>0</v>
      </c>
      <c r="X482" s="8">
        <v>0</v>
      </c>
      <c r="Y482" s="7">
        <v>4.8</v>
      </c>
      <c r="Z482" s="7">
        <v>104</v>
      </c>
      <c r="AA482" s="7">
        <v>84.2</v>
      </c>
      <c r="AB482" s="7">
        <v>19.8</v>
      </c>
      <c r="AC482" s="7">
        <v>4.7</v>
      </c>
      <c r="AD482" s="7">
        <v>0.5</v>
      </c>
      <c r="AE482" s="7">
        <v>6.3</v>
      </c>
      <c r="AF482" s="7">
        <v>5.7</v>
      </c>
      <c r="AG482" s="7">
        <v>9.3000000000000007</v>
      </c>
      <c r="AH482" s="7">
        <v>7.6</v>
      </c>
      <c r="AI482" s="7">
        <v>12.5</v>
      </c>
      <c r="AJ482" s="7">
        <v>82</v>
      </c>
      <c r="AK482" s="7">
        <v>83.1</v>
      </c>
      <c r="AL482" s="7">
        <v>18.100000000000001</v>
      </c>
      <c r="AM482" s="7">
        <v>101.64</v>
      </c>
      <c r="AN482" s="7">
        <v>12.2</v>
      </c>
      <c r="AO482" s="7">
        <v>151</v>
      </c>
    </row>
    <row r="483" spans="1:41">
      <c r="A483" s="6" t="s">
        <v>1005</v>
      </c>
      <c r="B483" s="6" t="s">
        <v>56</v>
      </c>
      <c r="C483" s="41">
        <f t="shared" si="15"/>
        <v>0.70723684210526316</v>
      </c>
      <c r="D483" s="42">
        <f t="shared" si="14"/>
        <v>1</v>
      </c>
      <c r="E483" s="31">
        <v>43</v>
      </c>
      <c r="F483" s="24">
        <v>18</v>
      </c>
      <c r="G483" s="24">
        <v>26</v>
      </c>
      <c r="H483" s="8">
        <v>69.2</v>
      </c>
      <c r="I483" s="9">
        <v>6</v>
      </c>
      <c r="J483" s="8">
        <v>42.9</v>
      </c>
      <c r="K483" s="8">
        <v>5</v>
      </c>
      <c r="L483" s="25">
        <v>10</v>
      </c>
      <c r="M483" s="8">
        <v>44.4</v>
      </c>
      <c r="N483" s="9">
        <v>6</v>
      </c>
      <c r="O483" s="9">
        <v>22</v>
      </c>
      <c r="P483" s="9">
        <v>29</v>
      </c>
      <c r="Q483" s="24">
        <v>5</v>
      </c>
      <c r="R483" s="24">
        <v>5</v>
      </c>
      <c r="S483" s="9">
        <v>5</v>
      </c>
      <c r="T483" s="9">
        <v>5</v>
      </c>
      <c r="U483" s="9">
        <v>11</v>
      </c>
      <c r="V483" s="8">
        <v>106</v>
      </c>
      <c r="W483" s="8">
        <v>0</v>
      </c>
      <c r="X483" s="8">
        <v>0</v>
      </c>
      <c r="Y483" s="7">
        <v>0.3</v>
      </c>
      <c r="Z483" s="7">
        <v>105.5</v>
      </c>
      <c r="AA483" s="7">
        <v>104.1</v>
      </c>
      <c r="AB483" s="7">
        <v>1.3</v>
      </c>
      <c r="AC483" s="7">
        <v>5.8</v>
      </c>
      <c r="AD483" s="7">
        <v>1</v>
      </c>
      <c r="AE483" s="7">
        <v>10.5</v>
      </c>
      <c r="AF483" s="7">
        <v>6.7</v>
      </c>
      <c r="AG483" s="7">
        <v>18.8</v>
      </c>
      <c r="AH483" s="7">
        <v>13.6</v>
      </c>
      <c r="AI483" s="7">
        <v>10.5</v>
      </c>
      <c r="AJ483" s="7">
        <v>75</v>
      </c>
      <c r="AK483" s="7">
        <v>71.8</v>
      </c>
      <c r="AL483" s="7">
        <v>14.5</v>
      </c>
      <c r="AM483" s="7">
        <v>106.64</v>
      </c>
      <c r="AN483" s="7">
        <v>11.4</v>
      </c>
      <c r="AO483" s="7">
        <v>219</v>
      </c>
    </row>
    <row r="484" spans="1:41">
      <c r="A484" s="6" t="s">
        <v>1007</v>
      </c>
      <c r="B484" s="6" t="s">
        <v>140</v>
      </c>
      <c r="C484" s="41">
        <f t="shared" si="15"/>
        <v>0.60693641618497107</v>
      </c>
      <c r="D484" s="42">
        <f t="shared" si="14"/>
        <v>1.5</v>
      </c>
      <c r="E484" s="31">
        <v>42</v>
      </c>
      <c r="F484" s="24">
        <v>12</v>
      </c>
      <c r="G484" s="24">
        <v>28</v>
      </c>
      <c r="H484" s="8">
        <v>42.9</v>
      </c>
      <c r="I484" s="9">
        <v>15</v>
      </c>
      <c r="J484" s="8">
        <v>40</v>
      </c>
      <c r="K484" s="8">
        <v>12</v>
      </c>
      <c r="L484" s="25">
        <v>15</v>
      </c>
      <c r="M484" s="8">
        <v>80</v>
      </c>
      <c r="N484" s="9">
        <v>3</v>
      </c>
      <c r="O484" s="9">
        <v>3</v>
      </c>
      <c r="P484" s="9">
        <v>6</v>
      </c>
      <c r="Q484" s="24">
        <v>12</v>
      </c>
      <c r="R484" s="24">
        <v>8</v>
      </c>
      <c r="S484" s="9">
        <v>3</v>
      </c>
      <c r="T484" s="9">
        <v>1</v>
      </c>
      <c r="U484" s="9">
        <v>10</v>
      </c>
      <c r="V484" s="8">
        <v>71</v>
      </c>
      <c r="W484" s="8">
        <v>0</v>
      </c>
      <c r="X484" s="8">
        <v>0</v>
      </c>
      <c r="Y484" s="7">
        <v>-7.8</v>
      </c>
      <c r="Z484" s="7">
        <v>100.4</v>
      </c>
      <c r="AA484" s="7">
        <v>120.4</v>
      </c>
      <c r="AB484" s="7">
        <v>-20</v>
      </c>
      <c r="AC484" s="7">
        <v>17.600000000000001</v>
      </c>
      <c r="AD484" s="7">
        <v>1.5</v>
      </c>
      <c r="AE484" s="7">
        <v>21.8</v>
      </c>
      <c r="AF484" s="7">
        <v>2.5</v>
      </c>
      <c r="AG484" s="7">
        <v>2.5</v>
      </c>
      <c r="AH484" s="7">
        <v>2.5</v>
      </c>
      <c r="AI484" s="7">
        <v>14.5</v>
      </c>
      <c r="AJ484" s="7">
        <v>53.6</v>
      </c>
      <c r="AK484" s="7">
        <v>60.7</v>
      </c>
      <c r="AL484" s="7">
        <v>15.9</v>
      </c>
      <c r="AM484" s="7">
        <v>100.89</v>
      </c>
      <c r="AN484" s="7">
        <v>5.7</v>
      </c>
      <c r="AO484" s="7">
        <v>235</v>
      </c>
    </row>
    <row r="485" spans="1:41">
      <c r="A485" s="6" t="s">
        <v>1009</v>
      </c>
      <c r="B485" s="6" t="s">
        <v>50</v>
      </c>
      <c r="C485" s="41">
        <f t="shared" si="15"/>
        <v>0.55361305361305357</v>
      </c>
      <c r="D485" s="42">
        <f t="shared" si="14"/>
        <v>2.5</v>
      </c>
      <c r="E485" s="31">
        <v>38</v>
      </c>
      <c r="F485" s="24">
        <v>14</v>
      </c>
      <c r="G485" s="24">
        <v>33</v>
      </c>
      <c r="H485" s="8">
        <v>43.8</v>
      </c>
      <c r="I485" s="9">
        <v>23</v>
      </c>
      <c r="J485" s="8">
        <v>37.5</v>
      </c>
      <c r="K485" s="8">
        <v>1</v>
      </c>
      <c r="L485" s="25">
        <v>3</v>
      </c>
      <c r="M485" s="8">
        <v>50</v>
      </c>
      <c r="N485" s="9">
        <v>5</v>
      </c>
      <c r="O485" s="9">
        <v>16</v>
      </c>
      <c r="P485" s="9">
        <v>21</v>
      </c>
      <c r="Q485" s="24">
        <v>10</v>
      </c>
      <c r="R485" s="24">
        <v>4</v>
      </c>
      <c r="S485" s="9">
        <v>3</v>
      </c>
      <c r="T485" s="9">
        <v>3</v>
      </c>
      <c r="U485" s="9">
        <v>17</v>
      </c>
      <c r="V485" s="8">
        <v>86</v>
      </c>
      <c r="W485" s="8">
        <v>0</v>
      </c>
      <c r="X485" s="8">
        <v>0</v>
      </c>
      <c r="Y485" s="7">
        <v>-1.1000000000000001</v>
      </c>
      <c r="Z485" s="7">
        <v>107.8</v>
      </c>
      <c r="AA485" s="7">
        <v>114.8</v>
      </c>
      <c r="AB485" s="7">
        <v>-7</v>
      </c>
      <c r="AC485" s="7">
        <v>10.6</v>
      </c>
      <c r="AD485" s="7">
        <v>2.5</v>
      </c>
      <c r="AE485" s="7">
        <v>21.3</v>
      </c>
      <c r="AF485" s="7">
        <v>3.6</v>
      </c>
      <c r="AG485" s="7">
        <v>11.5</v>
      </c>
      <c r="AH485" s="7">
        <v>7.6</v>
      </c>
      <c r="AI485" s="7">
        <v>8.5</v>
      </c>
      <c r="AJ485" s="7">
        <v>57.8</v>
      </c>
      <c r="AK485" s="7">
        <v>57.8</v>
      </c>
      <c r="AL485" s="7">
        <v>11.6</v>
      </c>
      <c r="AM485" s="7">
        <v>97.1</v>
      </c>
      <c r="AN485" s="7">
        <v>5.4</v>
      </c>
      <c r="AO485" s="7">
        <v>282</v>
      </c>
    </row>
    <row r="486" spans="1:41">
      <c r="A486" s="6" t="s">
        <v>1011</v>
      </c>
      <c r="B486" s="6" t="s">
        <v>76</v>
      </c>
      <c r="C486" s="41">
        <f t="shared" si="15"/>
        <v>0.48684210526315791</v>
      </c>
      <c r="D486" s="42">
        <f t="shared" si="14"/>
        <v>4</v>
      </c>
      <c r="E486" s="31">
        <v>37</v>
      </c>
      <c r="F486" s="24">
        <v>13</v>
      </c>
      <c r="G486" s="24">
        <v>38</v>
      </c>
      <c r="H486" s="8">
        <v>34.200000000000003</v>
      </c>
      <c r="I486" s="9">
        <v>30</v>
      </c>
      <c r="J486" s="8">
        <v>36.700000000000003</v>
      </c>
      <c r="K486" s="8">
        <v>0</v>
      </c>
      <c r="L486" s="25">
        <v>0</v>
      </c>
      <c r="M486" s="8">
        <v>0</v>
      </c>
      <c r="N486" s="8">
        <v>0</v>
      </c>
      <c r="O486" s="9">
        <v>7</v>
      </c>
      <c r="P486" s="9">
        <v>7</v>
      </c>
      <c r="Q486" s="24">
        <v>8</v>
      </c>
      <c r="R486" s="24">
        <v>2</v>
      </c>
      <c r="S486" s="9">
        <v>1</v>
      </c>
      <c r="T486" s="9">
        <v>1</v>
      </c>
      <c r="U486" s="9">
        <v>4</v>
      </c>
      <c r="V486" s="8">
        <v>61</v>
      </c>
      <c r="W486" s="8">
        <v>0</v>
      </c>
      <c r="X486" s="8">
        <v>0</v>
      </c>
      <c r="Y486" s="7">
        <v>-3.4</v>
      </c>
      <c r="Z486" s="16">
        <v>89</v>
      </c>
      <c r="AA486" s="16">
        <v>110.5</v>
      </c>
      <c r="AB486" s="16">
        <v>-21.5</v>
      </c>
      <c r="AC486" s="16">
        <v>20</v>
      </c>
      <c r="AD486" s="16">
        <v>4</v>
      </c>
      <c r="AE486" s="16">
        <v>16.7</v>
      </c>
      <c r="AF486" s="16">
        <v>0</v>
      </c>
      <c r="AG486" s="16">
        <v>7.5</v>
      </c>
      <c r="AH486" s="16">
        <v>3.6</v>
      </c>
      <c r="AI486" s="16">
        <v>4.2</v>
      </c>
      <c r="AJ486" s="16">
        <v>48.7</v>
      </c>
      <c r="AK486" s="16">
        <v>48.7</v>
      </c>
      <c r="AL486" s="16">
        <v>20.100000000000001</v>
      </c>
      <c r="AM486" s="16">
        <v>104.3</v>
      </c>
      <c r="AN486" s="16">
        <v>8</v>
      </c>
      <c r="AO486" s="16">
        <v>163</v>
      </c>
    </row>
    <row r="487" spans="1:41">
      <c r="A487" s="6" t="s">
        <v>1013</v>
      </c>
      <c r="B487" s="6" t="s">
        <v>88</v>
      </c>
      <c r="C487" s="41">
        <f t="shared" si="15"/>
        <v>0.6008010680907877</v>
      </c>
      <c r="D487" s="42">
        <f t="shared" si="14"/>
        <v>4.5</v>
      </c>
      <c r="E487" s="31">
        <v>36</v>
      </c>
      <c r="F487" s="24">
        <v>12</v>
      </c>
      <c r="G487" s="24">
        <v>26</v>
      </c>
      <c r="H487" s="8">
        <v>46.2</v>
      </c>
      <c r="I487" s="9">
        <v>15</v>
      </c>
      <c r="J487" s="8">
        <v>40</v>
      </c>
      <c r="K487" s="8">
        <v>7</v>
      </c>
      <c r="L487" s="25">
        <v>9</v>
      </c>
      <c r="M487" s="8">
        <v>75</v>
      </c>
      <c r="N487" s="9">
        <v>5</v>
      </c>
      <c r="O487" s="9">
        <v>15</v>
      </c>
      <c r="P487" s="9">
        <v>20</v>
      </c>
      <c r="Q487" s="24">
        <v>9</v>
      </c>
      <c r="R487" s="24">
        <v>2</v>
      </c>
      <c r="S487" s="8">
        <v>0</v>
      </c>
      <c r="T487" s="8">
        <v>0</v>
      </c>
      <c r="U487" s="9">
        <v>7</v>
      </c>
      <c r="V487" s="8">
        <v>73</v>
      </c>
      <c r="W487" s="8">
        <v>0</v>
      </c>
      <c r="X487" s="8">
        <v>0</v>
      </c>
      <c r="Y487" s="7">
        <v>0.7</v>
      </c>
      <c r="Z487" s="7">
        <v>105.2</v>
      </c>
      <c r="AA487" s="7">
        <v>102.4</v>
      </c>
      <c r="AB487" s="7">
        <v>2.8</v>
      </c>
      <c r="AC487" s="7">
        <v>17.3</v>
      </c>
      <c r="AD487" s="7">
        <v>9</v>
      </c>
      <c r="AE487" s="7">
        <v>23.1</v>
      </c>
      <c r="AF487" s="7">
        <v>6</v>
      </c>
      <c r="AG487" s="7">
        <v>16.5</v>
      </c>
      <c r="AH487" s="7">
        <v>11.5</v>
      </c>
      <c r="AI487" s="7">
        <v>2.6</v>
      </c>
      <c r="AJ487" s="7">
        <v>57.7</v>
      </c>
      <c r="AK487" s="7">
        <v>61</v>
      </c>
      <c r="AL487" s="7">
        <v>15.1</v>
      </c>
      <c r="AM487" s="7">
        <v>108.61</v>
      </c>
      <c r="AN487" s="7">
        <v>12.7</v>
      </c>
      <c r="AO487" s="7">
        <v>172</v>
      </c>
    </row>
    <row r="488" spans="1:41">
      <c r="A488" s="6" t="s">
        <v>1015</v>
      </c>
      <c r="B488" s="6" t="s">
        <v>76</v>
      </c>
      <c r="C488" s="41">
        <f t="shared" si="15"/>
        <v>0.48859934853420189</v>
      </c>
      <c r="D488" s="42">
        <f t="shared" si="14"/>
        <v>1</v>
      </c>
      <c r="E488" s="31">
        <v>36</v>
      </c>
      <c r="F488" s="24">
        <v>13</v>
      </c>
      <c r="G488" s="24">
        <v>32</v>
      </c>
      <c r="H488" s="8">
        <v>40.6</v>
      </c>
      <c r="I488" s="9">
        <v>10</v>
      </c>
      <c r="J488" s="8">
        <v>20</v>
      </c>
      <c r="K488" s="8">
        <v>8</v>
      </c>
      <c r="L488" s="25">
        <v>11</v>
      </c>
      <c r="M488" s="8">
        <v>72.7</v>
      </c>
      <c r="N488" s="9">
        <v>9</v>
      </c>
      <c r="O488" s="9">
        <v>12</v>
      </c>
      <c r="P488" s="9">
        <v>21</v>
      </c>
      <c r="Q488" s="24">
        <v>2</v>
      </c>
      <c r="R488" s="24">
        <v>2</v>
      </c>
      <c r="S488" s="8">
        <v>0</v>
      </c>
      <c r="T488" s="9">
        <v>1</v>
      </c>
      <c r="U488" s="9">
        <v>9</v>
      </c>
      <c r="V488" s="8">
        <v>65</v>
      </c>
      <c r="W488" s="8">
        <v>1</v>
      </c>
      <c r="X488" s="8">
        <v>0</v>
      </c>
      <c r="Y488" s="7">
        <v>1.4</v>
      </c>
      <c r="Z488" s="7">
        <v>96.4</v>
      </c>
      <c r="AA488" s="7">
        <v>92</v>
      </c>
      <c r="AB488" s="7">
        <v>4.4000000000000004</v>
      </c>
      <c r="AC488" s="7">
        <v>5.3</v>
      </c>
      <c r="AD488" s="7">
        <v>1</v>
      </c>
      <c r="AE488" s="7">
        <v>5</v>
      </c>
      <c r="AF488" s="7">
        <v>11.7</v>
      </c>
      <c r="AG488" s="7">
        <v>14.5</v>
      </c>
      <c r="AH488" s="7">
        <v>13.1</v>
      </c>
      <c r="AI488" s="7">
        <v>5</v>
      </c>
      <c r="AJ488" s="7">
        <v>43.8</v>
      </c>
      <c r="AK488" s="7">
        <v>48.9</v>
      </c>
      <c r="AL488" s="7">
        <v>23</v>
      </c>
      <c r="AM488" s="7">
        <v>104.1</v>
      </c>
      <c r="AN488" s="7">
        <v>9.6</v>
      </c>
      <c r="AO488" s="7">
        <v>138</v>
      </c>
    </row>
    <row r="489" spans="1:41">
      <c r="A489" s="6" t="s">
        <v>1017</v>
      </c>
      <c r="B489" s="6" t="s">
        <v>44</v>
      </c>
      <c r="C489" s="41">
        <f t="shared" si="15"/>
        <v>0.60240963855421692</v>
      </c>
      <c r="D489" s="42">
        <f t="shared" si="14"/>
        <v>1</v>
      </c>
      <c r="E489" s="31">
        <v>36</v>
      </c>
      <c r="F489" s="24">
        <v>13</v>
      </c>
      <c r="G489" s="24">
        <v>29</v>
      </c>
      <c r="H489" s="8">
        <v>40</v>
      </c>
      <c r="I489" s="9">
        <v>21</v>
      </c>
      <c r="J489" s="8">
        <v>47.6</v>
      </c>
      <c r="K489" s="8">
        <v>2</v>
      </c>
      <c r="L489" s="25">
        <v>2</v>
      </c>
      <c r="M489" s="8">
        <v>100</v>
      </c>
      <c r="N489" s="9">
        <v>8</v>
      </c>
      <c r="O489" s="9">
        <v>17</v>
      </c>
      <c r="P489" s="9">
        <v>25</v>
      </c>
      <c r="Q489" s="24">
        <v>4</v>
      </c>
      <c r="R489" s="24">
        <v>4</v>
      </c>
      <c r="S489" s="9">
        <v>4</v>
      </c>
      <c r="T489" s="8">
        <v>0</v>
      </c>
      <c r="U489" s="9">
        <v>13</v>
      </c>
      <c r="V489" s="8">
        <v>86</v>
      </c>
      <c r="W489" s="8">
        <v>0</v>
      </c>
      <c r="X489" s="8">
        <v>0</v>
      </c>
      <c r="Y489" s="7">
        <v>-1</v>
      </c>
      <c r="Z489" s="7">
        <v>99.6</v>
      </c>
      <c r="AA489" s="7">
        <v>106.3</v>
      </c>
      <c r="AB489" s="7">
        <v>-6.7</v>
      </c>
      <c r="AC489" s="7">
        <v>5.8</v>
      </c>
      <c r="AD489" s="7">
        <v>1.25</v>
      </c>
      <c r="AE489" s="7">
        <v>12.5</v>
      </c>
      <c r="AF489" s="7">
        <v>6</v>
      </c>
      <c r="AG489" s="7">
        <v>11.9</v>
      </c>
      <c r="AH489" s="7">
        <v>8.8000000000000007</v>
      </c>
      <c r="AI489" s="7">
        <v>10</v>
      </c>
      <c r="AJ489" s="7">
        <v>56.7</v>
      </c>
      <c r="AK489" s="7">
        <v>58.3</v>
      </c>
      <c r="AL489" s="7">
        <v>11.5</v>
      </c>
      <c r="AM489" s="7">
        <v>102.63</v>
      </c>
      <c r="AN489" s="7">
        <v>6.5</v>
      </c>
      <c r="AO489" s="7">
        <v>266</v>
      </c>
    </row>
    <row r="490" spans="1:41">
      <c r="A490" s="6" t="s">
        <v>1019</v>
      </c>
      <c r="B490" s="6" t="s">
        <v>84</v>
      </c>
      <c r="C490" s="41">
        <f t="shared" si="15"/>
        <v>0.60013717421124824</v>
      </c>
      <c r="D490" s="42">
        <f t="shared" si="14"/>
        <v>1</v>
      </c>
      <c r="E490" s="31">
        <v>35</v>
      </c>
      <c r="F490" s="24">
        <v>14</v>
      </c>
      <c r="G490" s="24">
        <v>23</v>
      </c>
      <c r="H490" s="8">
        <v>60.9</v>
      </c>
      <c r="I490" s="8">
        <v>0</v>
      </c>
      <c r="J490" s="8">
        <v>0</v>
      </c>
      <c r="K490" s="8">
        <v>7</v>
      </c>
      <c r="L490" s="25">
        <v>14</v>
      </c>
      <c r="M490" s="8">
        <v>50</v>
      </c>
      <c r="N490" s="9">
        <v>11</v>
      </c>
      <c r="O490" s="9">
        <v>17</v>
      </c>
      <c r="P490" s="9">
        <v>28</v>
      </c>
      <c r="Q490" s="24">
        <v>5</v>
      </c>
      <c r="R490" s="24">
        <v>5</v>
      </c>
      <c r="S490" s="9">
        <v>3</v>
      </c>
      <c r="T490" s="9">
        <v>8</v>
      </c>
      <c r="U490" s="9">
        <v>14</v>
      </c>
      <c r="V490" s="8">
        <v>104</v>
      </c>
      <c r="W490" s="8">
        <v>0</v>
      </c>
      <c r="X490" s="8">
        <v>0</v>
      </c>
      <c r="Y490" s="7">
        <v>2</v>
      </c>
      <c r="Z490" s="7">
        <v>112.5</v>
      </c>
      <c r="AA490" s="7">
        <v>107.1</v>
      </c>
      <c r="AB490" s="7">
        <v>5.4</v>
      </c>
      <c r="AC490" s="7">
        <v>7.9</v>
      </c>
      <c r="AD490" s="7">
        <v>1</v>
      </c>
      <c r="AE490" s="7">
        <v>12.5</v>
      </c>
      <c r="AF490" s="7">
        <v>12.6</v>
      </c>
      <c r="AG490" s="7">
        <v>16.8</v>
      </c>
      <c r="AH490" s="7">
        <v>14.9</v>
      </c>
      <c r="AI490" s="7">
        <v>12.5</v>
      </c>
      <c r="AJ490" s="7">
        <v>60.9</v>
      </c>
      <c r="AK490" s="7">
        <v>60</v>
      </c>
      <c r="AL490" s="7">
        <v>16.399999999999999</v>
      </c>
      <c r="AM490" s="7">
        <v>105.29</v>
      </c>
      <c r="AN490" s="7">
        <v>9.5</v>
      </c>
      <c r="AO490" s="7">
        <v>184</v>
      </c>
    </row>
    <row r="491" spans="1:41">
      <c r="A491" s="6" t="s">
        <v>1021</v>
      </c>
      <c r="B491" s="6" t="s">
        <v>82</v>
      </c>
      <c r="C491" s="41">
        <f t="shared" si="15"/>
        <v>0.50057208237986273</v>
      </c>
      <c r="D491" s="42">
        <f t="shared" si="14"/>
        <v>5</v>
      </c>
      <c r="E491" s="31">
        <v>35</v>
      </c>
      <c r="F491" s="24">
        <v>11</v>
      </c>
      <c r="G491" s="24">
        <v>31</v>
      </c>
      <c r="H491" s="8">
        <v>36.700000000000003</v>
      </c>
      <c r="I491" s="9">
        <v>22</v>
      </c>
      <c r="J491" s="8">
        <v>30.4</v>
      </c>
      <c r="K491" s="8">
        <v>7</v>
      </c>
      <c r="L491" s="25">
        <v>9</v>
      </c>
      <c r="M491" s="8">
        <v>77.8</v>
      </c>
      <c r="N491" s="8">
        <v>0</v>
      </c>
      <c r="O491" s="9">
        <v>11</v>
      </c>
      <c r="P491" s="9">
        <v>11</v>
      </c>
      <c r="Q491" s="24">
        <v>20</v>
      </c>
      <c r="R491" s="24">
        <v>4</v>
      </c>
      <c r="S491" s="9">
        <v>2</v>
      </c>
      <c r="T491" s="8">
        <v>0</v>
      </c>
      <c r="U491" s="9">
        <v>9</v>
      </c>
      <c r="V491" s="8">
        <v>79</v>
      </c>
      <c r="W491" s="8">
        <v>0</v>
      </c>
      <c r="X491" s="8">
        <v>0</v>
      </c>
      <c r="Y491" s="7">
        <v>1.2</v>
      </c>
      <c r="Z491" s="7">
        <v>114.6</v>
      </c>
      <c r="AA491" s="7">
        <v>102.5</v>
      </c>
      <c r="AB491" s="7">
        <v>12.1</v>
      </c>
      <c r="AC491" s="7">
        <v>25.7</v>
      </c>
      <c r="AD491" s="7">
        <v>3.8</v>
      </c>
      <c r="AE491" s="7">
        <v>32.799999999999997</v>
      </c>
      <c r="AF491" s="7">
        <v>0</v>
      </c>
      <c r="AG491" s="7">
        <v>11.4</v>
      </c>
      <c r="AH491" s="7">
        <v>6.3</v>
      </c>
      <c r="AI491" s="7">
        <v>8.6</v>
      </c>
      <c r="AJ491" s="7">
        <v>48.3</v>
      </c>
      <c r="AK491" s="7">
        <v>53</v>
      </c>
      <c r="AL491" s="7">
        <v>16.7</v>
      </c>
      <c r="AM491" s="7">
        <v>106.19</v>
      </c>
      <c r="AN491" s="7">
        <v>8.6</v>
      </c>
      <c r="AO491" s="7">
        <v>206</v>
      </c>
    </row>
    <row r="492" spans="1:41">
      <c r="A492" s="13" t="s">
        <v>1023</v>
      </c>
      <c r="B492" s="6" t="s">
        <v>54</v>
      </c>
      <c r="C492" s="41">
        <f t="shared" si="15"/>
        <v>0.36733837111670864</v>
      </c>
      <c r="D492" s="42">
        <f t="shared" si="14"/>
        <v>5.333333333333333</v>
      </c>
      <c r="E492" s="31">
        <v>35</v>
      </c>
      <c r="F492" s="24">
        <v>14</v>
      </c>
      <c r="G492" s="24">
        <v>45</v>
      </c>
      <c r="H492" s="8">
        <v>31.1</v>
      </c>
      <c r="I492" s="9">
        <v>21</v>
      </c>
      <c r="J492" s="8">
        <v>19</v>
      </c>
      <c r="K492" s="8">
        <v>3</v>
      </c>
      <c r="L492" s="25">
        <v>6</v>
      </c>
      <c r="M492" s="8">
        <v>50</v>
      </c>
      <c r="N492" s="9">
        <v>5</v>
      </c>
      <c r="O492" s="9">
        <v>10</v>
      </c>
      <c r="P492" s="9">
        <v>13</v>
      </c>
      <c r="Q492" s="24">
        <v>16</v>
      </c>
      <c r="R492" s="24">
        <v>3</v>
      </c>
      <c r="S492" s="9">
        <v>3</v>
      </c>
      <c r="T492" s="8">
        <v>0</v>
      </c>
      <c r="U492" s="9">
        <v>5</v>
      </c>
      <c r="V492" s="8">
        <v>80</v>
      </c>
      <c r="W492" s="8">
        <v>0</v>
      </c>
      <c r="X492" s="8">
        <v>0</v>
      </c>
      <c r="Y492" s="7">
        <v>0.1</v>
      </c>
      <c r="Z492" s="7">
        <v>109.2</v>
      </c>
      <c r="AA492" s="7">
        <v>105.7</v>
      </c>
      <c r="AB492" s="7">
        <v>3.5</v>
      </c>
      <c r="AC492" s="7">
        <v>18.8</v>
      </c>
      <c r="AD492" s="7">
        <v>5.33</v>
      </c>
      <c r="AE492" s="7">
        <v>23.9</v>
      </c>
      <c r="AF492" s="7">
        <v>3.1</v>
      </c>
      <c r="AG492" s="7">
        <v>7</v>
      </c>
      <c r="AH492" s="7">
        <v>5</v>
      </c>
      <c r="AI492" s="7">
        <v>4.5</v>
      </c>
      <c r="AJ492" s="7">
        <v>35.6</v>
      </c>
      <c r="AK492" s="7">
        <v>36.700000000000003</v>
      </c>
      <c r="AL492" s="7">
        <v>18.7</v>
      </c>
      <c r="AM492" s="7">
        <v>98.56</v>
      </c>
      <c r="AN492" s="7">
        <v>4.9000000000000004</v>
      </c>
      <c r="AO492" s="7">
        <v>240</v>
      </c>
    </row>
    <row r="493" spans="1:41">
      <c r="A493" s="6" t="s">
        <v>1025</v>
      </c>
      <c r="B493" s="6" t="s">
        <v>52</v>
      </c>
      <c r="C493" s="41">
        <f t="shared" si="15"/>
        <v>0.46397379912663755</v>
      </c>
      <c r="D493" s="42">
        <f t="shared" si="14"/>
        <v>1</v>
      </c>
      <c r="E493" s="31">
        <v>34</v>
      </c>
      <c r="F493" s="24">
        <v>13</v>
      </c>
      <c r="G493" s="24">
        <v>34</v>
      </c>
      <c r="H493" s="8">
        <v>35.299999999999997</v>
      </c>
      <c r="I493" s="9">
        <v>18</v>
      </c>
      <c r="J493" s="8">
        <v>22.2</v>
      </c>
      <c r="K493" s="8">
        <v>5</v>
      </c>
      <c r="L493" s="25">
        <v>6</v>
      </c>
      <c r="M493" s="8">
        <v>71.400000000000006</v>
      </c>
      <c r="N493" s="9">
        <v>2</v>
      </c>
      <c r="O493" s="9">
        <v>11</v>
      </c>
      <c r="P493" s="9">
        <v>13</v>
      </c>
      <c r="Q493" s="24">
        <v>13</v>
      </c>
      <c r="R493" s="24">
        <v>13</v>
      </c>
      <c r="S493" s="9">
        <v>5</v>
      </c>
      <c r="T493" s="9">
        <v>2</v>
      </c>
      <c r="U493" s="9">
        <v>2</v>
      </c>
      <c r="V493" s="8">
        <v>74</v>
      </c>
      <c r="W493" s="8">
        <v>0</v>
      </c>
      <c r="X493" s="8">
        <v>0</v>
      </c>
      <c r="Y493" s="7">
        <v>-1.8</v>
      </c>
      <c r="Z493" s="7">
        <v>91.7</v>
      </c>
      <c r="AA493" s="7">
        <v>105.4</v>
      </c>
      <c r="AB493" s="7">
        <v>-13.7</v>
      </c>
      <c r="AC493" s="7">
        <v>27.7</v>
      </c>
      <c r="AD493" s="7">
        <v>1</v>
      </c>
      <c r="AE493" s="7">
        <v>20.6</v>
      </c>
      <c r="AF493" s="7">
        <v>2</v>
      </c>
      <c r="AG493" s="7">
        <v>11.8</v>
      </c>
      <c r="AH493" s="7">
        <v>6.7</v>
      </c>
      <c r="AI493" s="7">
        <v>20.6</v>
      </c>
      <c r="AJ493" s="7">
        <v>41.2</v>
      </c>
      <c r="AK493" s="7">
        <v>44.5</v>
      </c>
      <c r="AL493" s="7">
        <v>22.8</v>
      </c>
      <c r="AM493" s="7">
        <v>94.28</v>
      </c>
      <c r="AN493" s="7">
        <v>7.9</v>
      </c>
      <c r="AO493" s="7">
        <v>181</v>
      </c>
    </row>
    <row r="494" spans="1:41">
      <c r="A494" s="6" t="s">
        <v>1027</v>
      </c>
      <c r="B494" s="6" t="s">
        <v>164</v>
      </c>
      <c r="C494" s="41">
        <f t="shared" si="15"/>
        <v>0.64393939393939392</v>
      </c>
      <c r="D494" s="42">
        <f t="shared" si="14"/>
        <v>1.5</v>
      </c>
      <c r="E494" s="31">
        <v>34</v>
      </c>
      <c r="F494" s="24">
        <v>14</v>
      </c>
      <c r="G494" s="24">
        <v>22</v>
      </c>
      <c r="H494" s="8">
        <v>63.6</v>
      </c>
      <c r="I494" s="8">
        <v>0</v>
      </c>
      <c r="J494" s="8">
        <v>0</v>
      </c>
      <c r="K494" s="8">
        <v>6</v>
      </c>
      <c r="L494" s="25">
        <v>10</v>
      </c>
      <c r="M494" s="8">
        <v>60</v>
      </c>
      <c r="N494" s="9">
        <v>12</v>
      </c>
      <c r="O494" s="9">
        <v>28</v>
      </c>
      <c r="P494" s="9">
        <v>39</v>
      </c>
      <c r="Q494" s="24">
        <v>6</v>
      </c>
      <c r="R494" s="24">
        <v>4</v>
      </c>
      <c r="S494" s="9">
        <v>1</v>
      </c>
      <c r="T494" s="9">
        <v>3</v>
      </c>
      <c r="U494" s="9">
        <v>15</v>
      </c>
      <c r="V494" s="8">
        <v>97</v>
      </c>
      <c r="W494" s="8">
        <v>1</v>
      </c>
      <c r="X494" s="8">
        <v>0</v>
      </c>
      <c r="Y494" s="7">
        <v>-6.8</v>
      </c>
      <c r="Z494" s="7">
        <v>101.4</v>
      </c>
      <c r="AA494" s="7">
        <v>130.5</v>
      </c>
      <c r="AB494" s="7">
        <v>-29.1</v>
      </c>
      <c r="AC494" s="7">
        <v>5.6</v>
      </c>
      <c r="AD494" s="7">
        <v>1.25</v>
      </c>
      <c r="AE494" s="7">
        <v>13.9</v>
      </c>
      <c r="AF494" s="7">
        <v>7.9</v>
      </c>
      <c r="AG494" s="7">
        <v>19.399999999999999</v>
      </c>
      <c r="AH494" s="7">
        <v>13.4</v>
      </c>
      <c r="AI494" s="7">
        <v>11.1</v>
      </c>
      <c r="AJ494" s="7">
        <v>63.6</v>
      </c>
      <c r="AK494" s="7">
        <v>64.400000000000006</v>
      </c>
      <c r="AL494" s="7">
        <v>9.6999999999999993</v>
      </c>
      <c r="AM494" s="7">
        <v>104.42</v>
      </c>
      <c r="AN494" s="7">
        <v>7.2</v>
      </c>
      <c r="AO494" s="7">
        <v>276</v>
      </c>
    </row>
    <row r="495" spans="1:41">
      <c r="A495" s="6" t="s">
        <v>1029</v>
      </c>
      <c r="B495" s="6" t="s">
        <v>52</v>
      </c>
      <c r="C495" s="41">
        <f t="shared" si="15"/>
        <v>0.30375552282768775</v>
      </c>
      <c r="D495" s="42">
        <f t="shared" si="14"/>
        <v>0.53846153846153844</v>
      </c>
      <c r="E495" s="31">
        <v>33</v>
      </c>
      <c r="F495" s="24">
        <v>13</v>
      </c>
      <c r="G495" s="24">
        <v>53</v>
      </c>
      <c r="H495" s="8">
        <v>24.5</v>
      </c>
      <c r="I495" s="9">
        <v>33</v>
      </c>
      <c r="J495" s="8">
        <v>15.6</v>
      </c>
      <c r="K495" s="8">
        <v>3</v>
      </c>
      <c r="L495" s="25">
        <v>3</v>
      </c>
      <c r="M495" s="8">
        <v>75</v>
      </c>
      <c r="N495" s="9">
        <v>10</v>
      </c>
      <c r="O495" s="9">
        <v>33</v>
      </c>
      <c r="P495" s="9">
        <v>43</v>
      </c>
      <c r="Q495" s="24">
        <v>7</v>
      </c>
      <c r="R495" s="24">
        <v>13</v>
      </c>
      <c r="S495" s="9">
        <v>10</v>
      </c>
      <c r="T495" s="9">
        <v>7</v>
      </c>
      <c r="U495" s="9">
        <v>17</v>
      </c>
      <c r="V495" s="8">
        <v>129</v>
      </c>
      <c r="W495" s="8">
        <v>0</v>
      </c>
      <c r="X495" s="8">
        <v>0</v>
      </c>
      <c r="Y495" s="7">
        <v>-0.4</v>
      </c>
      <c r="Z495" s="7">
        <v>106.6</v>
      </c>
      <c r="AA495" s="7">
        <v>108.9</v>
      </c>
      <c r="AB495" s="7">
        <v>-2.2999999999999998</v>
      </c>
      <c r="AC495" s="7">
        <v>4.3</v>
      </c>
      <c r="AD495" s="7">
        <v>0.5</v>
      </c>
      <c r="AE495" s="7">
        <v>9.3000000000000007</v>
      </c>
      <c r="AF495" s="7">
        <v>4.0999999999999996</v>
      </c>
      <c r="AG495" s="7">
        <v>14.6</v>
      </c>
      <c r="AH495" s="7">
        <v>9.1</v>
      </c>
      <c r="AI495" s="7">
        <v>18.7</v>
      </c>
      <c r="AJ495" s="7">
        <v>29.2</v>
      </c>
      <c r="AK495" s="7">
        <v>31</v>
      </c>
      <c r="AL495" s="7">
        <v>12.5</v>
      </c>
      <c r="AM495" s="7">
        <v>97.6</v>
      </c>
      <c r="AN495" s="7">
        <v>2.2000000000000002</v>
      </c>
      <c r="AO495" s="7">
        <v>469</v>
      </c>
    </row>
    <row r="496" spans="1:41">
      <c r="A496" s="6" t="s">
        <v>1031</v>
      </c>
      <c r="B496" s="6" t="s">
        <v>122</v>
      </c>
      <c r="C496" s="41">
        <f t="shared" si="15"/>
        <v>0.4719679633867277</v>
      </c>
      <c r="D496" s="42">
        <f t="shared" si="14"/>
        <v>1.3636363636363635</v>
      </c>
      <c r="E496" s="31">
        <v>33</v>
      </c>
      <c r="F496" s="24">
        <v>13</v>
      </c>
      <c r="G496" s="24">
        <v>31</v>
      </c>
      <c r="H496" s="8">
        <v>43.3</v>
      </c>
      <c r="I496" s="9">
        <v>13</v>
      </c>
      <c r="J496" s="8">
        <v>23.1</v>
      </c>
      <c r="K496" s="8">
        <v>2</v>
      </c>
      <c r="L496" s="25">
        <v>9</v>
      </c>
      <c r="M496" s="8">
        <v>33.299999999999997</v>
      </c>
      <c r="N496" s="9">
        <v>9</v>
      </c>
      <c r="O496" s="9">
        <v>13</v>
      </c>
      <c r="P496" s="9">
        <v>22</v>
      </c>
      <c r="Q496" s="24">
        <v>15</v>
      </c>
      <c r="R496" s="24">
        <v>11</v>
      </c>
      <c r="S496" s="9">
        <v>2</v>
      </c>
      <c r="T496" s="8">
        <v>0</v>
      </c>
      <c r="U496" s="9">
        <v>11</v>
      </c>
      <c r="V496" s="8">
        <v>77</v>
      </c>
      <c r="W496" s="8">
        <v>0</v>
      </c>
      <c r="X496" s="8">
        <v>0</v>
      </c>
      <c r="Y496" s="7">
        <v>0.4</v>
      </c>
      <c r="Z496" s="7">
        <v>91.2</v>
      </c>
      <c r="AA496" s="7">
        <v>89</v>
      </c>
      <c r="AB496" s="7">
        <v>2.1</v>
      </c>
      <c r="AC496" s="7">
        <v>19.7</v>
      </c>
      <c r="AD496" s="7">
        <v>1.36</v>
      </c>
      <c r="AE496" s="7">
        <v>25.4</v>
      </c>
      <c r="AF496" s="7">
        <v>6.8</v>
      </c>
      <c r="AG496" s="7">
        <v>10</v>
      </c>
      <c r="AH496" s="7">
        <v>8.5</v>
      </c>
      <c r="AI496" s="7">
        <v>18.600000000000001</v>
      </c>
      <c r="AJ496" s="7">
        <v>48.3</v>
      </c>
      <c r="AK496" s="7">
        <v>47.1</v>
      </c>
      <c r="AL496" s="7">
        <v>15.6</v>
      </c>
      <c r="AM496" s="7">
        <v>103.79</v>
      </c>
      <c r="AN496" s="7">
        <v>5.7</v>
      </c>
      <c r="AO496" s="7">
        <v>249</v>
      </c>
    </row>
    <row r="497" spans="1:41">
      <c r="A497" s="6" t="s">
        <v>1033</v>
      </c>
      <c r="B497" s="6" t="s">
        <v>48</v>
      </c>
      <c r="C497" s="41">
        <f t="shared" si="15"/>
        <v>0.59790732436472338</v>
      </c>
      <c r="D497" s="42">
        <f t="shared" si="14"/>
        <v>2</v>
      </c>
      <c r="E497" s="31">
        <v>32</v>
      </c>
      <c r="F497" s="24">
        <v>13</v>
      </c>
      <c r="G497" s="24">
        <v>25</v>
      </c>
      <c r="H497" s="8">
        <v>58.3</v>
      </c>
      <c r="I497" s="9">
        <v>8</v>
      </c>
      <c r="J497" s="8">
        <v>25</v>
      </c>
      <c r="K497" s="8">
        <v>4</v>
      </c>
      <c r="L497" s="25">
        <v>4</v>
      </c>
      <c r="M497" s="8">
        <v>75</v>
      </c>
      <c r="N497" s="9">
        <v>6</v>
      </c>
      <c r="O497" s="9">
        <v>15</v>
      </c>
      <c r="P497" s="9">
        <v>23</v>
      </c>
      <c r="Q497" s="24">
        <v>4</v>
      </c>
      <c r="R497" s="24">
        <v>2</v>
      </c>
      <c r="S497" s="8">
        <v>0</v>
      </c>
      <c r="T497" s="9">
        <v>4</v>
      </c>
      <c r="U497" s="9">
        <v>11</v>
      </c>
      <c r="V497" s="8">
        <v>76</v>
      </c>
      <c r="W497" s="8">
        <v>0</v>
      </c>
      <c r="X497" s="8">
        <v>0</v>
      </c>
      <c r="Y497" s="7">
        <v>-0.1</v>
      </c>
      <c r="Z497" s="7">
        <v>91.9</v>
      </c>
      <c r="AA497" s="7">
        <v>91.3</v>
      </c>
      <c r="AB497" s="7">
        <v>0.5</v>
      </c>
      <c r="AC497" s="7">
        <v>11.8</v>
      </c>
      <c r="AD497" s="7">
        <v>2</v>
      </c>
      <c r="AE497" s="7">
        <v>12.5</v>
      </c>
      <c r="AF497" s="7">
        <v>7.9</v>
      </c>
      <c r="AG497" s="7">
        <v>21.9</v>
      </c>
      <c r="AH497" s="7">
        <v>14.8</v>
      </c>
      <c r="AI497" s="7">
        <v>6.3</v>
      </c>
      <c r="AJ497" s="7">
        <v>62.5</v>
      </c>
      <c r="AK497" s="7">
        <v>64.099999999999994</v>
      </c>
      <c r="AL497" s="7">
        <v>17.600000000000001</v>
      </c>
      <c r="AM497" s="7">
        <v>99</v>
      </c>
      <c r="AN497" s="7">
        <v>16.8</v>
      </c>
      <c r="AO497" s="7">
        <v>135</v>
      </c>
    </row>
    <row r="498" spans="1:41">
      <c r="A498" s="6" t="s">
        <v>1035</v>
      </c>
      <c r="B498" s="6" t="s">
        <v>56</v>
      </c>
      <c r="C498" s="41">
        <f t="shared" si="15"/>
        <v>0.4024144869215292</v>
      </c>
      <c r="D498" s="42">
        <f t="shared" si="14"/>
        <v>1.5</v>
      </c>
      <c r="E498" s="31">
        <v>32</v>
      </c>
      <c r="F498" s="24">
        <v>11</v>
      </c>
      <c r="G498" s="24">
        <v>38</v>
      </c>
      <c r="H498" s="8">
        <v>28.9</v>
      </c>
      <c r="I498" s="9">
        <v>22</v>
      </c>
      <c r="J498" s="8">
        <v>27.3</v>
      </c>
      <c r="K498" s="8">
        <v>4</v>
      </c>
      <c r="L498" s="25">
        <v>4</v>
      </c>
      <c r="M498" s="8">
        <v>100</v>
      </c>
      <c r="N498" s="9">
        <v>6</v>
      </c>
      <c r="O498" s="9">
        <v>6</v>
      </c>
      <c r="P498" s="9">
        <v>12</v>
      </c>
      <c r="Q498" s="24">
        <v>12</v>
      </c>
      <c r="R498" s="24">
        <v>8</v>
      </c>
      <c r="S498" s="9">
        <v>8</v>
      </c>
      <c r="T498" s="9">
        <v>1</v>
      </c>
      <c r="U498" s="9">
        <v>17</v>
      </c>
      <c r="V498" s="8">
        <v>83</v>
      </c>
      <c r="W498" s="8">
        <v>0</v>
      </c>
      <c r="X498" s="8">
        <v>0</v>
      </c>
      <c r="Y498" s="7">
        <v>-3.9</v>
      </c>
      <c r="Z498" s="7">
        <v>104.1</v>
      </c>
      <c r="AA498" s="7">
        <v>114.7</v>
      </c>
      <c r="AB498" s="7">
        <v>-10.6</v>
      </c>
      <c r="AC498" s="7">
        <v>11.7</v>
      </c>
      <c r="AD498" s="7">
        <v>1.5</v>
      </c>
      <c r="AE498" s="7">
        <v>20</v>
      </c>
      <c r="AF498" s="7">
        <v>3.8</v>
      </c>
      <c r="AG498" s="7">
        <v>4.8</v>
      </c>
      <c r="AH498" s="7">
        <v>4.2</v>
      </c>
      <c r="AI498" s="7">
        <v>13.3</v>
      </c>
      <c r="AJ498" s="7">
        <v>36.799999999999997</v>
      </c>
      <c r="AK498" s="7">
        <v>40.200000000000003</v>
      </c>
      <c r="AL498" s="7">
        <v>13.4</v>
      </c>
      <c r="AM498" s="7">
        <v>100.82</v>
      </c>
      <c r="AN498" s="7">
        <v>1.5</v>
      </c>
      <c r="AO498" s="7">
        <v>315</v>
      </c>
    </row>
    <row r="499" spans="1:41">
      <c r="A499" s="6" t="s">
        <v>1037</v>
      </c>
      <c r="B499" s="6" t="s">
        <v>170</v>
      </c>
      <c r="C499" s="41">
        <f t="shared" si="15"/>
        <v>0.42507970244420828</v>
      </c>
      <c r="D499" s="42">
        <f t="shared" si="14"/>
        <v>2.6666666666666665</v>
      </c>
      <c r="E499" s="31">
        <v>32</v>
      </c>
      <c r="F499" s="24">
        <v>11</v>
      </c>
      <c r="G499" s="24">
        <v>35</v>
      </c>
      <c r="H499" s="8">
        <v>31.4</v>
      </c>
      <c r="I499" s="9">
        <v>25</v>
      </c>
      <c r="J499" s="8">
        <v>28</v>
      </c>
      <c r="K499" s="8">
        <v>3</v>
      </c>
      <c r="L499" s="25">
        <v>6</v>
      </c>
      <c r="M499" s="8">
        <v>50</v>
      </c>
      <c r="N499" s="9">
        <v>9</v>
      </c>
      <c r="O499" s="9">
        <v>12</v>
      </c>
      <c r="P499" s="9">
        <v>21</v>
      </c>
      <c r="Q499" s="24">
        <v>8</v>
      </c>
      <c r="R499" s="24">
        <v>3</v>
      </c>
      <c r="S499" s="9">
        <v>10</v>
      </c>
      <c r="T499" s="9">
        <v>1</v>
      </c>
      <c r="U499" s="9">
        <v>18</v>
      </c>
      <c r="V499" s="8">
        <v>99</v>
      </c>
      <c r="W499" s="8">
        <v>0</v>
      </c>
      <c r="X499" s="8">
        <v>0</v>
      </c>
      <c r="Y499" s="7">
        <v>3.1</v>
      </c>
      <c r="Z499" s="7">
        <v>113.2</v>
      </c>
      <c r="AA499" s="7">
        <v>103.5</v>
      </c>
      <c r="AB499" s="7">
        <v>9.6999999999999993</v>
      </c>
      <c r="AC499" s="7">
        <v>7.3</v>
      </c>
      <c r="AD499" s="7">
        <v>2.67</v>
      </c>
      <c r="AE499" s="7">
        <v>16.3</v>
      </c>
      <c r="AF499" s="7">
        <v>5.8</v>
      </c>
      <c r="AG499" s="7">
        <v>9.1999999999999993</v>
      </c>
      <c r="AH499" s="7">
        <v>7.4</v>
      </c>
      <c r="AI499" s="7">
        <v>6.1</v>
      </c>
      <c r="AJ499" s="7">
        <v>41.4</v>
      </c>
      <c r="AK499" s="7">
        <v>42.5</v>
      </c>
      <c r="AL499" s="7">
        <v>12</v>
      </c>
      <c r="AM499" s="7">
        <v>99.3</v>
      </c>
      <c r="AN499" s="7">
        <v>3.7</v>
      </c>
      <c r="AO499" s="7">
        <v>287</v>
      </c>
    </row>
    <row r="500" spans="1:41">
      <c r="A500" s="6" t="s">
        <v>1039</v>
      </c>
      <c r="B500" s="6" t="s">
        <v>48</v>
      </c>
      <c r="C500" s="41">
        <f t="shared" si="15"/>
        <v>0.35879629629629628</v>
      </c>
      <c r="D500" s="42">
        <f t="shared" si="14"/>
        <v>2.4</v>
      </c>
      <c r="E500" s="31">
        <v>31</v>
      </c>
      <c r="F500" s="24">
        <v>12</v>
      </c>
      <c r="G500" s="24">
        <v>41</v>
      </c>
      <c r="H500" s="8">
        <v>31.7</v>
      </c>
      <c r="I500" s="9">
        <v>17</v>
      </c>
      <c r="J500" s="8">
        <v>17.600000000000001</v>
      </c>
      <c r="K500" s="8">
        <v>2</v>
      </c>
      <c r="L500" s="25">
        <v>5</v>
      </c>
      <c r="M500" s="8">
        <v>75</v>
      </c>
      <c r="N500" s="8">
        <v>0</v>
      </c>
      <c r="O500" s="9">
        <v>12</v>
      </c>
      <c r="P500" s="9">
        <v>12</v>
      </c>
      <c r="Q500" s="24">
        <v>12</v>
      </c>
      <c r="R500" s="24">
        <v>5</v>
      </c>
      <c r="S500" s="9">
        <v>2</v>
      </c>
      <c r="T500" s="8">
        <v>0</v>
      </c>
      <c r="U500" s="9">
        <v>10</v>
      </c>
      <c r="V500" s="8">
        <v>67</v>
      </c>
      <c r="W500" s="8">
        <v>0</v>
      </c>
      <c r="X500" s="8">
        <v>0</v>
      </c>
      <c r="Y500" s="7">
        <v>-1</v>
      </c>
      <c r="Z500" s="7">
        <v>94.2</v>
      </c>
      <c r="AA500" s="7">
        <v>105.1</v>
      </c>
      <c r="AB500" s="7">
        <v>-10.9</v>
      </c>
      <c r="AC500" s="7">
        <v>13.6</v>
      </c>
      <c r="AD500" s="7">
        <v>2.2000000000000002</v>
      </c>
      <c r="AE500" s="7">
        <v>18.600000000000001</v>
      </c>
      <c r="AF500" s="7">
        <v>0.8</v>
      </c>
      <c r="AG500" s="7">
        <v>8.6999999999999993</v>
      </c>
      <c r="AH500" s="7">
        <v>4.7</v>
      </c>
      <c r="AI500" s="7">
        <v>8.5</v>
      </c>
      <c r="AJ500" s="7">
        <v>35.4</v>
      </c>
      <c r="AK500" s="7">
        <v>37.4</v>
      </c>
      <c r="AL500" s="7">
        <v>16.5</v>
      </c>
      <c r="AM500" s="7">
        <v>105.44</v>
      </c>
      <c r="AN500" s="7">
        <v>2.9</v>
      </c>
      <c r="AO500" s="7">
        <v>259</v>
      </c>
    </row>
    <row r="501" spans="1:41">
      <c r="A501" s="6" t="s">
        <v>1041</v>
      </c>
      <c r="B501" s="6" t="s">
        <v>64</v>
      </c>
      <c r="C501" s="41">
        <f t="shared" si="15"/>
        <v>0.46686746987951805</v>
      </c>
      <c r="D501" s="42">
        <f t="shared" si="14"/>
        <v>1.25</v>
      </c>
      <c r="E501" s="31">
        <v>31</v>
      </c>
      <c r="F501" s="24">
        <v>11</v>
      </c>
      <c r="G501" s="24">
        <v>31</v>
      </c>
      <c r="H501" s="8">
        <v>32.299999999999997</v>
      </c>
      <c r="I501" s="9">
        <v>20</v>
      </c>
      <c r="J501" s="8">
        <v>31.6</v>
      </c>
      <c r="K501" s="8">
        <v>4</v>
      </c>
      <c r="L501" s="25">
        <v>5</v>
      </c>
      <c r="M501" s="8">
        <v>66.7</v>
      </c>
      <c r="N501" s="9">
        <v>4</v>
      </c>
      <c r="O501" s="9">
        <v>14</v>
      </c>
      <c r="P501" s="9">
        <v>18</v>
      </c>
      <c r="Q501" s="24">
        <v>5</v>
      </c>
      <c r="R501" s="24">
        <v>4</v>
      </c>
      <c r="S501" s="9">
        <v>4</v>
      </c>
      <c r="T501" s="9">
        <v>2</v>
      </c>
      <c r="U501" s="9">
        <v>7</v>
      </c>
      <c r="V501" s="8">
        <v>70</v>
      </c>
      <c r="W501" s="8">
        <v>0</v>
      </c>
      <c r="X501" s="8">
        <v>0</v>
      </c>
      <c r="Y501" s="7">
        <v>-0.9</v>
      </c>
      <c r="Z501" s="7">
        <v>103.8</v>
      </c>
      <c r="AA501" s="7">
        <v>113</v>
      </c>
      <c r="AB501" s="7">
        <v>-9.1999999999999993</v>
      </c>
      <c r="AC501" s="7">
        <v>6.3</v>
      </c>
      <c r="AD501" s="7">
        <v>1.25</v>
      </c>
      <c r="AE501" s="7">
        <v>11.9</v>
      </c>
      <c r="AF501" s="7">
        <v>2.8</v>
      </c>
      <c r="AG501" s="7">
        <v>12.8</v>
      </c>
      <c r="AH501" s="7">
        <v>8</v>
      </c>
      <c r="AI501" s="7">
        <v>9.5</v>
      </c>
      <c r="AJ501" s="7">
        <v>41.9</v>
      </c>
      <c r="AK501" s="7">
        <v>44.6</v>
      </c>
      <c r="AL501" s="7">
        <v>14.2</v>
      </c>
      <c r="AM501" s="7">
        <v>100.38</v>
      </c>
      <c r="AN501" s="7">
        <v>4.7</v>
      </c>
      <c r="AO501" s="7">
        <v>235</v>
      </c>
    </row>
    <row r="502" spans="1:41">
      <c r="A502" s="6" t="s">
        <v>1043</v>
      </c>
      <c r="B502" s="6" t="s">
        <v>84</v>
      </c>
      <c r="C502" s="41">
        <f t="shared" si="15"/>
        <v>0.44273907910271543</v>
      </c>
      <c r="D502" s="42">
        <f t="shared" si="14"/>
        <v>2.3333333333333335</v>
      </c>
      <c r="E502" s="31">
        <v>30</v>
      </c>
      <c r="F502" s="24">
        <v>11</v>
      </c>
      <c r="G502" s="24">
        <v>33</v>
      </c>
      <c r="H502" s="8">
        <v>33.299999999999997</v>
      </c>
      <c r="I502" s="9">
        <v>21</v>
      </c>
      <c r="J502" s="8">
        <v>28.6</v>
      </c>
      <c r="K502" s="8">
        <v>2</v>
      </c>
      <c r="L502" s="25">
        <v>2</v>
      </c>
      <c r="M502" s="8">
        <v>100</v>
      </c>
      <c r="N502" s="9">
        <v>2</v>
      </c>
      <c r="O502" s="9">
        <v>10</v>
      </c>
      <c r="P502" s="9">
        <v>12</v>
      </c>
      <c r="Q502" s="24">
        <v>14</v>
      </c>
      <c r="R502" s="24">
        <v>6</v>
      </c>
      <c r="S502" s="9">
        <v>7</v>
      </c>
      <c r="T502" s="9">
        <v>2</v>
      </c>
      <c r="U502" s="9">
        <v>7</v>
      </c>
      <c r="V502" s="8">
        <v>87</v>
      </c>
      <c r="W502" s="8">
        <v>0</v>
      </c>
      <c r="X502" s="8">
        <v>0</v>
      </c>
      <c r="Y502" s="7">
        <v>4</v>
      </c>
      <c r="Z502" s="7">
        <v>113.5</v>
      </c>
      <c r="AA502" s="7">
        <v>86.3</v>
      </c>
      <c r="AB502" s="7">
        <v>27.3</v>
      </c>
      <c r="AC502" s="7">
        <v>25.5</v>
      </c>
      <c r="AD502" s="7">
        <v>2.8</v>
      </c>
      <c r="AE502" s="7">
        <v>26.4</v>
      </c>
      <c r="AF502" s="7">
        <v>2.5</v>
      </c>
      <c r="AG502" s="7">
        <v>11.6</v>
      </c>
      <c r="AH502" s="7">
        <v>7.3</v>
      </c>
      <c r="AI502" s="7">
        <v>9.4</v>
      </c>
      <c r="AJ502" s="7">
        <v>42.4</v>
      </c>
      <c r="AK502" s="7">
        <v>44.3</v>
      </c>
      <c r="AL502" s="7">
        <v>21.2</v>
      </c>
      <c r="AM502" s="7">
        <v>105.02</v>
      </c>
      <c r="AN502" s="7">
        <v>11</v>
      </c>
      <c r="AO502" s="7">
        <v>155</v>
      </c>
    </row>
    <row r="503" spans="1:41">
      <c r="A503" s="6" t="s">
        <v>1045</v>
      </c>
      <c r="B503" s="6" t="s">
        <v>50</v>
      </c>
      <c r="C503" s="41">
        <f t="shared" si="15"/>
        <v>0.42053364269141524</v>
      </c>
      <c r="D503" s="42">
        <f t="shared" si="14"/>
        <v>0.66666666666666663</v>
      </c>
      <c r="E503" s="31">
        <v>29</v>
      </c>
      <c r="F503" s="24">
        <v>8</v>
      </c>
      <c r="G503" s="24">
        <v>27</v>
      </c>
      <c r="H503" s="8">
        <v>33.299999999999997</v>
      </c>
      <c r="I503" s="9">
        <v>8</v>
      </c>
      <c r="J503" s="8">
        <v>0</v>
      </c>
      <c r="K503" s="8">
        <v>13</v>
      </c>
      <c r="L503" s="25">
        <v>17</v>
      </c>
      <c r="M503" s="8">
        <v>75</v>
      </c>
      <c r="N503" s="9">
        <v>11</v>
      </c>
      <c r="O503" s="9">
        <v>25</v>
      </c>
      <c r="P503" s="9">
        <v>36</v>
      </c>
      <c r="Q503" s="24">
        <v>4</v>
      </c>
      <c r="R503" s="24">
        <v>6</v>
      </c>
      <c r="S503" s="9">
        <v>4</v>
      </c>
      <c r="T503" s="8">
        <v>0</v>
      </c>
      <c r="U503" s="9">
        <v>8</v>
      </c>
      <c r="V503" s="8">
        <v>88</v>
      </c>
      <c r="W503" s="8">
        <v>0</v>
      </c>
      <c r="X503" s="8">
        <v>0</v>
      </c>
      <c r="Y503" s="7">
        <v>-1.4</v>
      </c>
      <c r="Z503" s="7">
        <v>89.6</v>
      </c>
      <c r="AA503" s="7">
        <v>102.2</v>
      </c>
      <c r="AB503" s="7">
        <v>-12.6</v>
      </c>
      <c r="AC503" s="7">
        <v>7.8</v>
      </c>
      <c r="AD503" s="7">
        <v>0.83</v>
      </c>
      <c r="AE503" s="7">
        <v>11.1</v>
      </c>
      <c r="AF503" s="7">
        <v>9.1</v>
      </c>
      <c r="AG503" s="7">
        <v>19.8</v>
      </c>
      <c r="AH503" s="7">
        <v>14.8</v>
      </c>
      <c r="AI503" s="7">
        <v>13.3</v>
      </c>
      <c r="AJ503" s="7">
        <v>33.299999999999997</v>
      </c>
      <c r="AK503" s="7">
        <v>44.1</v>
      </c>
      <c r="AL503" s="7">
        <v>15</v>
      </c>
      <c r="AM503" s="7">
        <v>104.34</v>
      </c>
      <c r="AN503" s="7">
        <v>9.9</v>
      </c>
      <c r="AO503" s="7">
        <v>230</v>
      </c>
    </row>
    <row r="504" spans="1:41">
      <c r="A504" s="6" t="s">
        <v>1047</v>
      </c>
      <c r="B504" s="6" t="s">
        <v>64</v>
      </c>
      <c r="C504" s="41">
        <f t="shared" si="15"/>
        <v>0.46955958549222798</v>
      </c>
      <c r="D504" s="42">
        <f t="shared" si="14"/>
        <v>1</v>
      </c>
      <c r="E504" s="31">
        <v>29</v>
      </c>
      <c r="F504" s="24">
        <v>10</v>
      </c>
      <c r="G504" s="24">
        <v>30</v>
      </c>
      <c r="H504" s="8">
        <v>32.299999999999997</v>
      </c>
      <c r="I504" s="9">
        <v>19</v>
      </c>
      <c r="J504" s="8">
        <v>31.6</v>
      </c>
      <c r="K504" s="8">
        <v>2</v>
      </c>
      <c r="L504" s="25">
        <v>2</v>
      </c>
      <c r="M504" s="8">
        <v>100</v>
      </c>
      <c r="N504" s="8">
        <v>0</v>
      </c>
      <c r="O504" s="9">
        <v>8</v>
      </c>
      <c r="P504" s="9">
        <v>8</v>
      </c>
      <c r="Q504" s="24">
        <v>4</v>
      </c>
      <c r="R504" s="24">
        <v>4</v>
      </c>
      <c r="S504" s="9">
        <v>2</v>
      </c>
      <c r="T504" s="8">
        <v>0</v>
      </c>
      <c r="U504" s="9">
        <v>2</v>
      </c>
      <c r="V504" s="8">
        <v>46</v>
      </c>
      <c r="W504" s="8">
        <v>0</v>
      </c>
      <c r="X504" s="8">
        <v>0</v>
      </c>
      <c r="Y504" s="7">
        <v>-2.1</v>
      </c>
      <c r="Z504" s="7">
        <v>80.5</v>
      </c>
      <c r="AA504" s="7">
        <v>108.8</v>
      </c>
      <c r="AB504" s="7">
        <v>-28.3</v>
      </c>
      <c r="AC504" s="7">
        <v>8.3000000000000007</v>
      </c>
      <c r="AD504" s="7">
        <v>1</v>
      </c>
      <c r="AE504" s="7">
        <v>7.9</v>
      </c>
      <c r="AF504" s="7">
        <v>0</v>
      </c>
      <c r="AG504" s="7">
        <v>11.3</v>
      </c>
      <c r="AH504" s="7">
        <v>5.6</v>
      </c>
      <c r="AI504" s="7">
        <v>7.9</v>
      </c>
      <c r="AJ504" s="7">
        <v>41.9</v>
      </c>
      <c r="AK504" s="7">
        <v>43.9</v>
      </c>
      <c r="AL504" s="7">
        <v>20.8</v>
      </c>
      <c r="AM504" s="7">
        <v>104.75</v>
      </c>
      <c r="AN504" s="7">
        <v>6.2</v>
      </c>
      <c r="AO504" s="7">
        <v>149</v>
      </c>
    </row>
    <row r="505" spans="1:41">
      <c r="A505" s="6" t="s">
        <v>1049</v>
      </c>
      <c r="B505" s="6" t="s">
        <v>140</v>
      </c>
      <c r="C505" s="41">
        <f t="shared" si="15"/>
        <v>0.48678720445062584</v>
      </c>
      <c r="D505" s="42">
        <f t="shared" si="14"/>
        <v>2.1666666666666665</v>
      </c>
      <c r="E505" s="31">
        <v>28</v>
      </c>
      <c r="F505" s="24">
        <v>11</v>
      </c>
      <c r="G505" s="24">
        <v>27</v>
      </c>
      <c r="H505" s="8">
        <v>40.700000000000003</v>
      </c>
      <c r="I505" s="9">
        <v>8</v>
      </c>
      <c r="J505" s="8">
        <v>37.5</v>
      </c>
      <c r="K505" s="8">
        <v>3</v>
      </c>
      <c r="L505" s="25">
        <v>4</v>
      </c>
      <c r="M505" s="8">
        <v>75</v>
      </c>
      <c r="N505" s="9">
        <v>1</v>
      </c>
      <c r="O505" s="9">
        <v>5</v>
      </c>
      <c r="P505" s="9">
        <v>6</v>
      </c>
      <c r="Q505" s="24">
        <v>13</v>
      </c>
      <c r="R505" s="24">
        <v>6</v>
      </c>
      <c r="S505" s="9">
        <v>3</v>
      </c>
      <c r="T505" s="9">
        <v>2</v>
      </c>
      <c r="U505" s="9">
        <v>10</v>
      </c>
      <c r="V505" s="8">
        <v>64</v>
      </c>
      <c r="W505" s="8">
        <v>0</v>
      </c>
      <c r="X505" s="8">
        <v>0</v>
      </c>
      <c r="Y505" s="7">
        <v>-9.8000000000000007</v>
      </c>
      <c r="Z505" s="7">
        <v>95.6</v>
      </c>
      <c r="AA505" s="7">
        <v>119.3</v>
      </c>
      <c r="AB505" s="7">
        <v>-23.6</v>
      </c>
      <c r="AC505" s="7">
        <v>25.5</v>
      </c>
      <c r="AD505" s="7">
        <v>2.17</v>
      </c>
      <c r="AE505" s="7">
        <v>27.1</v>
      </c>
      <c r="AF505" s="7">
        <v>1.3</v>
      </c>
      <c r="AG505" s="7">
        <v>5.7</v>
      </c>
      <c r="AH505" s="7">
        <v>3.6</v>
      </c>
      <c r="AI505" s="7">
        <v>12.5</v>
      </c>
      <c r="AJ505" s="7">
        <v>46.3</v>
      </c>
      <c r="AK505" s="7">
        <v>48.7</v>
      </c>
      <c r="AL505" s="7">
        <v>19.3</v>
      </c>
      <c r="AM505" s="7">
        <v>97.05</v>
      </c>
      <c r="AN505" s="7">
        <v>5.7</v>
      </c>
      <c r="AO505" s="7">
        <v>160</v>
      </c>
    </row>
    <row r="506" spans="1:41">
      <c r="A506" s="6" t="s">
        <v>1051</v>
      </c>
      <c r="B506" s="6" t="s">
        <v>56</v>
      </c>
      <c r="C506" s="41">
        <f t="shared" si="15"/>
        <v>0.41617122473246138</v>
      </c>
      <c r="D506" s="42">
        <f t="shared" si="14"/>
        <v>1.3333333333333333</v>
      </c>
      <c r="E506" s="31">
        <v>28</v>
      </c>
      <c r="F506" s="24">
        <v>11</v>
      </c>
      <c r="G506" s="24">
        <v>31</v>
      </c>
      <c r="H506" s="8">
        <v>35.5</v>
      </c>
      <c r="I506" s="9">
        <v>11</v>
      </c>
      <c r="J506" s="8">
        <v>18.2</v>
      </c>
      <c r="K506" s="8">
        <v>4</v>
      </c>
      <c r="L506" s="25">
        <v>6</v>
      </c>
      <c r="M506" s="8">
        <v>66.7</v>
      </c>
      <c r="N506" s="8">
        <v>0</v>
      </c>
      <c r="O506" s="9">
        <v>8</v>
      </c>
      <c r="P506" s="9">
        <v>8</v>
      </c>
      <c r="Q506" s="24">
        <v>8</v>
      </c>
      <c r="R506" s="24">
        <v>6</v>
      </c>
      <c r="S506" s="9">
        <v>6</v>
      </c>
      <c r="T506" s="9">
        <v>3</v>
      </c>
      <c r="U506" s="9">
        <v>1</v>
      </c>
      <c r="V506" s="8">
        <v>69</v>
      </c>
      <c r="W506" s="8">
        <v>0</v>
      </c>
      <c r="X506" s="8">
        <v>0</v>
      </c>
      <c r="Y506" s="7">
        <v>-0.4</v>
      </c>
      <c r="Z506" s="7">
        <v>105.7</v>
      </c>
      <c r="AA506" s="7">
        <v>108.2</v>
      </c>
      <c r="AB506" s="7">
        <v>-2.5</v>
      </c>
      <c r="AC506" s="7">
        <v>14.5</v>
      </c>
      <c r="AD506" s="7">
        <v>1.33</v>
      </c>
      <c r="AE506" s="7">
        <v>16.7</v>
      </c>
      <c r="AF506" s="7">
        <v>0</v>
      </c>
      <c r="AG506" s="7">
        <v>11.5</v>
      </c>
      <c r="AH506" s="7">
        <v>6.3</v>
      </c>
      <c r="AI506" s="7">
        <v>12.5</v>
      </c>
      <c r="AJ506" s="7">
        <v>38.700000000000003</v>
      </c>
      <c r="AK506" s="7">
        <v>41.6</v>
      </c>
      <c r="AL506" s="7">
        <v>23.5</v>
      </c>
      <c r="AM506" s="7">
        <v>109.7</v>
      </c>
      <c r="AN506" s="7">
        <v>6.3</v>
      </c>
      <c r="AO506" s="7">
        <v>158</v>
      </c>
    </row>
    <row r="507" spans="1:41">
      <c r="A507" s="6" t="s">
        <v>1053</v>
      </c>
      <c r="B507" s="6" t="s">
        <v>48</v>
      </c>
      <c r="C507" s="41">
        <f t="shared" si="15"/>
        <v>0.36353467561521252</v>
      </c>
      <c r="D507" s="42">
        <f t="shared" si="14"/>
        <v>1</v>
      </c>
      <c r="E507" s="31">
        <v>26</v>
      </c>
      <c r="F507" s="24">
        <v>12</v>
      </c>
      <c r="G507" s="24">
        <v>34</v>
      </c>
      <c r="H507" s="8">
        <v>32.4</v>
      </c>
      <c r="I507" s="9">
        <v>18</v>
      </c>
      <c r="J507" s="8">
        <v>5.9</v>
      </c>
      <c r="K507" s="8">
        <v>4</v>
      </c>
      <c r="L507" s="25">
        <v>4</v>
      </c>
      <c r="M507" s="8">
        <v>100</v>
      </c>
      <c r="N507" s="9">
        <v>8</v>
      </c>
      <c r="O507" s="9">
        <v>10</v>
      </c>
      <c r="P507" s="9">
        <v>18</v>
      </c>
      <c r="Q507" s="24">
        <v>6</v>
      </c>
      <c r="R507" s="24">
        <v>6</v>
      </c>
      <c r="S507" s="9">
        <v>6</v>
      </c>
      <c r="T507" s="9">
        <v>6</v>
      </c>
      <c r="U507" s="9">
        <v>18</v>
      </c>
      <c r="V507" s="8">
        <v>78</v>
      </c>
      <c r="W507" s="8">
        <v>0</v>
      </c>
      <c r="X507" s="8">
        <v>0</v>
      </c>
      <c r="Y507" s="7">
        <v>-2.2999999999999998</v>
      </c>
      <c r="Z507" s="7">
        <v>89.4</v>
      </c>
      <c r="AA507" s="7">
        <v>107.4</v>
      </c>
      <c r="AB507" s="7">
        <v>-18</v>
      </c>
      <c r="AC507" s="7">
        <v>6</v>
      </c>
      <c r="AD507" s="7">
        <v>1</v>
      </c>
      <c r="AE507" s="7">
        <v>11.1</v>
      </c>
      <c r="AF507" s="7">
        <v>5.7</v>
      </c>
      <c r="AG507" s="7">
        <v>6.7</v>
      </c>
      <c r="AH507" s="7">
        <v>6.2</v>
      </c>
      <c r="AI507" s="7">
        <v>11.1</v>
      </c>
      <c r="AJ507" s="7">
        <v>33.799999999999997</v>
      </c>
      <c r="AK507" s="7">
        <v>36.799999999999997</v>
      </c>
      <c r="AL507" s="7">
        <v>12.8</v>
      </c>
      <c r="AM507" s="7">
        <v>104.76</v>
      </c>
      <c r="AN507" s="7">
        <v>1.3</v>
      </c>
      <c r="AO507" s="7">
        <v>274</v>
      </c>
    </row>
    <row r="508" spans="1:41">
      <c r="A508" s="6" t="s">
        <v>1055</v>
      </c>
      <c r="B508" s="6" t="s">
        <v>58</v>
      </c>
      <c r="C508" s="41">
        <f t="shared" si="15"/>
        <v>0.54545454545454541</v>
      </c>
      <c r="D508" s="42">
        <f t="shared" si="14"/>
        <v>2.3333333333333335</v>
      </c>
      <c r="E508" s="31">
        <v>24</v>
      </c>
      <c r="F508" s="24">
        <v>9</v>
      </c>
      <c r="G508" s="24">
        <v>22</v>
      </c>
      <c r="H508" s="8">
        <v>40.9</v>
      </c>
      <c r="I508" s="9">
        <v>10</v>
      </c>
      <c r="J508" s="8">
        <v>50</v>
      </c>
      <c r="K508" s="8">
        <v>0</v>
      </c>
      <c r="L508" s="25">
        <v>0</v>
      </c>
      <c r="M508" s="8">
        <v>0</v>
      </c>
      <c r="N508" s="9">
        <v>3</v>
      </c>
      <c r="O508" s="9">
        <v>12</v>
      </c>
      <c r="P508" s="9">
        <v>15</v>
      </c>
      <c r="Q508" s="24">
        <v>7</v>
      </c>
      <c r="R508" s="24">
        <v>3</v>
      </c>
      <c r="S508" s="9">
        <v>2</v>
      </c>
      <c r="T508" s="8">
        <v>0</v>
      </c>
      <c r="U508" s="9">
        <v>3</v>
      </c>
      <c r="V508" s="8">
        <v>53</v>
      </c>
      <c r="W508" s="8">
        <v>0</v>
      </c>
      <c r="X508" s="8">
        <v>0</v>
      </c>
      <c r="Y508" s="7">
        <v>-1.5</v>
      </c>
      <c r="Z508" s="7">
        <v>89.9</v>
      </c>
      <c r="AA508" s="7">
        <v>104.4</v>
      </c>
      <c r="AB508" s="7">
        <v>-14.5</v>
      </c>
      <c r="AC508" s="7">
        <v>13.3</v>
      </c>
      <c r="AD508" s="7">
        <v>2</v>
      </c>
      <c r="AE508" s="7">
        <v>19.399999999999999</v>
      </c>
      <c r="AF508" s="7">
        <v>4.0999999999999996</v>
      </c>
      <c r="AG508" s="7">
        <v>14.8</v>
      </c>
      <c r="AH508" s="7">
        <v>9.6999999999999993</v>
      </c>
      <c r="AI508" s="7">
        <v>9.6999999999999993</v>
      </c>
      <c r="AJ508" s="7">
        <v>52.3</v>
      </c>
      <c r="AK508" s="7">
        <v>52.3</v>
      </c>
      <c r="AL508" s="7">
        <v>14</v>
      </c>
      <c r="AM508" s="7">
        <v>101.56</v>
      </c>
      <c r="AN508" s="7">
        <v>9</v>
      </c>
      <c r="AO508" s="7">
        <v>158</v>
      </c>
    </row>
    <row r="509" spans="1:41">
      <c r="A509" s="6" t="s">
        <v>1057</v>
      </c>
      <c r="B509" s="6" t="s">
        <v>144</v>
      </c>
      <c r="C509" s="41">
        <f t="shared" si="15"/>
        <v>0.49586776859504134</v>
      </c>
      <c r="D509" s="42">
        <f t="shared" si="14"/>
        <v>1.2</v>
      </c>
      <c r="E509" s="31">
        <v>24</v>
      </c>
      <c r="F509" s="24">
        <v>10</v>
      </c>
      <c r="G509" s="24">
        <v>22</v>
      </c>
      <c r="H509" s="8">
        <v>39.1</v>
      </c>
      <c r="I509" s="9">
        <v>11</v>
      </c>
      <c r="J509" s="8">
        <v>36.4</v>
      </c>
      <c r="K509" s="8">
        <v>2</v>
      </c>
      <c r="L509" s="25">
        <v>5</v>
      </c>
      <c r="M509" s="8">
        <v>50</v>
      </c>
      <c r="N509" s="9">
        <v>2</v>
      </c>
      <c r="O509" s="9">
        <v>5</v>
      </c>
      <c r="P509" s="9">
        <v>5</v>
      </c>
      <c r="Q509" s="24">
        <v>6</v>
      </c>
      <c r="R509" s="24">
        <v>5</v>
      </c>
      <c r="S509" s="9">
        <v>2</v>
      </c>
      <c r="T509" s="9">
        <v>2</v>
      </c>
      <c r="U509" s="9">
        <v>10</v>
      </c>
      <c r="V509" s="8">
        <v>43</v>
      </c>
      <c r="W509" s="8">
        <v>0</v>
      </c>
      <c r="X509" s="8">
        <v>0</v>
      </c>
      <c r="Y509" s="7">
        <v>0.7</v>
      </c>
      <c r="Z509" s="7">
        <v>103.8</v>
      </c>
      <c r="AA509" s="7">
        <v>99.2</v>
      </c>
      <c r="AB509" s="7">
        <v>4.5999999999999996</v>
      </c>
      <c r="AC509" s="7">
        <v>15.4</v>
      </c>
      <c r="AD509" s="7">
        <v>1.2</v>
      </c>
      <c r="AE509" s="7">
        <v>17.100000000000001</v>
      </c>
      <c r="AF509" s="7">
        <v>1.6</v>
      </c>
      <c r="AG509" s="7">
        <v>6.5</v>
      </c>
      <c r="AH509" s="7">
        <v>4</v>
      </c>
      <c r="AI509" s="7">
        <v>14.3</v>
      </c>
      <c r="AJ509" s="7">
        <v>47.8</v>
      </c>
      <c r="AK509" s="7">
        <v>48.5</v>
      </c>
      <c r="AL509" s="7">
        <v>19.5</v>
      </c>
      <c r="AM509" s="7">
        <v>109.79</v>
      </c>
      <c r="AN509" s="7">
        <v>3.1</v>
      </c>
      <c r="AO509" s="7">
        <v>132</v>
      </c>
    </row>
    <row r="510" spans="1:41">
      <c r="A510" s="6" t="s">
        <v>1059</v>
      </c>
      <c r="B510" s="6" t="s">
        <v>68</v>
      </c>
      <c r="C510" s="41">
        <f t="shared" si="15"/>
        <v>0.78947368421052633</v>
      </c>
      <c r="D510" s="42">
        <f t="shared" si="14"/>
        <v>1</v>
      </c>
      <c r="E510" s="31">
        <v>24</v>
      </c>
      <c r="F510" s="24">
        <v>10</v>
      </c>
      <c r="G510" s="24">
        <v>13</v>
      </c>
      <c r="H510" s="8">
        <v>76.900000000000006</v>
      </c>
      <c r="I510" s="8">
        <v>0</v>
      </c>
      <c r="J510" s="8">
        <v>0</v>
      </c>
      <c r="K510" s="8">
        <v>4</v>
      </c>
      <c r="L510" s="25">
        <v>5</v>
      </c>
      <c r="M510" s="8">
        <v>80</v>
      </c>
      <c r="N510" s="9">
        <v>6</v>
      </c>
      <c r="O510" s="9">
        <v>15</v>
      </c>
      <c r="P510" s="9">
        <v>21</v>
      </c>
      <c r="Q510" s="24">
        <v>2</v>
      </c>
      <c r="R510" s="24">
        <v>2</v>
      </c>
      <c r="S510" s="9">
        <v>1</v>
      </c>
      <c r="T510" s="9">
        <v>5</v>
      </c>
      <c r="U510" s="9">
        <v>9</v>
      </c>
      <c r="V510" s="8">
        <v>68</v>
      </c>
      <c r="W510" s="8">
        <v>0</v>
      </c>
      <c r="X510" s="8">
        <v>0</v>
      </c>
      <c r="Y510" s="7">
        <v>-2.8</v>
      </c>
      <c r="Z510" s="7">
        <v>114.9</v>
      </c>
      <c r="AA510" s="7">
        <v>123.5</v>
      </c>
      <c r="AB510" s="7">
        <v>-8.6</v>
      </c>
      <c r="AC510" s="7">
        <v>5</v>
      </c>
      <c r="AD510" s="7">
        <v>1</v>
      </c>
      <c r="AE510" s="7">
        <v>10.5</v>
      </c>
      <c r="AF510" s="7">
        <v>12.2</v>
      </c>
      <c r="AG510" s="7">
        <v>26.8</v>
      </c>
      <c r="AH510" s="7">
        <v>20</v>
      </c>
      <c r="AI510" s="7">
        <v>10.5</v>
      </c>
      <c r="AJ510" s="7">
        <v>76.900000000000006</v>
      </c>
      <c r="AK510" s="7">
        <v>78.900000000000006</v>
      </c>
      <c r="AL510" s="7">
        <v>13.3</v>
      </c>
      <c r="AM510" s="7">
        <v>108.58</v>
      </c>
      <c r="AN510" s="7">
        <v>12.5</v>
      </c>
      <c r="AO510" s="7">
        <v>114</v>
      </c>
    </row>
    <row r="511" spans="1:41">
      <c r="A511" s="6" t="s">
        <v>1061</v>
      </c>
      <c r="B511" s="6" t="s">
        <v>48</v>
      </c>
      <c r="C511" s="41">
        <f t="shared" si="15"/>
        <v>0.44230769230769229</v>
      </c>
      <c r="D511" s="42">
        <f t="shared" si="14"/>
        <v>0.9</v>
      </c>
      <c r="E511" s="31">
        <v>23</v>
      </c>
      <c r="F511" s="24">
        <v>10</v>
      </c>
      <c r="G511" s="24">
        <v>26</v>
      </c>
      <c r="H511" s="8">
        <v>38.5</v>
      </c>
      <c r="I511" s="9">
        <v>16</v>
      </c>
      <c r="J511" s="8">
        <v>26.7</v>
      </c>
      <c r="K511" s="8">
        <v>0</v>
      </c>
      <c r="L511" s="25">
        <v>0</v>
      </c>
      <c r="M511" s="8">
        <v>0</v>
      </c>
      <c r="N511" s="9">
        <v>7</v>
      </c>
      <c r="O511" s="9">
        <v>26</v>
      </c>
      <c r="P511" s="9">
        <v>33</v>
      </c>
      <c r="Q511" s="24">
        <v>9</v>
      </c>
      <c r="R511" s="24">
        <v>10</v>
      </c>
      <c r="S511" s="9">
        <v>3</v>
      </c>
      <c r="T511" s="9">
        <v>3</v>
      </c>
      <c r="U511" s="9">
        <v>10</v>
      </c>
      <c r="V511" s="8">
        <v>79</v>
      </c>
      <c r="W511" s="8">
        <v>0</v>
      </c>
      <c r="X511" s="8">
        <v>0</v>
      </c>
      <c r="Y511" s="7">
        <v>-1.4</v>
      </c>
      <c r="Z511" s="7">
        <v>93.5</v>
      </c>
      <c r="AA511" s="7">
        <v>100.3</v>
      </c>
      <c r="AB511" s="7">
        <v>-6.9</v>
      </c>
      <c r="AC511" s="7">
        <v>9.5</v>
      </c>
      <c r="AD511" s="7">
        <v>0.82</v>
      </c>
      <c r="AE511" s="7">
        <v>19.600000000000001</v>
      </c>
      <c r="AF511" s="7">
        <v>3.8</v>
      </c>
      <c r="AG511" s="7">
        <v>17</v>
      </c>
      <c r="AH511" s="7">
        <v>10.199999999999999</v>
      </c>
      <c r="AI511" s="7">
        <v>23.9</v>
      </c>
      <c r="AJ511" s="7">
        <v>46.2</v>
      </c>
      <c r="AK511" s="7">
        <v>46.2</v>
      </c>
      <c r="AL511" s="7">
        <v>10.9</v>
      </c>
      <c r="AM511" s="7">
        <v>102.84</v>
      </c>
      <c r="AN511" s="7">
        <v>6.2</v>
      </c>
      <c r="AO511" s="7">
        <v>292</v>
      </c>
    </row>
    <row r="512" spans="1:41">
      <c r="A512" s="6" t="s">
        <v>1063</v>
      </c>
      <c r="B512" s="6" t="s">
        <v>66</v>
      </c>
      <c r="C512" s="41">
        <f t="shared" si="15"/>
        <v>0.4667207792207792</v>
      </c>
      <c r="D512" s="42">
        <f t="shared" si="14"/>
        <v>1.5</v>
      </c>
      <c r="E512" s="31">
        <v>23</v>
      </c>
      <c r="F512" s="24">
        <v>7</v>
      </c>
      <c r="G512" s="24">
        <v>22</v>
      </c>
      <c r="H512" s="8">
        <v>31.8</v>
      </c>
      <c r="I512" s="9">
        <v>15</v>
      </c>
      <c r="J512" s="8">
        <v>26.7</v>
      </c>
      <c r="K512" s="8">
        <v>5</v>
      </c>
      <c r="L512" s="25">
        <v>6</v>
      </c>
      <c r="M512" s="8">
        <v>83.3</v>
      </c>
      <c r="N512" s="9">
        <v>6</v>
      </c>
      <c r="O512" s="9">
        <v>14</v>
      </c>
      <c r="P512" s="9">
        <v>20</v>
      </c>
      <c r="Q512" s="24">
        <v>6</v>
      </c>
      <c r="R512" s="24">
        <v>4</v>
      </c>
      <c r="S512" s="9">
        <v>3</v>
      </c>
      <c r="T512" s="8">
        <v>0</v>
      </c>
      <c r="U512" s="9">
        <v>10</v>
      </c>
      <c r="V512" s="8">
        <v>61</v>
      </c>
      <c r="W512" s="8">
        <v>0</v>
      </c>
      <c r="X512" s="8">
        <v>0</v>
      </c>
      <c r="Y512" s="7">
        <v>-2</v>
      </c>
      <c r="Z512" s="7">
        <v>101.9</v>
      </c>
      <c r="AA512" s="7">
        <v>109.2</v>
      </c>
      <c r="AB512" s="7">
        <v>-7.4</v>
      </c>
      <c r="AC512" s="7">
        <v>7.7</v>
      </c>
      <c r="AD512" s="7">
        <v>1.5</v>
      </c>
      <c r="AE512" s="7">
        <v>17.600000000000001</v>
      </c>
      <c r="AF512" s="7">
        <v>5.5</v>
      </c>
      <c r="AG512" s="7">
        <v>13.3</v>
      </c>
      <c r="AH512" s="7">
        <v>9.3000000000000007</v>
      </c>
      <c r="AI512" s="7">
        <v>11.8</v>
      </c>
      <c r="AJ512" s="7">
        <v>40.9</v>
      </c>
      <c r="AK512" s="7">
        <v>46.7</v>
      </c>
      <c r="AL512" s="7">
        <v>11.3</v>
      </c>
      <c r="AM512" s="7">
        <v>100.89</v>
      </c>
      <c r="AN512" s="7">
        <v>4.8</v>
      </c>
      <c r="AO512" s="7">
        <v>215</v>
      </c>
    </row>
    <row r="513" spans="1:41">
      <c r="A513" s="6" t="s">
        <v>1065</v>
      </c>
      <c r="B513" s="6" t="s">
        <v>66</v>
      </c>
      <c r="C513" s="41">
        <f t="shared" si="15"/>
        <v>0.56930693069306937</v>
      </c>
      <c r="D513" s="42">
        <f t="shared" si="14"/>
        <v>11</v>
      </c>
      <c r="E513" s="31">
        <v>23</v>
      </c>
      <c r="F513" s="24">
        <v>9</v>
      </c>
      <c r="G513" s="24">
        <v>18</v>
      </c>
      <c r="H513" s="8">
        <v>50</v>
      </c>
      <c r="I513" s="9">
        <v>8</v>
      </c>
      <c r="J513" s="8">
        <v>12.5</v>
      </c>
      <c r="K513" s="8">
        <v>4</v>
      </c>
      <c r="L513" s="25">
        <v>5</v>
      </c>
      <c r="M513" s="8">
        <v>80</v>
      </c>
      <c r="N513" s="9">
        <v>2</v>
      </c>
      <c r="O513" s="9">
        <v>7</v>
      </c>
      <c r="P513" s="9">
        <v>9</v>
      </c>
      <c r="Q513" s="24">
        <v>11</v>
      </c>
      <c r="R513" s="24">
        <v>1</v>
      </c>
      <c r="S513" s="8">
        <v>0</v>
      </c>
      <c r="T513" s="9">
        <v>1</v>
      </c>
      <c r="U513" s="9">
        <v>3</v>
      </c>
      <c r="V513" s="8">
        <v>52</v>
      </c>
      <c r="W513" s="8">
        <v>0</v>
      </c>
      <c r="X513" s="8">
        <v>0</v>
      </c>
      <c r="Y513" s="7">
        <v>0.1</v>
      </c>
      <c r="Z513" s="7">
        <v>107.4</v>
      </c>
      <c r="AA513" s="7">
        <v>105.3</v>
      </c>
      <c r="AB513" s="7">
        <v>2.2000000000000002</v>
      </c>
      <c r="AC513" s="7">
        <v>37.9</v>
      </c>
      <c r="AD513" s="7">
        <v>11</v>
      </c>
      <c r="AE513" s="7">
        <v>34.4</v>
      </c>
      <c r="AF513" s="7">
        <v>4.5</v>
      </c>
      <c r="AG513" s="7">
        <v>14.9</v>
      </c>
      <c r="AH513" s="7">
        <v>9.9</v>
      </c>
      <c r="AI513" s="7">
        <v>3.1</v>
      </c>
      <c r="AJ513" s="7">
        <v>52.8</v>
      </c>
      <c r="AK513" s="7">
        <v>56.9</v>
      </c>
      <c r="AL513" s="7">
        <v>19.3</v>
      </c>
      <c r="AM513" s="7">
        <v>99.93</v>
      </c>
      <c r="AN513" s="7">
        <v>15.9</v>
      </c>
      <c r="AO513" s="7">
        <v>94</v>
      </c>
    </row>
    <row r="514" spans="1:41">
      <c r="A514" s="13" t="s">
        <v>1067</v>
      </c>
      <c r="B514" s="6" t="s">
        <v>88</v>
      </c>
      <c r="C514" s="41">
        <f t="shared" si="15"/>
        <v>0.65165876777251186</v>
      </c>
      <c r="D514" s="42">
        <f t="shared" ref="D514:D534" si="16">IFERROR(Q514/R514,"NA")</f>
        <v>2</v>
      </c>
      <c r="E514" s="31">
        <v>22</v>
      </c>
      <c r="F514" s="24">
        <v>8</v>
      </c>
      <c r="G514" s="24">
        <v>16</v>
      </c>
      <c r="H514" s="8">
        <v>53.3</v>
      </c>
      <c r="I514" s="9">
        <v>10</v>
      </c>
      <c r="J514" s="8">
        <v>30</v>
      </c>
      <c r="K514" s="8">
        <v>2</v>
      </c>
      <c r="L514" s="25">
        <v>2</v>
      </c>
      <c r="M514" s="8">
        <v>100</v>
      </c>
      <c r="N514" s="9">
        <v>4</v>
      </c>
      <c r="O514" s="9">
        <v>6</v>
      </c>
      <c r="P514" s="9">
        <v>10</v>
      </c>
      <c r="Q514" s="24">
        <v>4</v>
      </c>
      <c r="R514" s="24">
        <v>2</v>
      </c>
      <c r="S514" s="9">
        <v>1</v>
      </c>
      <c r="T514" s="9">
        <v>1</v>
      </c>
      <c r="U514" s="9">
        <v>11</v>
      </c>
      <c r="V514" s="8">
        <v>41</v>
      </c>
      <c r="W514" s="8">
        <v>0</v>
      </c>
      <c r="X514" s="8">
        <v>0</v>
      </c>
      <c r="Y514" s="7">
        <v>-0.7</v>
      </c>
      <c r="Z514" s="7">
        <v>117.9</v>
      </c>
      <c r="AA514" s="7">
        <v>126.4</v>
      </c>
      <c r="AB514" s="7">
        <v>-8.6</v>
      </c>
      <c r="AC514" s="7">
        <v>6.4</v>
      </c>
      <c r="AD514" s="7">
        <v>1.5</v>
      </c>
      <c r="AE514" s="7">
        <v>14.3</v>
      </c>
      <c r="AF514" s="7">
        <v>6.5</v>
      </c>
      <c r="AG514" s="7">
        <v>10.199999999999999</v>
      </c>
      <c r="AH514" s="7">
        <v>8.6</v>
      </c>
      <c r="AI514" s="7">
        <v>9.5</v>
      </c>
      <c r="AJ514" s="7">
        <v>63.3</v>
      </c>
      <c r="AK514" s="7">
        <v>66.099999999999994</v>
      </c>
      <c r="AL514" s="7">
        <v>13</v>
      </c>
      <c r="AM514" s="7">
        <v>110.79</v>
      </c>
      <c r="AN514" s="7">
        <v>4.7</v>
      </c>
      <c r="AO514" s="7">
        <v>123</v>
      </c>
    </row>
    <row r="515" spans="1:41">
      <c r="A515" s="6" t="s">
        <v>1069</v>
      </c>
      <c r="B515" s="6" t="s">
        <v>70</v>
      </c>
      <c r="C515" s="41">
        <f t="shared" ref="C515:C570" si="17">IFERROR((E515/(2*(G515+0.44*L515))),"NA")</f>
        <v>0.56008146639511203</v>
      </c>
      <c r="D515" s="42">
        <f t="shared" si="16"/>
        <v>4</v>
      </c>
      <c r="E515" s="31">
        <v>22</v>
      </c>
      <c r="F515" s="24">
        <v>8</v>
      </c>
      <c r="G515" s="24">
        <v>17</v>
      </c>
      <c r="H515" s="8">
        <v>47.1</v>
      </c>
      <c r="I515" s="9">
        <v>10</v>
      </c>
      <c r="J515" s="8">
        <v>30</v>
      </c>
      <c r="K515" s="8">
        <v>3</v>
      </c>
      <c r="L515" s="25">
        <v>6</v>
      </c>
      <c r="M515" s="8">
        <v>50</v>
      </c>
      <c r="N515" s="9">
        <v>3</v>
      </c>
      <c r="O515" s="9">
        <v>8</v>
      </c>
      <c r="P515" s="9">
        <v>11</v>
      </c>
      <c r="Q515" s="24">
        <v>4</v>
      </c>
      <c r="R515" s="24">
        <v>1</v>
      </c>
      <c r="S515" s="9">
        <v>4</v>
      </c>
      <c r="T515" s="8">
        <v>0</v>
      </c>
      <c r="U515" s="9">
        <v>4</v>
      </c>
      <c r="V515" s="8">
        <v>52</v>
      </c>
      <c r="W515" s="8">
        <v>0</v>
      </c>
      <c r="X515" s="8">
        <v>0</v>
      </c>
      <c r="Y515" s="7">
        <v>3.8</v>
      </c>
      <c r="Z515" s="7">
        <v>116.4</v>
      </c>
      <c r="AA515" s="7">
        <v>103.5</v>
      </c>
      <c r="AB515" s="7">
        <v>12.9</v>
      </c>
      <c r="AC515" s="7">
        <v>10</v>
      </c>
      <c r="AD515" s="7">
        <v>4</v>
      </c>
      <c r="AE515" s="7">
        <v>16</v>
      </c>
      <c r="AF515" s="7">
        <v>4.5999999999999996</v>
      </c>
      <c r="AG515" s="7">
        <v>16.7</v>
      </c>
      <c r="AH515" s="7">
        <v>9.6999999999999993</v>
      </c>
      <c r="AI515" s="7">
        <v>4</v>
      </c>
      <c r="AJ515" s="7">
        <v>55.9</v>
      </c>
      <c r="AK515" s="7">
        <v>56</v>
      </c>
      <c r="AL515" s="7">
        <v>14.2</v>
      </c>
      <c r="AM515" s="7">
        <v>109.95</v>
      </c>
      <c r="AN515" s="7">
        <v>10.1</v>
      </c>
      <c r="AO515" s="7">
        <v>122</v>
      </c>
    </row>
    <row r="516" spans="1:41">
      <c r="A516" s="6" t="s">
        <v>1071</v>
      </c>
      <c r="B516" s="6" t="s">
        <v>46</v>
      </c>
      <c r="C516" s="41">
        <f t="shared" si="17"/>
        <v>0.51229508196721307</v>
      </c>
      <c r="D516" s="42">
        <f t="shared" si="16"/>
        <v>0</v>
      </c>
      <c r="E516" s="31">
        <v>20</v>
      </c>
      <c r="F516" s="24">
        <v>7</v>
      </c>
      <c r="G516" s="24">
        <v>16</v>
      </c>
      <c r="H516" s="8">
        <v>40</v>
      </c>
      <c r="I516" s="9">
        <v>5</v>
      </c>
      <c r="J516" s="8">
        <v>0</v>
      </c>
      <c r="K516" s="8">
        <v>8</v>
      </c>
      <c r="L516" s="25">
        <v>8</v>
      </c>
      <c r="M516" s="8">
        <v>100</v>
      </c>
      <c r="N516" s="9">
        <v>3</v>
      </c>
      <c r="O516" s="9">
        <v>8</v>
      </c>
      <c r="P516" s="9">
        <v>10</v>
      </c>
      <c r="Q516" s="25">
        <v>0</v>
      </c>
      <c r="R516" s="24">
        <v>3</v>
      </c>
      <c r="S516" s="9">
        <v>3</v>
      </c>
      <c r="T516" s="9">
        <v>1</v>
      </c>
      <c r="U516" s="9">
        <v>3</v>
      </c>
      <c r="V516" s="8">
        <v>40</v>
      </c>
      <c r="W516" s="8">
        <v>0</v>
      </c>
      <c r="X516" s="8">
        <v>0</v>
      </c>
      <c r="Y516" s="7">
        <v>-0.9</v>
      </c>
      <c r="Z516" s="7">
        <v>79.2</v>
      </c>
      <c r="AA516" s="7">
        <v>98.6</v>
      </c>
      <c r="AB516" s="7">
        <v>-19.399999999999999</v>
      </c>
      <c r="AC516" s="7">
        <v>0</v>
      </c>
      <c r="AD516" s="7">
        <v>0</v>
      </c>
      <c r="AE516" s="7">
        <v>0</v>
      </c>
      <c r="AF516" s="7">
        <v>7.3</v>
      </c>
      <c r="AG516" s="7">
        <v>22.9</v>
      </c>
      <c r="AH516" s="7">
        <v>14.5</v>
      </c>
      <c r="AI516" s="7">
        <v>9.5</v>
      </c>
      <c r="AJ516" s="7">
        <v>40</v>
      </c>
      <c r="AK516" s="7">
        <v>54</v>
      </c>
      <c r="AL516" s="7">
        <v>23.9</v>
      </c>
      <c r="AM516" s="7">
        <v>107.87</v>
      </c>
      <c r="AN516" s="7">
        <v>20.2</v>
      </c>
      <c r="AO516" s="7">
        <v>72</v>
      </c>
    </row>
    <row r="517" spans="1:41">
      <c r="A517" s="6" t="s">
        <v>1073</v>
      </c>
      <c r="B517" s="6" t="s">
        <v>62</v>
      </c>
      <c r="C517" s="41">
        <f t="shared" si="17"/>
        <v>0.36348949919224555</v>
      </c>
      <c r="D517" s="42">
        <f t="shared" si="16"/>
        <v>2.3333333333333335</v>
      </c>
      <c r="E517" s="31">
        <v>18</v>
      </c>
      <c r="F517" s="24">
        <v>7</v>
      </c>
      <c r="G517" s="24">
        <v>23</v>
      </c>
      <c r="H517" s="8">
        <v>29.2</v>
      </c>
      <c r="I517" s="9">
        <v>13</v>
      </c>
      <c r="J517" s="8">
        <v>15.4</v>
      </c>
      <c r="K517" s="8">
        <v>3</v>
      </c>
      <c r="L517" s="25">
        <v>4</v>
      </c>
      <c r="M517" s="8">
        <v>50</v>
      </c>
      <c r="N517" s="9">
        <v>3</v>
      </c>
      <c r="O517" s="9">
        <v>9</v>
      </c>
      <c r="P517" s="9">
        <v>12</v>
      </c>
      <c r="Q517" s="24">
        <v>7</v>
      </c>
      <c r="R517" s="24">
        <v>3</v>
      </c>
      <c r="S517" s="9">
        <v>5</v>
      </c>
      <c r="T517" s="9">
        <v>1</v>
      </c>
      <c r="U517" s="9">
        <v>4</v>
      </c>
      <c r="V517" s="8">
        <v>57</v>
      </c>
      <c r="W517" s="8">
        <v>0</v>
      </c>
      <c r="X517" s="8">
        <v>0</v>
      </c>
      <c r="Y517" s="7">
        <v>-0.8</v>
      </c>
      <c r="Z517" s="7">
        <v>97.6</v>
      </c>
      <c r="AA517" s="7">
        <v>105.6</v>
      </c>
      <c r="AB517" s="7">
        <v>-7.9</v>
      </c>
      <c r="AC517" s="7">
        <v>16.7</v>
      </c>
      <c r="AD517" s="7">
        <v>3</v>
      </c>
      <c r="AE517" s="7">
        <v>17.600000000000001</v>
      </c>
      <c r="AF517" s="7">
        <v>5.0999999999999996</v>
      </c>
      <c r="AG517" s="7">
        <v>14.1</v>
      </c>
      <c r="AH517" s="7">
        <v>9.8000000000000007</v>
      </c>
      <c r="AI517" s="7">
        <v>5.9</v>
      </c>
      <c r="AJ517" s="7">
        <v>33.299999999999997</v>
      </c>
      <c r="AK517" s="7">
        <v>34.9</v>
      </c>
      <c r="AL517" s="7">
        <v>19.2</v>
      </c>
      <c r="AM517" s="7">
        <v>103.12</v>
      </c>
      <c r="AN517" s="7">
        <v>7</v>
      </c>
      <c r="AO517" s="7">
        <v>126</v>
      </c>
    </row>
    <row r="518" spans="1:41">
      <c r="A518" s="6" t="s">
        <v>1075</v>
      </c>
      <c r="B518" s="6" t="s">
        <v>50</v>
      </c>
      <c r="C518" s="41">
        <f t="shared" si="17"/>
        <v>0.58060109289617479</v>
      </c>
      <c r="D518" s="42">
        <f t="shared" si="16"/>
        <v>1.25</v>
      </c>
      <c r="E518" s="31">
        <v>17</v>
      </c>
      <c r="F518" s="24">
        <v>6</v>
      </c>
      <c r="G518" s="24">
        <v>12</v>
      </c>
      <c r="H518" s="8">
        <v>50</v>
      </c>
      <c r="I518" s="9">
        <v>5</v>
      </c>
      <c r="J518" s="8">
        <v>20</v>
      </c>
      <c r="K518" s="8">
        <v>4</v>
      </c>
      <c r="L518" s="25">
        <v>6</v>
      </c>
      <c r="M518" s="8">
        <v>66.7</v>
      </c>
      <c r="N518" s="9">
        <v>1</v>
      </c>
      <c r="O518" s="9">
        <v>4</v>
      </c>
      <c r="P518" s="9">
        <v>5</v>
      </c>
      <c r="Q518" s="24">
        <v>10</v>
      </c>
      <c r="R518" s="24">
        <v>8</v>
      </c>
      <c r="S518" s="9">
        <v>4</v>
      </c>
      <c r="T518" s="9">
        <v>2</v>
      </c>
      <c r="U518" s="9">
        <v>2</v>
      </c>
      <c r="V518" s="8">
        <v>48</v>
      </c>
      <c r="W518" s="8">
        <v>0</v>
      </c>
      <c r="X518" s="8">
        <v>0</v>
      </c>
      <c r="Y518" s="7">
        <v>0.4</v>
      </c>
      <c r="Z518" s="7">
        <v>118.5</v>
      </c>
      <c r="AA518" s="7">
        <v>117.8</v>
      </c>
      <c r="AB518" s="7">
        <v>0.6</v>
      </c>
      <c r="AC518" s="7">
        <v>21.3</v>
      </c>
      <c r="AD518" s="7">
        <v>1.25</v>
      </c>
      <c r="AE518" s="7">
        <v>30.3</v>
      </c>
      <c r="AF518" s="7">
        <v>1.9</v>
      </c>
      <c r="AG518" s="7">
        <v>5.8</v>
      </c>
      <c r="AH518" s="7">
        <v>4.0999999999999996</v>
      </c>
      <c r="AI518" s="7">
        <v>24.2</v>
      </c>
      <c r="AJ518" s="7">
        <v>54.2</v>
      </c>
      <c r="AK518" s="7">
        <v>58.1</v>
      </c>
      <c r="AL518" s="7">
        <v>16.3</v>
      </c>
      <c r="AM518" s="7">
        <v>100.75</v>
      </c>
      <c r="AN518" s="7">
        <v>6.7</v>
      </c>
      <c r="AO518" s="7">
        <v>130</v>
      </c>
    </row>
    <row r="519" spans="1:41">
      <c r="A519" s="6" t="s">
        <v>1077</v>
      </c>
      <c r="B519" s="6" t="s">
        <v>122</v>
      </c>
      <c r="C519" s="41">
        <f t="shared" si="17"/>
        <v>0.38848263254113347</v>
      </c>
      <c r="D519" s="42">
        <f t="shared" si="16"/>
        <v>1.3333333333333333</v>
      </c>
      <c r="E519" s="31">
        <v>17</v>
      </c>
      <c r="F519" s="24">
        <v>8</v>
      </c>
      <c r="G519" s="24">
        <v>21</v>
      </c>
      <c r="H519" s="8">
        <v>38.1</v>
      </c>
      <c r="I519" s="9">
        <v>10</v>
      </c>
      <c r="J519" s="8">
        <v>20</v>
      </c>
      <c r="K519" s="8">
        <v>0</v>
      </c>
      <c r="L519" s="25">
        <v>2</v>
      </c>
      <c r="M519" s="8">
        <v>0</v>
      </c>
      <c r="N519" s="9">
        <v>6</v>
      </c>
      <c r="O519" s="9">
        <v>6</v>
      </c>
      <c r="P519" s="9">
        <v>10</v>
      </c>
      <c r="Q519" s="24">
        <v>8</v>
      </c>
      <c r="R519" s="24">
        <v>6</v>
      </c>
      <c r="S519" s="9">
        <v>6</v>
      </c>
      <c r="T519" s="9">
        <v>2</v>
      </c>
      <c r="U519" s="9">
        <v>11</v>
      </c>
      <c r="V519" s="8">
        <v>57</v>
      </c>
      <c r="W519" s="8">
        <v>0</v>
      </c>
      <c r="X519" s="8">
        <v>0</v>
      </c>
      <c r="Y519" s="7">
        <v>-0.6</v>
      </c>
      <c r="Z519" s="7">
        <v>95</v>
      </c>
      <c r="AA519" s="7">
        <v>101.9</v>
      </c>
      <c r="AB519" s="7">
        <v>-6.9</v>
      </c>
      <c r="AC519" s="7">
        <v>10.8</v>
      </c>
      <c r="AD519" s="7">
        <v>1.4</v>
      </c>
      <c r="AE519" s="7">
        <v>20.6</v>
      </c>
      <c r="AF519" s="7">
        <v>4.7</v>
      </c>
      <c r="AG519" s="7">
        <v>5.5</v>
      </c>
      <c r="AH519" s="7">
        <v>5.0999999999999996</v>
      </c>
      <c r="AI519" s="7">
        <v>14.7</v>
      </c>
      <c r="AJ519" s="7">
        <v>42.9</v>
      </c>
      <c r="AK519" s="7">
        <v>41.1</v>
      </c>
      <c r="AL519" s="7">
        <v>10.7</v>
      </c>
      <c r="AM519" s="7">
        <v>103.22</v>
      </c>
      <c r="AN519" s="7">
        <v>2</v>
      </c>
      <c r="AO519" s="7">
        <v>218</v>
      </c>
    </row>
    <row r="520" spans="1:41">
      <c r="A520" s="6" t="s">
        <v>1079</v>
      </c>
      <c r="B520" s="6" t="s">
        <v>140</v>
      </c>
      <c r="C520" s="41">
        <f t="shared" si="17"/>
        <v>0.51150895140664965</v>
      </c>
      <c r="D520" s="42">
        <f t="shared" si="16"/>
        <v>1.75</v>
      </c>
      <c r="E520" s="31">
        <v>16</v>
      </c>
      <c r="F520" s="24">
        <v>5</v>
      </c>
      <c r="G520" s="24">
        <v>13</v>
      </c>
      <c r="H520" s="8">
        <v>38.5</v>
      </c>
      <c r="I520" s="9">
        <v>4</v>
      </c>
      <c r="J520" s="8">
        <v>25</v>
      </c>
      <c r="K520" s="8">
        <v>5</v>
      </c>
      <c r="L520" s="25">
        <v>6</v>
      </c>
      <c r="M520" s="8">
        <v>83.3</v>
      </c>
      <c r="N520" s="9">
        <v>3</v>
      </c>
      <c r="O520" s="9">
        <v>4</v>
      </c>
      <c r="P520" s="9">
        <v>7</v>
      </c>
      <c r="Q520" s="24">
        <v>7</v>
      </c>
      <c r="R520" s="24">
        <v>4</v>
      </c>
      <c r="S520" s="9">
        <v>3</v>
      </c>
      <c r="T520" s="8">
        <v>0</v>
      </c>
      <c r="U520" s="9">
        <v>4</v>
      </c>
      <c r="V520" s="8">
        <v>40</v>
      </c>
      <c r="W520" s="8">
        <v>0</v>
      </c>
      <c r="X520" s="8">
        <v>0</v>
      </c>
      <c r="Y520" s="7">
        <v>0.3</v>
      </c>
      <c r="Z520" s="7">
        <v>112.8</v>
      </c>
      <c r="AA520" s="7">
        <v>109.1</v>
      </c>
      <c r="AB520" s="7">
        <v>3.7</v>
      </c>
      <c r="AC520" s="7">
        <v>23.3</v>
      </c>
      <c r="AD520" s="7">
        <v>1.75</v>
      </c>
      <c r="AE520" s="7">
        <v>26.9</v>
      </c>
      <c r="AF520" s="7">
        <v>7.7</v>
      </c>
      <c r="AG520" s="7">
        <v>8</v>
      </c>
      <c r="AH520" s="7">
        <v>7.9</v>
      </c>
      <c r="AI520" s="7">
        <v>15.4</v>
      </c>
      <c r="AJ520" s="7">
        <v>42.3</v>
      </c>
      <c r="AK520" s="7">
        <v>51.2</v>
      </c>
      <c r="AL520" s="7">
        <v>19.600000000000001</v>
      </c>
      <c r="AM520" s="7">
        <v>95.6</v>
      </c>
      <c r="AN520" s="7">
        <v>8.4</v>
      </c>
      <c r="AO520" s="7">
        <v>86</v>
      </c>
    </row>
    <row r="521" spans="1:41">
      <c r="A521" s="13" t="s">
        <v>1081</v>
      </c>
      <c r="B521" s="6" t="s">
        <v>94</v>
      </c>
      <c r="C521" s="41">
        <f t="shared" si="17"/>
        <v>0.5376344086021505</v>
      </c>
      <c r="D521" s="42">
        <f t="shared" si="16"/>
        <v>2</v>
      </c>
      <c r="E521" s="31">
        <v>16</v>
      </c>
      <c r="F521" s="24">
        <v>6</v>
      </c>
      <c r="G521" s="24">
        <v>14</v>
      </c>
      <c r="H521" s="8">
        <v>42.9</v>
      </c>
      <c r="I521" s="9">
        <v>6</v>
      </c>
      <c r="J521" s="8">
        <v>50</v>
      </c>
      <c r="K521" s="8">
        <v>1</v>
      </c>
      <c r="L521" s="25">
        <v>2</v>
      </c>
      <c r="M521" s="8">
        <v>50</v>
      </c>
      <c r="N521" s="9">
        <v>1</v>
      </c>
      <c r="O521" s="9">
        <v>4</v>
      </c>
      <c r="P521" s="9">
        <v>5</v>
      </c>
      <c r="Q521" s="24">
        <v>4</v>
      </c>
      <c r="R521" s="24">
        <v>2</v>
      </c>
      <c r="S521" s="9">
        <v>1</v>
      </c>
      <c r="T521" s="8">
        <v>0</v>
      </c>
      <c r="U521" s="9">
        <v>1</v>
      </c>
      <c r="V521" s="8">
        <v>29</v>
      </c>
      <c r="W521" s="8">
        <v>0</v>
      </c>
      <c r="X521" s="8">
        <v>0</v>
      </c>
      <c r="Y521" s="7">
        <v>4.7</v>
      </c>
      <c r="Z521" s="7">
        <v>128.4</v>
      </c>
      <c r="AA521" s="7">
        <v>91.8</v>
      </c>
      <c r="AB521" s="7">
        <v>36.6</v>
      </c>
      <c r="AC521" s="7">
        <v>13.3</v>
      </c>
      <c r="AD521" s="7">
        <v>2</v>
      </c>
      <c r="AE521" s="7">
        <v>19</v>
      </c>
      <c r="AF521" s="7">
        <v>3.2</v>
      </c>
      <c r="AG521" s="7">
        <v>10</v>
      </c>
      <c r="AH521" s="7">
        <v>7</v>
      </c>
      <c r="AI521" s="7">
        <v>9.5</v>
      </c>
      <c r="AJ521" s="7">
        <v>53.6</v>
      </c>
      <c r="AK521" s="7">
        <v>53.8</v>
      </c>
      <c r="AL521" s="7">
        <v>20.7</v>
      </c>
      <c r="AM521" s="7">
        <v>104.64</v>
      </c>
      <c r="AN521" s="7">
        <v>8.6999999999999993</v>
      </c>
      <c r="AO521" s="7">
        <v>74</v>
      </c>
    </row>
    <row r="522" spans="1:41">
      <c r="A522" s="6" t="s">
        <v>1083</v>
      </c>
      <c r="B522" s="6" t="s">
        <v>60</v>
      </c>
      <c r="C522" s="41">
        <f t="shared" si="17"/>
        <v>0.68933823529411764</v>
      </c>
      <c r="D522" s="42">
        <f t="shared" si="16"/>
        <v>7</v>
      </c>
      <c r="E522" s="31">
        <v>15</v>
      </c>
      <c r="F522" s="24">
        <v>6</v>
      </c>
      <c r="G522" s="24">
        <v>10</v>
      </c>
      <c r="H522" s="8">
        <v>60</v>
      </c>
      <c r="I522" s="9">
        <v>5</v>
      </c>
      <c r="J522" s="8">
        <v>40</v>
      </c>
      <c r="K522" s="8">
        <v>1</v>
      </c>
      <c r="L522" s="25">
        <v>2</v>
      </c>
      <c r="M522" s="8">
        <v>50</v>
      </c>
      <c r="N522" s="9">
        <v>1</v>
      </c>
      <c r="O522" s="9">
        <v>6</v>
      </c>
      <c r="P522" s="9">
        <v>7</v>
      </c>
      <c r="Q522" s="24">
        <v>7</v>
      </c>
      <c r="R522" s="24">
        <v>1</v>
      </c>
      <c r="S522" s="9">
        <v>2</v>
      </c>
      <c r="T522" s="9">
        <v>1</v>
      </c>
      <c r="U522" s="9">
        <v>8</v>
      </c>
      <c r="V522" s="8">
        <v>42</v>
      </c>
      <c r="W522" s="8">
        <v>0</v>
      </c>
      <c r="X522" s="8">
        <v>0</v>
      </c>
      <c r="Y522" s="7">
        <v>0</v>
      </c>
      <c r="Z522" s="7">
        <v>121.4</v>
      </c>
      <c r="AA522" s="7">
        <v>117.2</v>
      </c>
      <c r="AB522" s="7">
        <v>4.2</v>
      </c>
      <c r="AC522" s="7">
        <v>21.2</v>
      </c>
      <c r="AD522" s="7">
        <v>7</v>
      </c>
      <c r="AE522" s="7">
        <v>36.799999999999997</v>
      </c>
      <c r="AF522" s="7">
        <v>2.4</v>
      </c>
      <c r="AG522" s="7">
        <v>18.2</v>
      </c>
      <c r="AH522" s="7">
        <v>9.5</v>
      </c>
      <c r="AI522" s="7">
        <v>5.3</v>
      </c>
      <c r="AJ522" s="7">
        <v>70</v>
      </c>
      <c r="AK522" s="7">
        <v>68.900000000000006</v>
      </c>
      <c r="AL522" s="7">
        <v>12.1</v>
      </c>
      <c r="AM522" s="7">
        <v>96.83</v>
      </c>
      <c r="AN522" s="7">
        <v>9.5</v>
      </c>
      <c r="AO522" s="7">
        <v>84</v>
      </c>
    </row>
    <row r="523" spans="1:41">
      <c r="A523" s="6" t="s">
        <v>1085</v>
      </c>
      <c r="B523" s="6" t="s">
        <v>50</v>
      </c>
      <c r="C523" s="41">
        <f t="shared" si="17"/>
        <v>0.27017291066282417</v>
      </c>
      <c r="D523" s="42">
        <f t="shared" si="16"/>
        <v>2</v>
      </c>
      <c r="E523" s="31">
        <v>15</v>
      </c>
      <c r="F523" s="24">
        <v>4</v>
      </c>
      <c r="G523" s="24">
        <v>26</v>
      </c>
      <c r="H523" s="8">
        <v>19.2</v>
      </c>
      <c r="I523" s="9">
        <v>15</v>
      </c>
      <c r="J523" s="8">
        <v>20</v>
      </c>
      <c r="K523" s="8">
        <v>2</v>
      </c>
      <c r="L523" s="25">
        <v>4</v>
      </c>
      <c r="M523" s="8">
        <v>50</v>
      </c>
      <c r="N523" s="9">
        <v>4</v>
      </c>
      <c r="O523" s="9">
        <v>13</v>
      </c>
      <c r="P523" s="9">
        <v>18</v>
      </c>
      <c r="Q523" s="24">
        <v>4</v>
      </c>
      <c r="R523" s="24">
        <v>2</v>
      </c>
      <c r="S523" s="9">
        <v>2</v>
      </c>
      <c r="T523" s="9">
        <v>7</v>
      </c>
      <c r="U523" s="9">
        <v>9</v>
      </c>
      <c r="V523" s="8">
        <v>66</v>
      </c>
      <c r="W523" s="8">
        <v>0</v>
      </c>
      <c r="X523" s="8">
        <v>0</v>
      </c>
      <c r="Y523" s="7">
        <v>-0.7</v>
      </c>
      <c r="Z523" s="7">
        <v>85.6</v>
      </c>
      <c r="AA523" s="7">
        <v>95.8</v>
      </c>
      <c r="AB523" s="7">
        <v>-10.1</v>
      </c>
      <c r="AC523" s="7">
        <v>7.1</v>
      </c>
      <c r="AD523" s="7">
        <v>1.33</v>
      </c>
      <c r="AE523" s="7">
        <v>11.4</v>
      </c>
      <c r="AF523" s="7">
        <v>4.3</v>
      </c>
      <c r="AG523" s="7">
        <v>13.1</v>
      </c>
      <c r="AH523" s="7">
        <v>8.9</v>
      </c>
      <c r="AI523" s="7">
        <v>8.6</v>
      </c>
      <c r="AJ523" s="7">
        <v>25</v>
      </c>
      <c r="AK523" s="7">
        <v>27</v>
      </c>
      <c r="AL523" s="7">
        <v>13.7</v>
      </c>
      <c r="AM523" s="7">
        <v>107.72</v>
      </c>
      <c r="AN523" s="7">
        <v>2.2000000000000002</v>
      </c>
      <c r="AO523" s="7">
        <v>195</v>
      </c>
    </row>
    <row r="524" spans="1:41">
      <c r="A524" s="6" t="s">
        <v>1087</v>
      </c>
      <c r="B524" s="6" t="s">
        <v>46</v>
      </c>
      <c r="C524" s="41">
        <f t="shared" si="17"/>
        <v>0.32608695652173914</v>
      </c>
      <c r="D524" s="42">
        <f t="shared" si="16"/>
        <v>2.2999999999999998</v>
      </c>
      <c r="E524" s="31">
        <v>15</v>
      </c>
      <c r="F524" s="24">
        <v>6</v>
      </c>
      <c r="G524" s="24">
        <v>23</v>
      </c>
      <c r="H524" s="8">
        <v>26.1</v>
      </c>
      <c r="I524" s="9">
        <v>15</v>
      </c>
      <c r="J524" s="8">
        <v>20</v>
      </c>
      <c r="K524" s="8">
        <v>0</v>
      </c>
      <c r="L524" s="25">
        <v>0</v>
      </c>
      <c r="M524" s="8">
        <v>0</v>
      </c>
      <c r="N524" s="9">
        <v>2</v>
      </c>
      <c r="O524" s="9">
        <v>10</v>
      </c>
      <c r="P524" s="9">
        <v>11</v>
      </c>
      <c r="Q524" s="24">
        <v>23</v>
      </c>
      <c r="R524" s="24">
        <v>10</v>
      </c>
      <c r="S524" s="9">
        <v>2</v>
      </c>
      <c r="T524" s="8">
        <v>0</v>
      </c>
      <c r="U524" s="9">
        <v>11</v>
      </c>
      <c r="V524" s="8">
        <v>59</v>
      </c>
      <c r="W524" s="8">
        <v>0</v>
      </c>
      <c r="X524" s="8">
        <v>0</v>
      </c>
      <c r="Y524" s="7">
        <v>0.1</v>
      </c>
      <c r="Z524" s="7">
        <v>108.9</v>
      </c>
      <c r="AA524" s="7">
        <v>113.1</v>
      </c>
      <c r="AB524" s="7">
        <v>-4.2</v>
      </c>
      <c r="AC524" s="7">
        <v>26.1</v>
      </c>
      <c r="AD524" s="7">
        <v>2.56</v>
      </c>
      <c r="AE524" s="7">
        <v>41.8</v>
      </c>
      <c r="AF524" s="7">
        <v>1.7</v>
      </c>
      <c r="AG524" s="7">
        <v>8</v>
      </c>
      <c r="AH524" s="7">
        <v>4.8</v>
      </c>
      <c r="AI524" s="7">
        <v>16.399999999999999</v>
      </c>
      <c r="AJ524" s="7">
        <v>32.6</v>
      </c>
      <c r="AK524" s="7">
        <v>32.6</v>
      </c>
      <c r="AL524" s="7">
        <v>11.3</v>
      </c>
      <c r="AM524" s="7">
        <v>102.03</v>
      </c>
      <c r="AN524" s="7">
        <v>2.5</v>
      </c>
      <c r="AO524" s="7">
        <v>248</v>
      </c>
    </row>
    <row r="525" spans="1:41">
      <c r="A525" s="6" t="s">
        <v>1089</v>
      </c>
      <c r="B525" s="6" t="s">
        <v>60</v>
      </c>
      <c r="C525" s="41">
        <f t="shared" si="17"/>
        <v>0.67829457364341084</v>
      </c>
      <c r="D525" s="42">
        <f t="shared" si="16"/>
        <v>0</v>
      </c>
      <c r="E525" s="31">
        <v>14</v>
      </c>
      <c r="F525" s="24">
        <v>6</v>
      </c>
      <c r="G525" s="24">
        <v>9</v>
      </c>
      <c r="H525" s="8">
        <v>66.7</v>
      </c>
      <c r="I525" s="8">
        <v>0</v>
      </c>
      <c r="J525" s="8">
        <v>0</v>
      </c>
      <c r="K525" s="8">
        <v>2</v>
      </c>
      <c r="L525" s="25">
        <v>3</v>
      </c>
      <c r="M525" s="8">
        <v>66.7</v>
      </c>
      <c r="N525" s="9">
        <v>4</v>
      </c>
      <c r="O525" s="9">
        <v>4</v>
      </c>
      <c r="P525" s="9">
        <v>8</v>
      </c>
      <c r="Q525" s="25">
        <v>0</v>
      </c>
      <c r="R525" s="24">
        <v>2</v>
      </c>
      <c r="S525" s="8">
        <v>0</v>
      </c>
      <c r="T525" s="8">
        <v>0</v>
      </c>
      <c r="U525" s="9">
        <v>3</v>
      </c>
      <c r="V525" s="8">
        <v>22</v>
      </c>
      <c r="W525" s="8">
        <v>0</v>
      </c>
      <c r="X525" s="8">
        <v>0</v>
      </c>
      <c r="Y525" s="7">
        <v>7</v>
      </c>
      <c r="Z525" s="7">
        <v>117.4</v>
      </c>
      <c r="AA525" s="7">
        <v>104.4</v>
      </c>
      <c r="AB525" s="7">
        <v>12.9</v>
      </c>
      <c r="AC525" s="7">
        <v>0</v>
      </c>
      <c r="AD525" s="7">
        <v>0</v>
      </c>
      <c r="AE525" s="7">
        <v>0</v>
      </c>
      <c r="AF525" s="7">
        <v>12.9</v>
      </c>
      <c r="AG525" s="7">
        <v>20</v>
      </c>
      <c r="AH525" s="7">
        <v>15.7</v>
      </c>
      <c r="AI525" s="7">
        <v>16.7</v>
      </c>
      <c r="AJ525" s="7">
        <v>66.7</v>
      </c>
      <c r="AK525" s="7">
        <v>67.8</v>
      </c>
      <c r="AL525" s="7">
        <v>20</v>
      </c>
      <c r="AM525" s="7">
        <v>97.72</v>
      </c>
      <c r="AN525" s="7">
        <v>14.9</v>
      </c>
      <c r="AO525" s="7">
        <v>46</v>
      </c>
    </row>
    <row r="526" spans="1:41">
      <c r="A526" s="6" t="s">
        <v>1091</v>
      </c>
      <c r="B526" s="6" t="s">
        <v>68</v>
      </c>
      <c r="C526" s="41">
        <f t="shared" si="17"/>
        <v>0.41176470588235292</v>
      </c>
      <c r="D526" s="42">
        <f t="shared" si="16"/>
        <v>0.5</v>
      </c>
      <c r="E526" s="31">
        <v>14</v>
      </c>
      <c r="F526" s="24">
        <v>5</v>
      </c>
      <c r="G526" s="24">
        <v>17</v>
      </c>
      <c r="H526" s="8">
        <v>29.4</v>
      </c>
      <c r="I526" s="9">
        <v>13</v>
      </c>
      <c r="J526" s="8">
        <v>30.8</v>
      </c>
      <c r="K526" s="8">
        <v>0</v>
      </c>
      <c r="L526" s="25">
        <v>0</v>
      </c>
      <c r="M526" s="8">
        <v>0</v>
      </c>
      <c r="N526" s="9">
        <v>2</v>
      </c>
      <c r="O526" s="9">
        <v>3</v>
      </c>
      <c r="P526" s="9">
        <v>5</v>
      </c>
      <c r="Q526" s="24">
        <v>1</v>
      </c>
      <c r="R526" s="24">
        <v>2</v>
      </c>
      <c r="S526" s="8">
        <v>0</v>
      </c>
      <c r="T526" s="9">
        <v>2</v>
      </c>
      <c r="U526" s="9">
        <v>3</v>
      </c>
      <c r="V526" s="8">
        <v>25</v>
      </c>
      <c r="W526" s="8">
        <v>0</v>
      </c>
      <c r="X526" s="8">
        <v>0</v>
      </c>
      <c r="Y526" s="7">
        <v>-1.1000000000000001</v>
      </c>
      <c r="Z526" s="7">
        <v>84.7</v>
      </c>
      <c r="AA526" s="7">
        <v>93.9</v>
      </c>
      <c r="AB526" s="7">
        <v>-9.1999999999999993</v>
      </c>
      <c r="AC526" s="7">
        <v>3.8</v>
      </c>
      <c r="AD526" s="7">
        <v>0.5</v>
      </c>
      <c r="AE526" s="7">
        <v>5</v>
      </c>
      <c r="AF526" s="7">
        <v>3.9</v>
      </c>
      <c r="AG526" s="7">
        <v>5.6</v>
      </c>
      <c r="AH526" s="7">
        <v>4.8</v>
      </c>
      <c r="AI526" s="7">
        <v>10</v>
      </c>
      <c r="AJ526" s="7">
        <v>41.2</v>
      </c>
      <c r="AK526" s="7">
        <v>41.2</v>
      </c>
      <c r="AL526" s="7">
        <v>17.600000000000001</v>
      </c>
      <c r="AM526" s="7">
        <v>109.32</v>
      </c>
      <c r="AN526" s="7">
        <v>2</v>
      </c>
      <c r="AO526" s="7">
        <v>98</v>
      </c>
    </row>
    <row r="527" spans="1:41">
      <c r="A527" s="6" t="s">
        <v>1093</v>
      </c>
      <c r="B527" s="6" t="s">
        <v>74</v>
      </c>
      <c r="C527" s="41">
        <f t="shared" si="17"/>
        <v>0.3170289855072464</v>
      </c>
      <c r="D527" s="42">
        <f t="shared" si="16"/>
        <v>0.33333333333333331</v>
      </c>
      <c r="E527" s="31">
        <v>14</v>
      </c>
      <c r="F527" s="24">
        <v>6</v>
      </c>
      <c r="G527" s="24">
        <v>19</v>
      </c>
      <c r="H527" s="8">
        <v>31.6</v>
      </c>
      <c r="I527" s="9">
        <v>7</v>
      </c>
      <c r="J527" s="8">
        <v>0</v>
      </c>
      <c r="K527" s="8">
        <v>2</v>
      </c>
      <c r="L527" s="25">
        <v>7</v>
      </c>
      <c r="M527" s="8">
        <v>28.6</v>
      </c>
      <c r="N527" s="9">
        <v>2</v>
      </c>
      <c r="O527" s="9">
        <v>13</v>
      </c>
      <c r="P527" s="9">
        <v>15</v>
      </c>
      <c r="Q527" s="24">
        <v>1</v>
      </c>
      <c r="R527" s="24">
        <v>3</v>
      </c>
      <c r="S527" s="9">
        <v>4</v>
      </c>
      <c r="T527" s="9">
        <v>2</v>
      </c>
      <c r="U527" s="9">
        <v>6</v>
      </c>
      <c r="V527" s="8">
        <v>49</v>
      </c>
      <c r="W527" s="8">
        <v>0</v>
      </c>
      <c r="X527" s="8">
        <v>0</v>
      </c>
      <c r="Y527" s="7">
        <v>-5.4</v>
      </c>
      <c r="Z527" s="7">
        <v>81.900000000000006</v>
      </c>
      <c r="AA527" s="7">
        <v>119.3</v>
      </c>
      <c r="AB527" s="7">
        <v>-37.299999999999997</v>
      </c>
      <c r="AC527" s="7">
        <v>2.6</v>
      </c>
      <c r="AD527" s="7">
        <v>0.33</v>
      </c>
      <c r="AE527" s="7">
        <v>3.8</v>
      </c>
      <c r="AF527" s="7">
        <v>2.6</v>
      </c>
      <c r="AG527" s="7">
        <v>22.8</v>
      </c>
      <c r="AH527" s="7">
        <v>11.1</v>
      </c>
      <c r="AI527" s="7">
        <v>11.5</v>
      </c>
      <c r="AJ527" s="7">
        <v>31.6</v>
      </c>
      <c r="AK527" s="7">
        <v>31.7</v>
      </c>
      <c r="AL527" s="7">
        <v>15.3</v>
      </c>
      <c r="AM527" s="7">
        <v>102.24</v>
      </c>
      <c r="AN527" s="7">
        <v>2.7</v>
      </c>
      <c r="AO527" s="7">
        <v>144</v>
      </c>
    </row>
    <row r="528" spans="1:41">
      <c r="A528" s="6" t="s">
        <v>1095</v>
      </c>
      <c r="B528" s="6" t="s">
        <v>66</v>
      </c>
      <c r="C528" s="41">
        <f t="shared" si="17"/>
        <v>0.53030303030303028</v>
      </c>
      <c r="D528" s="42">
        <f t="shared" si="16"/>
        <v>1</v>
      </c>
      <c r="E528" s="31">
        <v>14</v>
      </c>
      <c r="F528" s="24">
        <v>5</v>
      </c>
      <c r="G528" s="24">
        <v>11</v>
      </c>
      <c r="H528" s="8">
        <v>45.5</v>
      </c>
      <c r="I528" s="9">
        <v>5</v>
      </c>
      <c r="J528" s="8">
        <v>20</v>
      </c>
      <c r="K528" s="8">
        <v>2</v>
      </c>
      <c r="L528" s="25">
        <v>5</v>
      </c>
      <c r="M528" s="8">
        <v>50</v>
      </c>
      <c r="N528" s="9">
        <v>2</v>
      </c>
      <c r="O528" s="9">
        <v>8</v>
      </c>
      <c r="P528" s="9">
        <v>8</v>
      </c>
      <c r="Q528" s="24">
        <v>2</v>
      </c>
      <c r="R528" s="24">
        <v>2</v>
      </c>
      <c r="S528" s="9">
        <v>2</v>
      </c>
      <c r="T528" s="9">
        <v>2</v>
      </c>
      <c r="U528" s="9">
        <v>2</v>
      </c>
      <c r="V528" s="8">
        <v>32</v>
      </c>
      <c r="W528" s="8">
        <v>0</v>
      </c>
      <c r="X528" s="8">
        <v>0</v>
      </c>
      <c r="Y528" s="7">
        <v>1.5</v>
      </c>
      <c r="Z528" s="7">
        <v>112</v>
      </c>
      <c r="AA528" s="7">
        <v>92.7</v>
      </c>
      <c r="AB528" s="7">
        <v>19.3</v>
      </c>
      <c r="AC528" s="7">
        <v>2.9</v>
      </c>
      <c r="AD528" s="7">
        <v>1</v>
      </c>
      <c r="AE528" s="7">
        <v>6.7</v>
      </c>
      <c r="AF528" s="7">
        <v>2.2999999999999998</v>
      </c>
      <c r="AG528" s="7">
        <v>14.9</v>
      </c>
      <c r="AH528" s="7">
        <v>8.8000000000000007</v>
      </c>
      <c r="AI528" s="7">
        <v>6.7</v>
      </c>
      <c r="AJ528" s="7">
        <v>50</v>
      </c>
      <c r="AK528" s="7">
        <v>50.9</v>
      </c>
      <c r="AL528" s="7">
        <v>12.2</v>
      </c>
      <c r="AM528" s="7">
        <v>103.01</v>
      </c>
      <c r="AN528" s="7">
        <v>7</v>
      </c>
      <c r="AO528" s="7">
        <v>100</v>
      </c>
    </row>
    <row r="529" spans="1:41">
      <c r="A529" s="6" t="s">
        <v>1097</v>
      </c>
      <c r="B529" s="6" t="s">
        <v>170</v>
      </c>
      <c r="C529" s="41">
        <f t="shared" si="17"/>
        <v>0.35425101214574894</v>
      </c>
      <c r="D529" s="42">
        <f t="shared" si="16"/>
        <v>1</v>
      </c>
      <c r="E529" s="31">
        <v>14</v>
      </c>
      <c r="F529" s="24">
        <v>4</v>
      </c>
      <c r="G529" s="24">
        <v>18</v>
      </c>
      <c r="H529" s="8">
        <v>22.2</v>
      </c>
      <c r="I529" s="9">
        <v>12</v>
      </c>
      <c r="J529" s="8">
        <v>25</v>
      </c>
      <c r="K529" s="8">
        <v>3</v>
      </c>
      <c r="L529" s="25">
        <v>4</v>
      </c>
      <c r="M529" s="8">
        <v>75</v>
      </c>
      <c r="N529" s="9">
        <v>5</v>
      </c>
      <c r="O529" s="9">
        <v>10</v>
      </c>
      <c r="P529" s="9">
        <v>15</v>
      </c>
      <c r="Q529" s="24">
        <v>2</v>
      </c>
      <c r="R529" s="24">
        <v>2</v>
      </c>
      <c r="S529" s="9">
        <v>5</v>
      </c>
      <c r="T529" s="9">
        <v>4</v>
      </c>
      <c r="U529" s="9">
        <v>8</v>
      </c>
      <c r="V529" s="8">
        <v>60</v>
      </c>
      <c r="W529" s="8">
        <v>0</v>
      </c>
      <c r="X529" s="8">
        <v>0</v>
      </c>
      <c r="Y529" s="7">
        <v>-7.3</v>
      </c>
      <c r="Z529" s="7">
        <v>95.7</v>
      </c>
      <c r="AA529" s="7">
        <v>109.2</v>
      </c>
      <c r="AB529" s="7">
        <v>-13.5</v>
      </c>
      <c r="AC529" s="7">
        <v>4</v>
      </c>
      <c r="AD529" s="7">
        <v>1</v>
      </c>
      <c r="AE529" s="7">
        <v>8.3000000000000007</v>
      </c>
      <c r="AF529" s="7">
        <v>5.4</v>
      </c>
      <c r="AG529" s="7">
        <v>11.5</v>
      </c>
      <c r="AH529" s="7">
        <v>8.3000000000000007</v>
      </c>
      <c r="AI529" s="7">
        <v>8.3000000000000007</v>
      </c>
      <c r="AJ529" s="7">
        <v>30.6</v>
      </c>
      <c r="AK529" s="7">
        <v>35.4</v>
      </c>
      <c r="AL529" s="7">
        <v>11.3</v>
      </c>
      <c r="AM529" s="7">
        <v>105</v>
      </c>
      <c r="AN529" s="7">
        <v>3.6</v>
      </c>
      <c r="AO529" s="7">
        <v>163</v>
      </c>
    </row>
    <row r="530" spans="1:41">
      <c r="A530" s="6" t="s">
        <v>1099</v>
      </c>
      <c r="B530" s="6" t="s">
        <v>122</v>
      </c>
      <c r="C530" s="41">
        <f t="shared" si="17"/>
        <v>0.38056206088992978</v>
      </c>
      <c r="D530" s="42">
        <f t="shared" si="16"/>
        <v>0.75</v>
      </c>
      <c r="E530" s="31">
        <v>13</v>
      </c>
      <c r="F530" s="24">
        <v>4</v>
      </c>
      <c r="G530" s="24">
        <v>14</v>
      </c>
      <c r="H530" s="8">
        <v>28.6</v>
      </c>
      <c r="I530" s="9">
        <v>4</v>
      </c>
      <c r="J530" s="8">
        <v>0</v>
      </c>
      <c r="K530" s="8">
        <v>5</v>
      </c>
      <c r="L530" s="25">
        <v>7</v>
      </c>
      <c r="M530" s="8">
        <v>83.3</v>
      </c>
      <c r="N530" s="9">
        <v>3</v>
      </c>
      <c r="O530" s="9">
        <v>1</v>
      </c>
      <c r="P530" s="9">
        <v>3</v>
      </c>
      <c r="Q530" s="24">
        <v>3</v>
      </c>
      <c r="R530" s="24">
        <v>4</v>
      </c>
      <c r="S530" s="9">
        <v>1</v>
      </c>
      <c r="T530" s="8">
        <v>0</v>
      </c>
      <c r="U530" s="9">
        <v>3</v>
      </c>
      <c r="V530" s="8">
        <v>18</v>
      </c>
      <c r="W530" s="8">
        <v>0</v>
      </c>
      <c r="X530" s="8">
        <v>0</v>
      </c>
      <c r="Y530" s="7">
        <v>-0.3</v>
      </c>
      <c r="Z530" s="7">
        <v>89.9</v>
      </c>
      <c r="AA530" s="7">
        <v>97.1</v>
      </c>
      <c r="AB530" s="7">
        <v>-7.2</v>
      </c>
      <c r="AC530" s="7">
        <v>10.5</v>
      </c>
      <c r="AD530" s="7">
        <v>0.5</v>
      </c>
      <c r="AE530" s="7">
        <v>9.1</v>
      </c>
      <c r="AF530" s="7">
        <v>5.6</v>
      </c>
      <c r="AG530" s="7">
        <v>3.4</v>
      </c>
      <c r="AH530" s="7">
        <v>4.5999999999999996</v>
      </c>
      <c r="AI530" s="7">
        <v>18.2</v>
      </c>
      <c r="AJ530" s="7">
        <v>28.6</v>
      </c>
      <c r="AK530" s="7">
        <v>39.1</v>
      </c>
      <c r="AL530" s="7">
        <v>24.4</v>
      </c>
      <c r="AM530" s="7">
        <v>102.7</v>
      </c>
      <c r="AN530" s="7">
        <v>0</v>
      </c>
      <c r="AO530" s="7">
        <v>69</v>
      </c>
    </row>
    <row r="531" spans="1:41">
      <c r="A531" s="6" t="s">
        <v>1101</v>
      </c>
      <c r="B531" s="6" t="s">
        <v>76</v>
      </c>
      <c r="C531" s="41">
        <f t="shared" si="17"/>
        <v>0.2873563218390805</v>
      </c>
      <c r="D531" s="42">
        <f t="shared" si="16"/>
        <v>1</v>
      </c>
      <c r="E531" s="31">
        <v>12</v>
      </c>
      <c r="F531" s="24">
        <v>5</v>
      </c>
      <c r="G531" s="24">
        <v>20</v>
      </c>
      <c r="H531" s="8">
        <v>25</v>
      </c>
      <c r="I531" s="9">
        <v>10</v>
      </c>
      <c r="J531" s="8">
        <v>0</v>
      </c>
      <c r="K531" s="8">
        <v>2</v>
      </c>
      <c r="L531" s="25">
        <v>2</v>
      </c>
      <c r="M531" s="8">
        <v>100</v>
      </c>
      <c r="N531" s="9">
        <v>8</v>
      </c>
      <c r="O531" s="9">
        <v>12</v>
      </c>
      <c r="P531" s="9">
        <v>20</v>
      </c>
      <c r="Q531" s="24">
        <v>8</v>
      </c>
      <c r="R531" s="24">
        <v>8</v>
      </c>
      <c r="S531" s="9">
        <v>1</v>
      </c>
      <c r="T531" s="9">
        <v>1</v>
      </c>
      <c r="U531" s="9">
        <v>6</v>
      </c>
      <c r="V531" s="8">
        <v>46</v>
      </c>
      <c r="W531" s="8">
        <v>0</v>
      </c>
      <c r="X531" s="8">
        <v>0</v>
      </c>
      <c r="Y531" s="7">
        <v>-0.1</v>
      </c>
      <c r="Z531" s="7">
        <v>109.1</v>
      </c>
      <c r="AA531" s="7">
        <v>109.7</v>
      </c>
      <c r="AB531" s="7">
        <v>-0.5</v>
      </c>
      <c r="AC531" s="7">
        <v>11.3</v>
      </c>
      <c r="AD531" s="7">
        <v>1</v>
      </c>
      <c r="AE531" s="7">
        <v>21.6</v>
      </c>
      <c r="AF531" s="7">
        <v>8.4</v>
      </c>
      <c r="AG531" s="7">
        <v>10.8</v>
      </c>
      <c r="AH531" s="7">
        <v>9.6999999999999993</v>
      </c>
      <c r="AI531" s="7">
        <v>21.6</v>
      </c>
      <c r="AJ531" s="7">
        <v>25</v>
      </c>
      <c r="AK531" s="7">
        <v>28.7</v>
      </c>
      <c r="AL531" s="7">
        <v>13.2</v>
      </c>
      <c r="AM531" s="7">
        <v>101.62</v>
      </c>
      <c r="AN531" s="7">
        <v>2.2000000000000002</v>
      </c>
      <c r="AO531" s="7">
        <v>186</v>
      </c>
    </row>
    <row r="532" spans="1:41">
      <c r="A532" s="6" t="s">
        <v>1103</v>
      </c>
      <c r="B532" s="6" t="s">
        <v>88</v>
      </c>
      <c r="C532" s="41">
        <f t="shared" si="17"/>
        <v>0.93537414965986398</v>
      </c>
      <c r="D532" s="42">
        <f t="shared" si="16"/>
        <v>6</v>
      </c>
      <c r="E532" s="31">
        <v>11</v>
      </c>
      <c r="F532" s="24">
        <v>4</v>
      </c>
      <c r="G532" s="24">
        <v>5</v>
      </c>
      <c r="H532" s="8">
        <v>80</v>
      </c>
      <c r="I532" s="9">
        <v>2</v>
      </c>
      <c r="J532" s="8">
        <v>50</v>
      </c>
      <c r="K532" s="8">
        <v>2</v>
      </c>
      <c r="L532" s="25">
        <v>2</v>
      </c>
      <c r="M532" s="8">
        <v>100</v>
      </c>
      <c r="N532" s="9">
        <v>1</v>
      </c>
      <c r="O532" s="9">
        <v>2</v>
      </c>
      <c r="P532" s="9">
        <v>3</v>
      </c>
      <c r="Q532" s="24">
        <v>6</v>
      </c>
      <c r="R532" s="24">
        <v>1</v>
      </c>
      <c r="S532" s="8">
        <v>0</v>
      </c>
      <c r="T532" s="8">
        <v>0</v>
      </c>
      <c r="U532" s="9">
        <v>2</v>
      </c>
      <c r="V532" s="8">
        <v>23</v>
      </c>
      <c r="W532" s="8">
        <v>0</v>
      </c>
      <c r="X532" s="8">
        <v>0</v>
      </c>
      <c r="Y532" s="7">
        <v>-1.2</v>
      </c>
      <c r="Z532" s="7">
        <v>110</v>
      </c>
      <c r="AA532" s="7">
        <v>123.5</v>
      </c>
      <c r="AB532" s="7">
        <v>-13.5</v>
      </c>
      <c r="AC532" s="7">
        <v>23.1</v>
      </c>
      <c r="AD532" s="7">
        <v>6</v>
      </c>
      <c r="AE532" s="7">
        <v>46.2</v>
      </c>
      <c r="AF532" s="7">
        <v>4.2</v>
      </c>
      <c r="AG532" s="7">
        <v>5.9</v>
      </c>
      <c r="AH532" s="7">
        <v>5.2</v>
      </c>
      <c r="AI532" s="7">
        <v>7.7</v>
      </c>
      <c r="AJ532" s="7">
        <v>90</v>
      </c>
      <c r="AK532" s="7">
        <v>93.5</v>
      </c>
      <c r="AL532" s="7">
        <v>9.1999999999999993</v>
      </c>
      <c r="AM532" s="7">
        <v>111.64</v>
      </c>
      <c r="AN532" s="7">
        <v>10</v>
      </c>
      <c r="AO532" s="7">
        <v>70</v>
      </c>
    </row>
    <row r="533" spans="1:41">
      <c r="A533" s="6" t="s">
        <v>1105</v>
      </c>
      <c r="B533" s="6" t="s">
        <v>62</v>
      </c>
      <c r="C533" s="41">
        <f t="shared" si="17"/>
        <v>0.4464285714285714</v>
      </c>
      <c r="D533" s="42">
        <f t="shared" si="16"/>
        <v>0</v>
      </c>
      <c r="E533" s="31">
        <v>11</v>
      </c>
      <c r="F533" s="24">
        <v>4</v>
      </c>
      <c r="G533" s="24">
        <v>11</v>
      </c>
      <c r="H533" s="8">
        <v>36.4</v>
      </c>
      <c r="I533" s="9">
        <v>2</v>
      </c>
      <c r="J533" s="8">
        <v>0</v>
      </c>
      <c r="K533" s="8">
        <v>3</v>
      </c>
      <c r="L533" s="25">
        <v>3</v>
      </c>
      <c r="M533" s="8">
        <v>100</v>
      </c>
      <c r="N533" s="9">
        <v>1</v>
      </c>
      <c r="O533" s="9">
        <v>3</v>
      </c>
      <c r="P533" s="9">
        <v>4</v>
      </c>
      <c r="Q533" s="25">
        <v>0</v>
      </c>
      <c r="R533" s="24">
        <v>1</v>
      </c>
      <c r="S533" s="8">
        <v>0</v>
      </c>
      <c r="T533" s="8">
        <v>0</v>
      </c>
      <c r="U533" s="9">
        <v>4</v>
      </c>
      <c r="V533" s="8">
        <v>15</v>
      </c>
      <c r="W533" s="8">
        <v>0</v>
      </c>
      <c r="X533" s="8">
        <v>0</v>
      </c>
      <c r="Y533" s="7">
        <v>-1</v>
      </c>
      <c r="Z533" s="7">
        <v>88.5</v>
      </c>
      <c r="AA533" s="7">
        <v>101.7</v>
      </c>
      <c r="AB533" s="7">
        <v>-13.2</v>
      </c>
      <c r="AC533" s="7">
        <v>0</v>
      </c>
      <c r="AD533" s="7">
        <v>0</v>
      </c>
      <c r="AE533" s="7">
        <v>0</v>
      </c>
      <c r="AF533" s="7">
        <v>4.2</v>
      </c>
      <c r="AG533" s="7">
        <v>9.6999999999999993</v>
      </c>
      <c r="AH533" s="7">
        <v>7.3</v>
      </c>
      <c r="AI533" s="7">
        <v>7.7</v>
      </c>
      <c r="AJ533" s="7">
        <v>36.4</v>
      </c>
      <c r="AK533" s="7">
        <v>44.6</v>
      </c>
      <c r="AL533" s="7">
        <v>19.399999999999999</v>
      </c>
      <c r="AM533" s="7">
        <v>108.62</v>
      </c>
      <c r="AN533" s="7">
        <v>2.9</v>
      </c>
      <c r="AO533" s="7">
        <v>61</v>
      </c>
    </row>
    <row r="534" spans="1:41">
      <c r="A534" s="6" t="s">
        <v>1107</v>
      </c>
      <c r="B534" s="6" t="s">
        <v>88</v>
      </c>
      <c r="C534" s="41">
        <f t="shared" si="17"/>
        <v>0.56306306306306297</v>
      </c>
      <c r="D534" s="42" t="str">
        <f t="shared" si="16"/>
        <v>NA</v>
      </c>
      <c r="E534" s="31">
        <v>10</v>
      </c>
      <c r="F534" s="24">
        <v>4</v>
      </c>
      <c r="G534" s="24">
        <v>8</v>
      </c>
      <c r="H534" s="8">
        <v>50</v>
      </c>
      <c r="I534" s="9">
        <v>1</v>
      </c>
      <c r="J534" s="8">
        <v>0</v>
      </c>
      <c r="K534" s="8">
        <v>2</v>
      </c>
      <c r="L534" s="25">
        <v>2</v>
      </c>
      <c r="M534" s="8">
        <v>100</v>
      </c>
      <c r="N534" s="9">
        <v>4</v>
      </c>
      <c r="O534" s="9">
        <v>4</v>
      </c>
      <c r="P534" s="9">
        <v>8</v>
      </c>
      <c r="Q534" s="24">
        <v>2</v>
      </c>
      <c r="R534" s="25">
        <v>0</v>
      </c>
      <c r="S534" s="9">
        <v>1</v>
      </c>
      <c r="T534" s="8">
        <v>0</v>
      </c>
      <c r="U534" s="9">
        <v>3</v>
      </c>
      <c r="V534" s="8">
        <v>26</v>
      </c>
      <c r="W534" s="8">
        <v>0</v>
      </c>
      <c r="X534" s="8">
        <v>0</v>
      </c>
      <c r="Y534" s="7">
        <v>-1.3</v>
      </c>
      <c r="Z534" s="7">
        <v>120.4</v>
      </c>
      <c r="AA534" s="7">
        <v>130.4</v>
      </c>
      <c r="AB534" s="7">
        <v>-10</v>
      </c>
      <c r="AC534" s="7">
        <v>10.5</v>
      </c>
      <c r="AD534" s="7">
        <v>0</v>
      </c>
      <c r="AE534" s="7">
        <v>18.2</v>
      </c>
      <c r="AF534" s="7">
        <v>16.7</v>
      </c>
      <c r="AG534" s="7">
        <v>13.8</v>
      </c>
      <c r="AH534" s="7">
        <v>15.1</v>
      </c>
      <c r="AI534" s="7">
        <v>0</v>
      </c>
      <c r="AJ534" s="7">
        <v>50</v>
      </c>
      <c r="AK534" s="7">
        <v>56.3</v>
      </c>
      <c r="AL534" s="7">
        <v>14.3</v>
      </c>
      <c r="AM534" s="7">
        <v>106.74</v>
      </c>
      <c r="AN534" s="7">
        <v>9.1999999999999993</v>
      </c>
      <c r="AO534" s="7">
        <v>54</v>
      </c>
    </row>
    <row r="535" spans="1:41">
      <c r="A535" s="6" t="s">
        <v>1109</v>
      </c>
      <c r="B535" s="6" t="s">
        <v>50</v>
      </c>
      <c r="C535" s="41">
        <f t="shared" si="17"/>
        <v>0.36290322580645162</v>
      </c>
      <c r="D535" s="42">
        <f t="shared" ref="C535:D570" si="18">IFERROR(Q535/R535,"NA")</f>
        <v>0.42857142857142855</v>
      </c>
      <c r="E535" s="31">
        <v>9</v>
      </c>
      <c r="F535" s="24">
        <v>3</v>
      </c>
      <c r="G535" s="24">
        <v>8</v>
      </c>
      <c r="H535" s="8">
        <v>25</v>
      </c>
      <c r="I535" s="9">
        <v>3</v>
      </c>
      <c r="J535" s="8">
        <v>0</v>
      </c>
      <c r="K535" s="8">
        <v>5</v>
      </c>
      <c r="L535" s="25">
        <v>10</v>
      </c>
      <c r="M535" s="8">
        <v>50</v>
      </c>
      <c r="N535" s="9">
        <v>7</v>
      </c>
      <c r="O535" s="9">
        <v>5</v>
      </c>
      <c r="P535" s="9">
        <v>12</v>
      </c>
      <c r="Q535" s="24">
        <v>3</v>
      </c>
      <c r="R535" s="24">
        <v>7</v>
      </c>
      <c r="S535" s="9">
        <v>3</v>
      </c>
      <c r="T535" s="9">
        <v>3</v>
      </c>
      <c r="U535" s="9">
        <v>9</v>
      </c>
      <c r="V535" s="8">
        <v>33</v>
      </c>
      <c r="W535" s="8">
        <v>0</v>
      </c>
      <c r="X535" s="8">
        <v>0</v>
      </c>
      <c r="Y535" s="7">
        <v>-0.4</v>
      </c>
      <c r="Z535" s="7">
        <v>80.3</v>
      </c>
      <c r="AA535" s="7">
        <v>85.6</v>
      </c>
      <c r="AB535" s="7">
        <v>-5.3</v>
      </c>
      <c r="AC535" s="7">
        <v>5.6</v>
      </c>
      <c r="AD535" s="7">
        <v>0.33</v>
      </c>
      <c r="AE535" s="7">
        <v>9.5</v>
      </c>
      <c r="AF535" s="7">
        <v>11.1</v>
      </c>
      <c r="AG535" s="7">
        <v>8.5</v>
      </c>
      <c r="AH535" s="7">
        <v>9.8000000000000007</v>
      </c>
      <c r="AI535" s="7">
        <v>28.6</v>
      </c>
      <c r="AJ535" s="7">
        <v>25</v>
      </c>
      <c r="AK535" s="7">
        <v>36.299999999999997</v>
      </c>
      <c r="AL535" s="7">
        <v>12.8</v>
      </c>
      <c r="AM535" s="7">
        <v>106.17</v>
      </c>
      <c r="AN535" s="7">
        <v>-2.5</v>
      </c>
      <c r="AO535" s="7">
        <v>127</v>
      </c>
    </row>
    <row r="536" spans="1:41">
      <c r="A536" s="13" t="s">
        <v>1111</v>
      </c>
      <c r="B536" s="6" t="s">
        <v>64</v>
      </c>
      <c r="C536" s="41">
        <f t="shared" si="17"/>
        <v>0.6428571428571429</v>
      </c>
      <c r="D536" s="42">
        <f t="shared" si="18"/>
        <v>0</v>
      </c>
      <c r="E536" s="31">
        <v>9</v>
      </c>
      <c r="F536" s="24">
        <v>3</v>
      </c>
      <c r="G536" s="24">
        <v>7</v>
      </c>
      <c r="H536" s="8">
        <v>42.9</v>
      </c>
      <c r="I536" s="9">
        <v>6</v>
      </c>
      <c r="J536" s="8">
        <v>50</v>
      </c>
      <c r="K536" s="8">
        <v>0</v>
      </c>
      <c r="L536" s="25">
        <v>0</v>
      </c>
      <c r="M536" s="8">
        <v>0</v>
      </c>
      <c r="N536" s="9">
        <v>4</v>
      </c>
      <c r="O536" s="9">
        <v>4</v>
      </c>
      <c r="P536" s="9">
        <v>8</v>
      </c>
      <c r="Q536" s="25">
        <v>0</v>
      </c>
      <c r="R536" s="24">
        <v>1</v>
      </c>
      <c r="S536" s="9">
        <v>1</v>
      </c>
      <c r="T536" s="9">
        <v>1</v>
      </c>
      <c r="U536" s="9">
        <v>8</v>
      </c>
      <c r="V536" s="8">
        <v>24</v>
      </c>
      <c r="W536" s="8">
        <v>0</v>
      </c>
      <c r="X536" s="8">
        <v>0</v>
      </c>
      <c r="Y536" s="7">
        <v>-7.3</v>
      </c>
      <c r="Z536" s="7">
        <v>106.1</v>
      </c>
      <c r="AA536" s="7">
        <v>127.4</v>
      </c>
      <c r="AB536" s="7">
        <v>-21.3</v>
      </c>
      <c r="AC536" s="7">
        <v>0</v>
      </c>
      <c r="AD536" s="7">
        <v>0</v>
      </c>
      <c r="AE536" s="7">
        <v>0</v>
      </c>
      <c r="AF536" s="7">
        <v>6.2</v>
      </c>
      <c r="AG536" s="7">
        <v>10.3</v>
      </c>
      <c r="AH536" s="7">
        <v>7.7</v>
      </c>
      <c r="AI536" s="7">
        <v>12.5</v>
      </c>
      <c r="AJ536" s="7">
        <v>64.3</v>
      </c>
      <c r="AK536" s="7">
        <v>64.3</v>
      </c>
      <c r="AL536" s="7">
        <v>5.9</v>
      </c>
      <c r="AM536" s="7">
        <v>94.56</v>
      </c>
      <c r="AN536" s="7">
        <v>1.5</v>
      </c>
      <c r="AO536" s="7">
        <v>115</v>
      </c>
    </row>
    <row r="537" spans="1:41">
      <c r="A537" s="6" t="s">
        <v>1113</v>
      </c>
      <c r="B537" s="6" t="s">
        <v>54</v>
      </c>
      <c r="C537" s="41">
        <f t="shared" si="17"/>
        <v>0.51369863013698636</v>
      </c>
      <c r="D537" s="42">
        <f t="shared" si="18"/>
        <v>0</v>
      </c>
      <c r="E537" s="31">
        <v>9</v>
      </c>
      <c r="F537" s="24">
        <v>2</v>
      </c>
      <c r="G537" s="24">
        <v>7</v>
      </c>
      <c r="H537" s="8">
        <v>28.6</v>
      </c>
      <c r="I537" s="9">
        <v>7</v>
      </c>
      <c r="J537" s="8">
        <v>28.6</v>
      </c>
      <c r="K537" s="8">
        <v>3</v>
      </c>
      <c r="L537" s="25">
        <v>4</v>
      </c>
      <c r="M537" s="8">
        <v>75</v>
      </c>
      <c r="N537" s="8">
        <v>0</v>
      </c>
      <c r="O537" s="9">
        <v>4</v>
      </c>
      <c r="P537" s="9">
        <v>4</v>
      </c>
      <c r="Q537" s="25">
        <v>0</v>
      </c>
      <c r="R537" s="24">
        <v>4</v>
      </c>
      <c r="S537" s="8">
        <v>0</v>
      </c>
      <c r="T537" s="8">
        <v>0</v>
      </c>
      <c r="U537" s="8">
        <v>0</v>
      </c>
      <c r="V537" s="8">
        <v>10</v>
      </c>
      <c r="W537" s="8">
        <v>0</v>
      </c>
      <c r="X537" s="8">
        <v>0</v>
      </c>
      <c r="Y537" s="7">
        <v>0.9</v>
      </c>
      <c r="Z537" s="7">
        <v>98.4</v>
      </c>
      <c r="AA537" s="7">
        <v>88.7</v>
      </c>
      <c r="AB537" s="7">
        <v>9.6999999999999993</v>
      </c>
      <c r="AC537" s="7">
        <v>0</v>
      </c>
      <c r="AD537" s="7">
        <v>0</v>
      </c>
      <c r="AE537" s="7">
        <v>0</v>
      </c>
      <c r="AF537" s="7">
        <v>0</v>
      </c>
      <c r="AG537" s="7">
        <v>12.1</v>
      </c>
      <c r="AH537" s="7">
        <v>6.2</v>
      </c>
      <c r="AI537" s="7">
        <v>30.8</v>
      </c>
      <c r="AJ537" s="7">
        <v>42.9</v>
      </c>
      <c r="AK537" s="7">
        <v>51.4</v>
      </c>
      <c r="AL537" s="7">
        <v>19.7</v>
      </c>
      <c r="AM537" s="7">
        <v>98.77</v>
      </c>
      <c r="AN537" s="7">
        <v>2.6</v>
      </c>
      <c r="AO537" s="7">
        <v>63</v>
      </c>
    </row>
    <row r="538" spans="1:41">
      <c r="A538" s="6" t="s">
        <v>1115</v>
      </c>
      <c r="B538" s="6" t="s">
        <v>88</v>
      </c>
      <c r="C538" s="41">
        <f t="shared" si="17"/>
        <v>0.5714285714285714</v>
      </c>
      <c r="D538" s="42">
        <f t="shared" si="18"/>
        <v>1</v>
      </c>
      <c r="E538" s="31">
        <v>8</v>
      </c>
      <c r="F538" s="24">
        <v>4</v>
      </c>
      <c r="G538" s="24">
        <v>7</v>
      </c>
      <c r="H538" s="8">
        <v>57.1</v>
      </c>
      <c r="I538" s="8">
        <v>0</v>
      </c>
      <c r="J538" s="8">
        <v>0</v>
      </c>
      <c r="K538" s="8">
        <v>0</v>
      </c>
      <c r="L538" s="25">
        <v>0</v>
      </c>
      <c r="M538" s="8">
        <v>0</v>
      </c>
      <c r="N538" s="9">
        <v>5</v>
      </c>
      <c r="O538" s="9">
        <v>1</v>
      </c>
      <c r="P538" s="9">
        <v>6</v>
      </c>
      <c r="Q538" s="24">
        <v>1</v>
      </c>
      <c r="R538" s="24">
        <v>1</v>
      </c>
      <c r="S538" s="8">
        <v>0</v>
      </c>
      <c r="T538" s="8">
        <v>0</v>
      </c>
      <c r="U538" s="9">
        <v>1</v>
      </c>
      <c r="V538" s="8">
        <v>16</v>
      </c>
      <c r="W538" s="8">
        <v>0</v>
      </c>
      <c r="X538" s="8">
        <v>0</v>
      </c>
      <c r="Y538" s="7">
        <v>-1.3</v>
      </c>
      <c r="Z538" s="7">
        <v>104.2</v>
      </c>
      <c r="AA538" s="7">
        <v>122.2</v>
      </c>
      <c r="AB538" s="7">
        <v>-18.100000000000001</v>
      </c>
      <c r="AC538" s="7">
        <v>6.7</v>
      </c>
      <c r="AD538" s="7">
        <v>1</v>
      </c>
      <c r="AE538" s="7">
        <v>11.1</v>
      </c>
      <c r="AF538" s="7">
        <v>21.7</v>
      </c>
      <c r="AG538" s="7">
        <v>5.3</v>
      </c>
      <c r="AH538" s="7">
        <v>14.3</v>
      </c>
      <c r="AI538" s="7">
        <v>11.1</v>
      </c>
      <c r="AJ538" s="7">
        <v>57.1</v>
      </c>
      <c r="AK538" s="7">
        <v>57.1</v>
      </c>
      <c r="AL538" s="7">
        <v>14.5</v>
      </c>
      <c r="AM538" s="7">
        <v>103.82</v>
      </c>
      <c r="AN538" s="7">
        <v>7.8</v>
      </c>
      <c r="AO538" s="7">
        <v>48</v>
      </c>
    </row>
    <row r="539" spans="1:41">
      <c r="A539" s="6" t="s">
        <v>1117</v>
      </c>
      <c r="B539" s="6" t="s">
        <v>84</v>
      </c>
      <c r="C539" s="41">
        <f t="shared" si="17"/>
        <v>0.34965034965034969</v>
      </c>
      <c r="D539" s="42">
        <f t="shared" si="18"/>
        <v>1</v>
      </c>
      <c r="E539" s="31">
        <v>8</v>
      </c>
      <c r="F539" s="24">
        <v>4</v>
      </c>
      <c r="G539" s="24">
        <v>11</v>
      </c>
      <c r="H539" s="8">
        <v>36.4</v>
      </c>
      <c r="I539" s="9">
        <v>4</v>
      </c>
      <c r="J539" s="8">
        <v>0</v>
      </c>
      <c r="K539" s="8">
        <v>0</v>
      </c>
      <c r="L539" s="25">
        <v>1</v>
      </c>
      <c r="M539" s="8">
        <v>0</v>
      </c>
      <c r="N539" s="8">
        <v>0</v>
      </c>
      <c r="O539" s="9">
        <v>6</v>
      </c>
      <c r="P539" s="9">
        <v>6</v>
      </c>
      <c r="Q539" s="24">
        <v>4</v>
      </c>
      <c r="R539" s="24">
        <v>4</v>
      </c>
      <c r="S539" s="8">
        <v>0</v>
      </c>
      <c r="T539" s="9">
        <v>2</v>
      </c>
      <c r="U539" s="9">
        <v>5</v>
      </c>
      <c r="V539" s="8">
        <v>23</v>
      </c>
      <c r="W539" s="8">
        <v>0</v>
      </c>
      <c r="X539" s="8">
        <v>0</v>
      </c>
      <c r="Y539" s="7">
        <v>-0.8</v>
      </c>
      <c r="Z539" s="7">
        <v>97.4</v>
      </c>
      <c r="AA539" s="7">
        <v>110.5</v>
      </c>
      <c r="AB539" s="7">
        <v>-13.1</v>
      </c>
      <c r="AC539" s="7">
        <v>16</v>
      </c>
      <c r="AD539" s="7">
        <v>1</v>
      </c>
      <c r="AE539" s="7">
        <v>21.1</v>
      </c>
      <c r="AF539" s="7">
        <v>0</v>
      </c>
      <c r="AG539" s="7">
        <v>17.600000000000001</v>
      </c>
      <c r="AH539" s="7">
        <v>8.6999999999999993</v>
      </c>
      <c r="AI539" s="7">
        <v>21.1</v>
      </c>
      <c r="AJ539" s="7">
        <v>36.4</v>
      </c>
      <c r="AK539" s="7">
        <v>35</v>
      </c>
      <c r="AL539" s="7">
        <v>16.5</v>
      </c>
      <c r="AM539" s="7">
        <v>100.28</v>
      </c>
      <c r="AN539" s="7">
        <v>1.5</v>
      </c>
      <c r="AO539" s="7">
        <v>77</v>
      </c>
    </row>
    <row r="540" spans="1:41">
      <c r="A540" s="6" t="s">
        <v>1119</v>
      </c>
      <c r="B540" s="6" t="s">
        <v>64</v>
      </c>
      <c r="C540" s="41">
        <f t="shared" si="17"/>
        <v>0.44444444444444442</v>
      </c>
      <c r="D540" s="42">
        <f t="shared" si="18"/>
        <v>1</v>
      </c>
      <c r="E540" s="31">
        <v>8</v>
      </c>
      <c r="F540" s="24">
        <v>4</v>
      </c>
      <c r="G540" s="24">
        <v>9</v>
      </c>
      <c r="H540" s="8">
        <v>44.4</v>
      </c>
      <c r="I540" s="9">
        <v>1</v>
      </c>
      <c r="J540" s="8">
        <v>0</v>
      </c>
      <c r="K540" s="8">
        <v>0</v>
      </c>
      <c r="L540" s="25">
        <v>0</v>
      </c>
      <c r="M540" s="8">
        <v>0</v>
      </c>
      <c r="N540" s="9">
        <v>1</v>
      </c>
      <c r="O540" s="9">
        <v>2</v>
      </c>
      <c r="P540" s="9">
        <v>3</v>
      </c>
      <c r="Q540" s="24">
        <v>2</v>
      </c>
      <c r="R540" s="24">
        <v>2</v>
      </c>
      <c r="S540" s="9">
        <v>1</v>
      </c>
      <c r="T540" s="8">
        <v>0</v>
      </c>
      <c r="U540" s="9">
        <v>3</v>
      </c>
      <c r="V540" s="8">
        <v>15</v>
      </c>
      <c r="W540" s="8">
        <v>0</v>
      </c>
      <c r="X540" s="8">
        <v>0</v>
      </c>
      <c r="Y540" s="7">
        <v>-1</v>
      </c>
      <c r="Z540" s="7">
        <v>103.9</v>
      </c>
      <c r="AA540" s="7">
        <v>119.2</v>
      </c>
      <c r="AB540" s="7">
        <v>-15.3</v>
      </c>
      <c r="AC540" s="7">
        <v>12.5</v>
      </c>
      <c r="AD540" s="7">
        <v>1</v>
      </c>
      <c r="AE540" s="7">
        <v>15.4</v>
      </c>
      <c r="AF540" s="7">
        <v>5</v>
      </c>
      <c r="AG540" s="7">
        <v>11.8</v>
      </c>
      <c r="AH540" s="7">
        <v>8.1</v>
      </c>
      <c r="AI540" s="7">
        <v>15.4</v>
      </c>
      <c r="AJ540" s="7">
        <v>44.4</v>
      </c>
      <c r="AK540" s="7">
        <v>44.4</v>
      </c>
      <c r="AL540" s="7">
        <v>19.3</v>
      </c>
      <c r="AM540" s="7">
        <v>111.52</v>
      </c>
      <c r="AN540" s="7">
        <v>3.3</v>
      </c>
      <c r="AO540" s="7">
        <v>51</v>
      </c>
    </row>
    <row r="541" spans="1:41">
      <c r="A541" s="6" t="s">
        <v>1121</v>
      </c>
      <c r="B541" s="6" t="s">
        <v>116</v>
      </c>
      <c r="C541" s="41">
        <f t="shared" si="17"/>
        <v>0.18281535648994515</v>
      </c>
      <c r="D541" s="42">
        <f t="shared" si="18"/>
        <v>2</v>
      </c>
      <c r="E541" s="31">
        <v>8</v>
      </c>
      <c r="F541" s="24">
        <v>3</v>
      </c>
      <c r="G541" s="24">
        <v>21</v>
      </c>
      <c r="H541" s="8">
        <v>14.3</v>
      </c>
      <c r="I541" s="9">
        <v>10</v>
      </c>
      <c r="J541" s="8">
        <v>0</v>
      </c>
      <c r="K541" s="8">
        <v>2</v>
      </c>
      <c r="L541" s="25">
        <v>2</v>
      </c>
      <c r="M541" s="8">
        <v>100</v>
      </c>
      <c r="N541" s="9">
        <v>2</v>
      </c>
      <c r="O541" s="9">
        <v>6</v>
      </c>
      <c r="P541" s="9">
        <v>8</v>
      </c>
      <c r="Q541" s="24">
        <v>2</v>
      </c>
      <c r="R541" s="24">
        <v>1</v>
      </c>
      <c r="S541" s="9">
        <v>1</v>
      </c>
      <c r="T541" s="9">
        <v>2</v>
      </c>
      <c r="U541" s="9">
        <v>1</v>
      </c>
      <c r="V541" s="8">
        <v>29</v>
      </c>
      <c r="W541" s="8">
        <v>0</v>
      </c>
      <c r="X541" s="8">
        <v>0</v>
      </c>
      <c r="Y541" s="7">
        <v>2.6</v>
      </c>
      <c r="Z541" s="7">
        <v>110</v>
      </c>
      <c r="AA541" s="7">
        <v>96.6</v>
      </c>
      <c r="AB541" s="7">
        <v>13.4</v>
      </c>
      <c r="AC541" s="7">
        <v>6.5</v>
      </c>
      <c r="AD541" s="7">
        <v>2</v>
      </c>
      <c r="AE541" s="7">
        <v>8</v>
      </c>
      <c r="AF541" s="7">
        <v>3.6</v>
      </c>
      <c r="AG541" s="7">
        <v>12.5</v>
      </c>
      <c r="AH541" s="7">
        <v>7.7</v>
      </c>
      <c r="AI541" s="7">
        <v>4</v>
      </c>
      <c r="AJ541" s="7">
        <v>14.3</v>
      </c>
      <c r="AK541" s="7">
        <v>18.3</v>
      </c>
      <c r="AL541" s="7">
        <v>22.1</v>
      </c>
      <c r="AM541" s="7">
        <v>96.76</v>
      </c>
      <c r="AN541" s="7">
        <v>-0.5</v>
      </c>
      <c r="AO541" s="7">
        <v>90</v>
      </c>
    </row>
    <row r="542" spans="1:41">
      <c r="A542" s="6" t="s">
        <v>1123</v>
      </c>
      <c r="B542" s="6" t="s">
        <v>52</v>
      </c>
      <c r="C542" s="41">
        <f t="shared" si="17"/>
        <v>0.35425101214574894</v>
      </c>
      <c r="D542" s="42" t="str">
        <f t="shared" si="18"/>
        <v>NA</v>
      </c>
      <c r="E542" s="31">
        <v>7</v>
      </c>
      <c r="F542" s="24">
        <v>2</v>
      </c>
      <c r="G542" s="24">
        <v>9</v>
      </c>
      <c r="H542" s="8">
        <v>22.2</v>
      </c>
      <c r="I542" s="9">
        <v>7</v>
      </c>
      <c r="J542" s="8">
        <v>28.6</v>
      </c>
      <c r="K542" s="8">
        <v>1</v>
      </c>
      <c r="L542" s="25">
        <v>2</v>
      </c>
      <c r="M542" s="8">
        <v>50</v>
      </c>
      <c r="N542" s="9">
        <v>2</v>
      </c>
      <c r="O542" s="9">
        <v>7</v>
      </c>
      <c r="P542" s="9">
        <v>9</v>
      </c>
      <c r="Q542" s="25">
        <v>0</v>
      </c>
      <c r="R542" s="25">
        <v>0</v>
      </c>
      <c r="S542" s="9">
        <v>2</v>
      </c>
      <c r="T542" s="9">
        <v>1</v>
      </c>
      <c r="U542" s="8">
        <v>0</v>
      </c>
      <c r="V542" s="8">
        <v>27</v>
      </c>
      <c r="W542" s="8">
        <v>0</v>
      </c>
      <c r="X542" s="8">
        <v>0</v>
      </c>
      <c r="Y542" s="7">
        <v>-4.7</v>
      </c>
      <c r="Z542" s="7">
        <v>87.7</v>
      </c>
      <c r="AA542" s="7">
        <v>110.9</v>
      </c>
      <c r="AB542" s="7">
        <v>-23.2</v>
      </c>
      <c r="AC542" s="7">
        <v>0</v>
      </c>
      <c r="AD542" s="7">
        <v>0</v>
      </c>
      <c r="AE542" s="7">
        <v>0</v>
      </c>
      <c r="AF542" s="7">
        <v>4.8</v>
      </c>
      <c r="AG542" s="7">
        <v>17.100000000000001</v>
      </c>
      <c r="AH542" s="7">
        <v>10.8</v>
      </c>
      <c r="AI542" s="7">
        <v>0</v>
      </c>
      <c r="AJ542" s="7">
        <v>33.299999999999997</v>
      </c>
      <c r="AK542" s="7">
        <v>35.4</v>
      </c>
      <c r="AL542" s="7">
        <v>12.7</v>
      </c>
      <c r="AM542" s="7">
        <v>88.67</v>
      </c>
      <c r="AN542" s="7">
        <v>8.8000000000000007</v>
      </c>
      <c r="AO542" s="7">
        <v>65</v>
      </c>
    </row>
    <row r="543" spans="1:41">
      <c r="A543" s="6" t="s">
        <v>1125</v>
      </c>
      <c r="B543" s="6" t="s">
        <v>60</v>
      </c>
      <c r="C543" s="41">
        <f t="shared" si="17"/>
        <v>0.3216911764705882</v>
      </c>
      <c r="D543" s="42">
        <f t="shared" si="18"/>
        <v>3</v>
      </c>
      <c r="E543" s="31">
        <v>7</v>
      </c>
      <c r="F543" s="24">
        <v>3</v>
      </c>
      <c r="G543" s="24">
        <v>10</v>
      </c>
      <c r="H543" s="8">
        <v>30</v>
      </c>
      <c r="I543" s="9">
        <v>7</v>
      </c>
      <c r="J543" s="8">
        <v>14.3</v>
      </c>
      <c r="K543" s="8">
        <v>0</v>
      </c>
      <c r="L543" s="25">
        <v>2</v>
      </c>
      <c r="M543" s="8">
        <v>0</v>
      </c>
      <c r="N543" s="8">
        <v>0</v>
      </c>
      <c r="O543" s="9">
        <v>2</v>
      </c>
      <c r="P543" s="9">
        <v>2</v>
      </c>
      <c r="Q543" s="24">
        <v>3</v>
      </c>
      <c r="R543" s="24">
        <v>1</v>
      </c>
      <c r="S543" s="8">
        <v>0</v>
      </c>
      <c r="T543" s="8">
        <v>0</v>
      </c>
      <c r="U543" s="9">
        <v>2</v>
      </c>
      <c r="V543" s="8">
        <v>13</v>
      </c>
      <c r="W543" s="8">
        <v>0</v>
      </c>
      <c r="X543" s="8">
        <v>0</v>
      </c>
      <c r="Y543" s="7">
        <v>-1.3</v>
      </c>
      <c r="Z543" s="7">
        <v>102.3</v>
      </c>
      <c r="AA543" s="7">
        <v>108.2</v>
      </c>
      <c r="AB543" s="7">
        <v>-5.8</v>
      </c>
      <c r="AC543" s="7">
        <v>20</v>
      </c>
      <c r="AD543" s="7">
        <v>3</v>
      </c>
      <c r="AE543" s="7">
        <v>20</v>
      </c>
      <c r="AF543" s="7">
        <v>0</v>
      </c>
      <c r="AG543" s="7">
        <v>18.2</v>
      </c>
      <c r="AH543" s="7">
        <v>5.4</v>
      </c>
      <c r="AI543" s="7">
        <v>6.7</v>
      </c>
      <c r="AJ543" s="7">
        <v>35</v>
      </c>
      <c r="AK543" s="7">
        <v>32.200000000000003</v>
      </c>
      <c r="AL543" s="7">
        <v>23.1</v>
      </c>
      <c r="AM543" s="7">
        <v>97.06</v>
      </c>
      <c r="AN543" s="7">
        <v>0</v>
      </c>
      <c r="AO543" s="7">
        <v>43</v>
      </c>
    </row>
    <row r="544" spans="1:41">
      <c r="A544" s="6" t="s">
        <v>1127</v>
      </c>
      <c r="B544" s="6" t="s">
        <v>46</v>
      </c>
      <c r="C544" s="41">
        <f t="shared" si="17"/>
        <v>0.62056737588652477</v>
      </c>
      <c r="D544" s="42">
        <f t="shared" si="18"/>
        <v>5</v>
      </c>
      <c r="E544" s="31">
        <v>7</v>
      </c>
      <c r="F544" s="24">
        <v>2</v>
      </c>
      <c r="G544" s="24">
        <v>3</v>
      </c>
      <c r="H544" s="8">
        <v>66.7</v>
      </c>
      <c r="I544" s="9">
        <v>3</v>
      </c>
      <c r="J544" s="8">
        <v>66.7</v>
      </c>
      <c r="K544" s="8">
        <v>1</v>
      </c>
      <c r="L544" s="25">
        <v>6</v>
      </c>
      <c r="M544" s="8">
        <v>16.7</v>
      </c>
      <c r="N544" s="9">
        <v>1</v>
      </c>
      <c r="O544" s="9">
        <v>4</v>
      </c>
      <c r="P544" s="9">
        <v>5</v>
      </c>
      <c r="Q544" s="24">
        <v>5</v>
      </c>
      <c r="R544" s="24">
        <v>1</v>
      </c>
      <c r="S544" s="9">
        <v>1</v>
      </c>
      <c r="T544" s="8">
        <v>0</v>
      </c>
      <c r="U544" s="9">
        <v>3</v>
      </c>
      <c r="V544" s="8">
        <v>23</v>
      </c>
      <c r="W544" s="8">
        <v>0</v>
      </c>
      <c r="X544" s="8">
        <v>0</v>
      </c>
      <c r="Y544" s="7">
        <v>-0.4</v>
      </c>
      <c r="Z544" s="7">
        <v>98.8</v>
      </c>
      <c r="AA544" s="7">
        <v>107.8</v>
      </c>
      <c r="AB544" s="7">
        <v>-9</v>
      </c>
      <c r="AC544" s="7">
        <v>16.7</v>
      </c>
      <c r="AD544" s="7">
        <v>5</v>
      </c>
      <c r="AE544" s="7">
        <v>41.7</v>
      </c>
      <c r="AF544" s="7">
        <v>4</v>
      </c>
      <c r="AG544" s="7">
        <v>12.5</v>
      </c>
      <c r="AH544" s="7">
        <v>8.8000000000000007</v>
      </c>
      <c r="AI544" s="7">
        <v>8.3000000000000007</v>
      </c>
      <c r="AJ544" s="7">
        <v>100</v>
      </c>
      <c r="AK544" s="7">
        <v>62.1</v>
      </c>
      <c r="AL544" s="7">
        <v>8.1999999999999993</v>
      </c>
      <c r="AM544" s="7">
        <v>107.91</v>
      </c>
      <c r="AN544" s="7">
        <v>5.4</v>
      </c>
      <c r="AO544" s="7">
        <v>80</v>
      </c>
    </row>
    <row r="545" spans="1:41">
      <c r="A545" s="6" t="s">
        <v>1129</v>
      </c>
      <c r="B545" s="6" t="s">
        <v>84</v>
      </c>
      <c r="C545" s="41">
        <f t="shared" si="17"/>
        <v>0.61475409836065575</v>
      </c>
      <c r="D545" s="42" t="str">
        <f t="shared" si="18"/>
        <v>NA</v>
      </c>
      <c r="E545" s="31">
        <v>6</v>
      </c>
      <c r="F545" s="24">
        <v>2</v>
      </c>
      <c r="G545" s="24">
        <v>4</v>
      </c>
      <c r="H545" s="8">
        <v>50</v>
      </c>
      <c r="I545" s="9">
        <v>1</v>
      </c>
      <c r="J545" s="8">
        <v>0</v>
      </c>
      <c r="K545" s="8">
        <v>2</v>
      </c>
      <c r="L545" s="25">
        <v>2</v>
      </c>
      <c r="M545" s="8">
        <v>100</v>
      </c>
      <c r="N545" s="8">
        <v>0</v>
      </c>
      <c r="O545" s="9">
        <v>1</v>
      </c>
      <c r="P545" s="9">
        <v>1</v>
      </c>
      <c r="Q545" s="25">
        <v>0</v>
      </c>
      <c r="R545" s="25">
        <v>0</v>
      </c>
      <c r="S545" s="8">
        <v>0</v>
      </c>
      <c r="T545" s="8">
        <v>0</v>
      </c>
      <c r="U545" s="8">
        <v>0</v>
      </c>
      <c r="V545" s="8">
        <v>7</v>
      </c>
      <c r="W545" s="8">
        <v>0</v>
      </c>
      <c r="X545" s="8">
        <v>0</v>
      </c>
      <c r="Y545" s="7">
        <v>-4</v>
      </c>
      <c r="Z545" s="7">
        <v>118.2</v>
      </c>
      <c r="AA545" s="7">
        <v>141.69999999999999</v>
      </c>
      <c r="AB545" s="7">
        <v>-23.5</v>
      </c>
      <c r="AC545" s="7">
        <v>0</v>
      </c>
      <c r="AD545" s="7">
        <v>0</v>
      </c>
      <c r="AE545" s="7">
        <v>0</v>
      </c>
      <c r="AF545" s="7">
        <v>0</v>
      </c>
      <c r="AG545" s="7">
        <v>25</v>
      </c>
      <c r="AH545" s="7">
        <v>12.5</v>
      </c>
      <c r="AI545" s="7">
        <v>0</v>
      </c>
      <c r="AJ545" s="7">
        <v>50</v>
      </c>
      <c r="AK545" s="7">
        <v>61.5</v>
      </c>
      <c r="AL545" s="7">
        <v>45.5</v>
      </c>
      <c r="AM545" s="7">
        <v>119.14</v>
      </c>
      <c r="AN545" s="7">
        <v>15.6</v>
      </c>
      <c r="AO545" s="7">
        <v>11</v>
      </c>
    </row>
    <row r="546" spans="1:41">
      <c r="A546" s="13" t="s">
        <v>1131</v>
      </c>
      <c r="B546" s="6" t="s">
        <v>64</v>
      </c>
      <c r="C546" s="41">
        <f t="shared" si="17"/>
        <v>0.38071065989847719</v>
      </c>
      <c r="D546" s="42" t="str">
        <f t="shared" si="18"/>
        <v>NA</v>
      </c>
      <c r="E546" s="31">
        <v>6</v>
      </c>
      <c r="F546" s="24">
        <v>2</v>
      </c>
      <c r="G546" s="24">
        <v>7</v>
      </c>
      <c r="H546" s="8">
        <v>28.6</v>
      </c>
      <c r="I546" s="9">
        <v>1</v>
      </c>
      <c r="J546" s="8">
        <v>0</v>
      </c>
      <c r="K546" s="8">
        <v>2</v>
      </c>
      <c r="L546" s="25">
        <v>2</v>
      </c>
      <c r="M546" s="8">
        <v>100</v>
      </c>
      <c r="N546" s="8">
        <v>0</v>
      </c>
      <c r="O546" s="9">
        <v>8</v>
      </c>
      <c r="P546" s="9">
        <v>8</v>
      </c>
      <c r="Q546" s="24">
        <v>2</v>
      </c>
      <c r="R546" s="25">
        <v>0</v>
      </c>
      <c r="S546" s="9">
        <v>1</v>
      </c>
      <c r="T546" s="9">
        <v>1</v>
      </c>
      <c r="U546" s="9">
        <v>6</v>
      </c>
      <c r="V546" s="8">
        <v>25</v>
      </c>
      <c r="W546" s="8">
        <v>0</v>
      </c>
      <c r="X546" s="8">
        <v>0</v>
      </c>
      <c r="Y546" s="7">
        <v>-0.5</v>
      </c>
      <c r="Z546" s="7">
        <v>93.8</v>
      </c>
      <c r="AA546" s="7">
        <v>96.9</v>
      </c>
      <c r="AB546" s="7">
        <v>-3.1</v>
      </c>
      <c r="AC546" s="7">
        <v>11.1</v>
      </c>
      <c r="AD546" s="7">
        <v>0</v>
      </c>
      <c r="AE546" s="7">
        <v>20</v>
      </c>
      <c r="AF546" s="7">
        <v>0</v>
      </c>
      <c r="AG546" s="7">
        <v>28.6</v>
      </c>
      <c r="AH546" s="7">
        <v>15.1</v>
      </c>
      <c r="AI546" s="7">
        <v>0</v>
      </c>
      <c r="AJ546" s="7">
        <v>28.6</v>
      </c>
      <c r="AK546" s="7">
        <v>38.1</v>
      </c>
      <c r="AL546" s="7">
        <v>11.8</v>
      </c>
      <c r="AM546" s="7">
        <v>105.33</v>
      </c>
      <c r="AN546" s="7">
        <v>6.6</v>
      </c>
      <c r="AO546" s="7">
        <v>64</v>
      </c>
    </row>
    <row r="547" spans="1:41">
      <c r="A547" s="6" t="s">
        <v>1133</v>
      </c>
      <c r="B547" s="6" t="s">
        <v>116</v>
      </c>
      <c r="C547" s="41">
        <f t="shared" si="17"/>
        <v>0.38071065989847719</v>
      </c>
      <c r="D547" s="42" t="str">
        <f t="shared" si="18"/>
        <v>NA</v>
      </c>
      <c r="E547" s="31">
        <v>6</v>
      </c>
      <c r="F547" s="24">
        <v>2</v>
      </c>
      <c r="G547" s="24">
        <v>7</v>
      </c>
      <c r="H547" s="8">
        <v>28.6</v>
      </c>
      <c r="I547" s="9">
        <v>3</v>
      </c>
      <c r="J547" s="8">
        <v>33.299999999999997</v>
      </c>
      <c r="K547" s="8">
        <v>1</v>
      </c>
      <c r="L547" s="25">
        <v>2</v>
      </c>
      <c r="M547" s="8">
        <v>50</v>
      </c>
      <c r="N547" s="9">
        <v>1</v>
      </c>
      <c r="O547" s="9">
        <v>3</v>
      </c>
      <c r="P547" s="9">
        <v>4</v>
      </c>
      <c r="Q547" s="24">
        <v>5</v>
      </c>
      <c r="R547" s="25">
        <v>0</v>
      </c>
      <c r="S547" s="9">
        <v>1</v>
      </c>
      <c r="T547" s="9">
        <v>1</v>
      </c>
      <c r="U547" s="9">
        <v>3</v>
      </c>
      <c r="V547" s="8">
        <v>24</v>
      </c>
      <c r="W547" s="8">
        <v>0</v>
      </c>
      <c r="X547" s="8">
        <v>0</v>
      </c>
      <c r="Y547" s="7">
        <v>-6</v>
      </c>
      <c r="Z547" s="7">
        <v>92.7</v>
      </c>
      <c r="AA547" s="7">
        <v>110</v>
      </c>
      <c r="AB547" s="7">
        <v>-17.3</v>
      </c>
      <c r="AC547" s="7">
        <v>55.6</v>
      </c>
      <c r="AD547" s="7">
        <v>0</v>
      </c>
      <c r="AE547" s="7">
        <v>38.5</v>
      </c>
      <c r="AF547" s="7">
        <v>4</v>
      </c>
      <c r="AG547" s="7">
        <v>15.8</v>
      </c>
      <c r="AH547" s="7">
        <v>9.1</v>
      </c>
      <c r="AI547" s="7">
        <v>0</v>
      </c>
      <c r="AJ547" s="7">
        <v>35.700000000000003</v>
      </c>
      <c r="AK547" s="7">
        <v>38.1</v>
      </c>
      <c r="AL547" s="7">
        <v>17</v>
      </c>
      <c r="AM547" s="7">
        <v>111.94</v>
      </c>
      <c r="AN547" s="7">
        <v>9.9</v>
      </c>
      <c r="AO547" s="7">
        <v>41</v>
      </c>
    </row>
    <row r="548" spans="1:41">
      <c r="A548" s="6" t="s">
        <v>1135</v>
      </c>
      <c r="B548" s="6" t="s">
        <v>122</v>
      </c>
      <c r="C548" s="41">
        <f>IFERROR((E548/(2*(G548+0.44*L548))),"NA")</f>
        <v>0.27573529411764702</v>
      </c>
      <c r="D548" s="42">
        <f t="shared" si="18"/>
        <v>0.5</v>
      </c>
      <c r="E548" s="31">
        <v>6</v>
      </c>
      <c r="F548" s="24">
        <v>2</v>
      </c>
      <c r="G548" s="24">
        <v>10</v>
      </c>
      <c r="H548" s="8">
        <v>20</v>
      </c>
      <c r="I548" s="9">
        <v>4</v>
      </c>
      <c r="J548" s="8">
        <v>25</v>
      </c>
      <c r="K548" s="8">
        <v>1</v>
      </c>
      <c r="L548" s="25">
        <v>2</v>
      </c>
      <c r="M548" s="8">
        <v>50</v>
      </c>
      <c r="N548" s="9">
        <v>4</v>
      </c>
      <c r="O548" s="9">
        <v>4</v>
      </c>
      <c r="P548" s="9">
        <v>8</v>
      </c>
      <c r="Q548" s="24">
        <v>1</v>
      </c>
      <c r="R548" s="24">
        <v>2</v>
      </c>
      <c r="S548" s="9">
        <v>2</v>
      </c>
      <c r="T548" s="8">
        <v>0</v>
      </c>
      <c r="U548" s="8">
        <v>0</v>
      </c>
      <c r="V548" s="8">
        <v>21</v>
      </c>
      <c r="W548" s="8">
        <v>0</v>
      </c>
      <c r="X548" s="8">
        <v>0</v>
      </c>
      <c r="Y548" s="7">
        <v>-3.5</v>
      </c>
      <c r="Z548" s="7">
        <v>58.7</v>
      </c>
      <c r="AA548" s="7">
        <v>77.3</v>
      </c>
      <c r="AB548" s="7">
        <v>-18.600000000000001</v>
      </c>
      <c r="AC548" s="7">
        <v>12.5</v>
      </c>
      <c r="AD548" s="7">
        <v>0.5</v>
      </c>
      <c r="AE548" s="7">
        <v>7.1</v>
      </c>
      <c r="AF548" s="7">
        <v>12.1</v>
      </c>
      <c r="AG548" s="7">
        <v>16</v>
      </c>
      <c r="AH548" s="7">
        <v>13.8</v>
      </c>
      <c r="AI548" s="7">
        <v>14.3</v>
      </c>
      <c r="AJ548" s="7">
        <v>25</v>
      </c>
      <c r="AK548" s="7">
        <v>27.6</v>
      </c>
      <c r="AL548" s="7">
        <v>22.4</v>
      </c>
      <c r="AM548" s="7">
        <v>108.82</v>
      </c>
      <c r="AN548" s="7">
        <v>10.5</v>
      </c>
      <c r="AO548" s="7">
        <v>46</v>
      </c>
    </row>
    <row r="549" spans="1:41">
      <c r="A549" s="6" t="s">
        <v>1137</v>
      </c>
      <c r="B549" s="6" t="s">
        <v>60</v>
      </c>
      <c r="C549" s="41" t="s">
        <v>1877</v>
      </c>
      <c r="D549" s="42" t="str">
        <f t="shared" si="18"/>
        <v>NA</v>
      </c>
      <c r="E549" s="31">
        <v>5</v>
      </c>
      <c r="F549" s="24">
        <v>2</v>
      </c>
      <c r="G549" s="24">
        <v>2</v>
      </c>
      <c r="H549" s="8">
        <v>100</v>
      </c>
      <c r="I549" s="9">
        <v>1</v>
      </c>
      <c r="J549" s="8">
        <v>100</v>
      </c>
      <c r="K549" s="8">
        <v>0</v>
      </c>
      <c r="L549" s="25">
        <v>0</v>
      </c>
      <c r="M549" s="8">
        <v>0</v>
      </c>
      <c r="N549" s="8">
        <v>0</v>
      </c>
      <c r="O549" s="8">
        <v>0</v>
      </c>
      <c r="P549" s="8">
        <v>0</v>
      </c>
      <c r="Q549" s="24">
        <v>1</v>
      </c>
      <c r="R549" s="25">
        <v>0</v>
      </c>
      <c r="S549" s="8">
        <v>0</v>
      </c>
      <c r="T549" s="8">
        <v>0</v>
      </c>
      <c r="U549" s="8">
        <v>0</v>
      </c>
      <c r="V549" s="8">
        <v>7</v>
      </c>
      <c r="W549" s="8">
        <v>0</v>
      </c>
      <c r="X549" s="8">
        <v>0</v>
      </c>
      <c r="Y549" s="7">
        <v>6</v>
      </c>
      <c r="Z549" s="7">
        <v>171.4</v>
      </c>
      <c r="AA549" s="7">
        <v>85.7</v>
      </c>
      <c r="AB549" s="7">
        <v>85.7</v>
      </c>
      <c r="AC549" s="7">
        <v>33.299999999999997</v>
      </c>
      <c r="AD549" s="7">
        <v>0</v>
      </c>
      <c r="AE549" s="7">
        <v>33.299999999999997</v>
      </c>
      <c r="AF549" s="7">
        <v>0</v>
      </c>
      <c r="AG549" s="7">
        <v>0</v>
      </c>
      <c r="AH549" s="7">
        <v>0</v>
      </c>
      <c r="AI549" s="7">
        <v>0</v>
      </c>
      <c r="AJ549" s="7">
        <v>125</v>
      </c>
      <c r="AK549" s="7">
        <v>125</v>
      </c>
      <c r="AL549" s="7">
        <v>28.6</v>
      </c>
      <c r="AM549" s="7">
        <v>90.4</v>
      </c>
      <c r="AN549" s="7">
        <v>40</v>
      </c>
      <c r="AO549" s="7">
        <v>7</v>
      </c>
    </row>
    <row r="550" spans="1:41">
      <c r="A550" s="6" t="s">
        <v>1139</v>
      </c>
      <c r="B550" s="6" t="s">
        <v>66</v>
      </c>
      <c r="C550" s="41">
        <f>IFERROR((E550/(2*(G550+0.44*L550))),"NA")</f>
        <v>0.625</v>
      </c>
      <c r="D550" s="42" t="str">
        <f t="shared" si="18"/>
        <v>NA</v>
      </c>
      <c r="E550" s="31">
        <v>5</v>
      </c>
      <c r="F550" s="24">
        <v>2</v>
      </c>
      <c r="G550" s="24">
        <v>4</v>
      </c>
      <c r="H550" s="8">
        <v>50</v>
      </c>
      <c r="I550" s="9">
        <v>1</v>
      </c>
      <c r="J550" s="8">
        <v>100</v>
      </c>
      <c r="K550" s="8">
        <v>0</v>
      </c>
      <c r="L550" s="25">
        <v>0</v>
      </c>
      <c r="M550" s="8">
        <v>0</v>
      </c>
      <c r="N550" s="9">
        <v>1</v>
      </c>
      <c r="O550" s="9">
        <v>2</v>
      </c>
      <c r="P550" s="9">
        <v>3</v>
      </c>
      <c r="Q550" s="24">
        <v>1</v>
      </c>
      <c r="R550" s="25">
        <v>0</v>
      </c>
      <c r="S550" s="8">
        <v>0</v>
      </c>
      <c r="T550" s="8">
        <v>0</v>
      </c>
      <c r="U550" s="9">
        <v>1</v>
      </c>
      <c r="V550" s="8">
        <v>10</v>
      </c>
      <c r="W550" s="8">
        <v>0</v>
      </c>
      <c r="X550" s="8">
        <v>0</v>
      </c>
      <c r="Y550" s="7">
        <v>-0.3</v>
      </c>
      <c r="Z550" s="7">
        <v>114.8</v>
      </c>
      <c r="AA550" s="7">
        <v>128</v>
      </c>
      <c r="AB550" s="7">
        <v>-13.2</v>
      </c>
      <c r="AC550" s="7">
        <v>12.5</v>
      </c>
      <c r="AD550" s="7">
        <v>0</v>
      </c>
      <c r="AE550" s="7">
        <v>20</v>
      </c>
      <c r="AF550" s="7">
        <v>8.3000000000000007</v>
      </c>
      <c r="AG550" s="7">
        <v>22.2</v>
      </c>
      <c r="AH550" s="7">
        <v>14.3</v>
      </c>
      <c r="AI550" s="7">
        <v>0</v>
      </c>
      <c r="AJ550" s="7">
        <v>62.5</v>
      </c>
      <c r="AK550" s="7">
        <v>62.5</v>
      </c>
      <c r="AL550" s="7">
        <v>12.9</v>
      </c>
      <c r="AM550" s="7">
        <v>104.35</v>
      </c>
      <c r="AN550" s="7">
        <v>9.1999999999999993</v>
      </c>
      <c r="AO550" s="7">
        <v>27</v>
      </c>
    </row>
    <row r="551" spans="1:41">
      <c r="A551" s="6" t="s">
        <v>1141</v>
      </c>
      <c r="B551" s="6" t="s">
        <v>146</v>
      </c>
      <c r="C551" s="41">
        <f t="shared" si="17"/>
        <v>0.42517006802721091</v>
      </c>
      <c r="D551" s="42">
        <f t="shared" si="18"/>
        <v>1</v>
      </c>
      <c r="E551" s="31">
        <v>5</v>
      </c>
      <c r="F551" s="24">
        <v>2</v>
      </c>
      <c r="G551" s="24">
        <v>5</v>
      </c>
      <c r="H551" s="8">
        <v>40</v>
      </c>
      <c r="I551" s="8">
        <v>0</v>
      </c>
      <c r="J551" s="8">
        <v>0</v>
      </c>
      <c r="K551" s="8">
        <v>1</v>
      </c>
      <c r="L551" s="25">
        <v>2</v>
      </c>
      <c r="M551" s="8">
        <v>50</v>
      </c>
      <c r="N551" s="9">
        <v>4</v>
      </c>
      <c r="O551" s="9">
        <v>4</v>
      </c>
      <c r="P551" s="9">
        <v>8</v>
      </c>
      <c r="Q551" s="24">
        <v>2</v>
      </c>
      <c r="R551" s="24">
        <v>2</v>
      </c>
      <c r="S551" s="8">
        <v>0</v>
      </c>
      <c r="T551" s="9">
        <v>1</v>
      </c>
      <c r="U551" s="9">
        <v>5</v>
      </c>
      <c r="V551" s="8">
        <v>19</v>
      </c>
      <c r="W551" s="8">
        <v>0</v>
      </c>
      <c r="X551" s="8">
        <v>0</v>
      </c>
      <c r="Y551" s="7">
        <v>-3.4</v>
      </c>
      <c r="Z551" s="7">
        <v>96.9</v>
      </c>
      <c r="AA551" s="7">
        <v>140.30000000000001</v>
      </c>
      <c r="AB551" s="7">
        <v>-43.4</v>
      </c>
      <c r="AC551" s="7">
        <v>11.1</v>
      </c>
      <c r="AD551" s="7">
        <v>1</v>
      </c>
      <c r="AE551" s="7">
        <v>20</v>
      </c>
      <c r="AF551" s="7">
        <v>12.9</v>
      </c>
      <c r="AG551" s="7">
        <v>18.2</v>
      </c>
      <c r="AH551" s="7">
        <v>15.1</v>
      </c>
      <c r="AI551" s="7">
        <v>20</v>
      </c>
      <c r="AJ551" s="7">
        <v>40</v>
      </c>
      <c r="AK551" s="7">
        <v>42.5</v>
      </c>
      <c r="AL551" s="7">
        <v>10.8</v>
      </c>
      <c r="AM551" s="7">
        <v>94.73</v>
      </c>
      <c r="AN551" s="7">
        <v>2</v>
      </c>
      <c r="AO551" s="7">
        <v>65</v>
      </c>
    </row>
    <row r="552" spans="1:41">
      <c r="A552" s="13" t="s">
        <v>1143</v>
      </c>
      <c r="B552" s="6" t="s">
        <v>60</v>
      </c>
      <c r="C552" s="41">
        <f t="shared" si="17"/>
        <v>0.2252252252252252</v>
      </c>
      <c r="D552" s="42" t="str">
        <f t="shared" si="18"/>
        <v>NA</v>
      </c>
      <c r="E552" s="31">
        <v>4</v>
      </c>
      <c r="F552" s="24">
        <v>1</v>
      </c>
      <c r="G552" s="24">
        <v>8</v>
      </c>
      <c r="H552" s="8">
        <v>12.5</v>
      </c>
      <c r="I552" s="9">
        <v>6</v>
      </c>
      <c r="J552" s="8">
        <v>0</v>
      </c>
      <c r="K552" s="8">
        <v>2</v>
      </c>
      <c r="L552" s="25">
        <v>2</v>
      </c>
      <c r="M552" s="8">
        <v>100</v>
      </c>
      <c r="N552" s="9">
        <v>4</v>
      </c>
      <c r="O552" s="9">
        <v>3</v>
      </c>
      <c r="P552" s="9">
        <v>7</v>
      </c>
      <c r="Q552" s="24">
        <v>2</v>
      </c>
      <c r="R552" s="25">
        <v>0</v>
      </c>
      <c r="S552" s="8">
        <v>0</v>
      </c>
      <c r="T552" s="8">
        <v>0</v>
      </c>
      <c r="U552" s="8">
        <v>0</v>
      </c>
      <c r="V552" s="8">
        <v>15</v>
      </c>
      <c r="W552" s="8">
        <v>0</v>
      </c>
      <c r="X552" s="8">
        <v>0</v>
      </c>
      <c r="Y552" s="7">
        <v>-1</v>
      </c>
      <c r="Z552" s="7">
        <v>120.6</v>
      </c>
      <c r="AA552" s="7">
        <v>116.7</v>
      </c>
      <c r="AB552" s="7">
        <v>3.9</v>
      </c>
      <c r="AC552" s="7">
        <v>14.3</v>
      </c>
      <c r="AD552" s="7">
        <v>0</v>
      </c>
      <c r="AE552" s="7">
        <v>18.2</v>
      </c>
      <c r="AF552" s="7">
        <v>18.2</v>
      </c>
      <c r="AG552" s="7">
        <v>20</v>
      </c>
      <c r="AH552" s="7">
        <v>18.899999999999999</v>
      </c>
      <c r="AI552" s="7">
        <v>0</v>
      </c>
      <c r="AJ552" s="7">
        <v>12.5</v>
      </c>
      <c r="AK552" s="7">
        <v>22.5</v>
      </c>
      <c r="AL552" s="7">
        <v>20.5</v>
      </c>
      <c r="AM552" s="7">
        <v>98.82</v>
      </c>
      <c r="AN552" s="7">
        <v>7.1</v>
      </c>
      <c r="AO552" s="7">
        <v>34</v>
      </c>
    </row>
    <row r="553" spans="1:41">
      <c r="A553" s="6" t="s">
        <v>1145</v>
      </c>
      <c r="B553" s="6" t="s">
        <v>94</v>
      </c>
      <c r="C553" s="41">
        <f t="shared" si="17"/>
        <v>0.5</v>
      </c>
      <c r="D553" s="42">
        <f t="shared" si="18"/>
        <v>3</v>
      </c>
      <c r="E553" s="31">
        <v>4</v>
      </c>
      <c r="F553" s="24">
        <v>2</v>
      </c>
      <c r="G553" s="24">
        <v>4</v>
      </c>
      <c r="H553" s="8">
        <v>50</v>
      </c>
      <c r="I553" s="9">
        <v>1</v>
      </c>
      <c r="J553" s="8">
        <v>0</v>
      </c>
      <c r="K553" s="8">
        <v>0</v>
      </c>
      <c r="L553" s="25">
        <v>0</v>
      </c>
      <c r="M553" s="8">
        <v>0</v>
      </c>
      <c r="N553" s="9">
        <v>2</v>
      </c>
      <c r="O553" s="9">
        <v>7</v>
      </c>
      <c r="P553" s="9">
        <v>9</v>
      </c>
      <c r="Q553" s="24">
        <v>3</v>
      </c>
      <c r="R553" s="24">
        <v>1</v>
      </c>
      <c r="S553" s="9">
        <v>3</v>
      </c>
      <c r="T553" s="8">
        <v>0</v>
      </c>
      <c r="U553" s="9">
        <v>2</v>
      </c>
      <c r="V553" s="8">
        <v>28</v>
      </c>
      <c r="W553" s="8">
        <v>0</v>
      </c>
      <c r="X553" s="8">
        <v>0</v>
      </c>
      <c r="Y553" s="7">
        <v>6</v>
      </c>
      <c r="Z553" s="7">
        <v>132</v>
      </c>
      <c r="AA553" s="7">
        <v>92</v>
      </c>
      <c r="AB553" s="7">
        <v>40</v>
      </c>
      <c r="AC553" s="7">
        <v>8.6</v>
      </c>
      <c r="AD553" s="7">
        <v>3</v>
      </c>
      <c r="AE553" s="7">
        <v>37.5</v>
      </c>
      <c r="AF553" s="7">
        <v>6.7</v>
      </c>
      <c r="AG553" s="7">
        <v>17.5</v>
      </c>
      <c r="AH553" s="7">
        <v>12.9</v>
      </c>
      <c r="AI553" s="7">
        <v>12.5</v>
      </c>
      <c r="AJ553" s="7">
        <v>50</v>
      </c>
      <c r="AK553" s="7">
        <v>50</v>
      </c>
      <c r="AL553" s="7">
        <v>6</v>
      </c>
      <c r="AM553" s="7">
        <v>103.6</v>
      </c>
      <c r="AN553" s="7">
        <v>8</v>
      </c>
      <c r="AO553" s="7">
        <v>75</v>
      </c>
    </row>
    <row r="554" spans="1:41">
      <c r="A554" s="6" t="s">
        <v>1147</v>
      </c>
      <c r="B554" s="6" t="s">
        <v>196</v>
      </c>
      <c r="C554" s="41">
        <f t="shared" si="17"/>
        <v>0.19035532994923859</v>
      </c>
      <c r="D554" s="42" t="str">
        <f t="shared" si="18"/>
        <v>NA</v>
      </c>
      <c r="E554" s="31">
        <v>3</v>
      </c>
      <c r="F554" s="24">
        <v>1</v>
      </c>
      <c r="G554" s="24">
        <v>7</v>
      </c>
      <c r="H554" s="8">
        <v>14.3</v>
      </c>
      <c r="I554" s="9">
        <v>3</v>
      </c>
      <c r="J554" s="8">
        <v>0</v>
      </c>
      <c r="K554" s="8">
        <v>1</v>
      </c>
      <c r="L554" s="25">
        <v>2</v>
      </c>
      <c r="M554" s="8">
        <v>50</v>
      </c>
      <c r="N554" s="8">
        <v>0</v>
      </c>
      <c r="O554" s="9">
        <v>2</v>
      </c>
      <c r="P554" s="9">
        <v>2</v>
      </c>
      <c r="Q554" s="25">
        <v>0</v>
      </c>
      <c r="R554" s="25">
        <v>0</v>
      </c>
      <c r="S554" s="8">
        <v>0</v>
      </c>
      <c r="T554" s="8">
        <v>0</v>
      </c>
      <c r="U554" s="8">
        <v>0</v>
      </c>
      <c r="V554" s="8">
        <v>6</v>
      </c>
      <c r="W554" s="8">
        <v>0</v>
      </c>
      <c r="X554" s="8">
        <v>0</v>
      </c>
      <c r="Y554" s="7">
        <v>0.4</v>
      </c>
      <c r="Z554" s="7">
        <v>80.8</v>
      </c>
      <c r="AA554" s="7">
        <v>76</v>
      </c>
      <c r="AB554" s="7">
        <v>4.8</v>
      </c>
      <c r="AC554" s="7">
        <v>0</v>
      </c>
      <c r="AD554" s="7">
        <v>0</v>
      </c>
      <c r="AE554" s="7">
        <v>0</v>
      </c>
      <c r="AF554" s="7">
        <v>0</v>
      </c>
      <c r="AG554" s="7">
        <v>20</v>
      </c>
      <c r="AH554" s="7">
        <v>9.5</v>
      </c>
      <c r="AI554" s="7">
        <v>0</v>
      </c>
      <c r="AJ554" s="7">
        <v>14.3</v>
      </c>
      <c r="AK554" s="7">
        <v>19</v>
      </c>
      <c r="AL554" s="7">
        <v>29.6</v>
      </c>
      <c r="AM554" s="7">
        <v>118.62</v>
      </c>
      <c r="AN554" s="7">
        <v>-5.6</v>
      </c>
      <c r="AO554" s="7">
        <v>26</v>
      </c>
    </row>
    <row r="555" spans="1:41">
      <c r="A555" s="6" t="s">
        <v>1149</v>
      </c>
      <c r="B555" s="6" t="s">
        <v>70</v>
      </c>
      <c r="C555" s="41">
        <f t="shared" si="17"/>
        <v>0.2259036144578313</v>
      </c>
      <c r="D555" s="42">
        <f t="shared" si="18"/>
        <v>0</v>
      </c>
      <c r="E555" s="31">
        <v>3</v>
      </c>
      <c r="F555" s="25">
        <v>0</v>
      </c>
      <c r="G555" s="24">
        <v>4</v>
      </c>
      <c r="H555" s="8">
        <v>0</v>
      </c>
      <c r="I555" s="9">
        <v>1</v>
      </c>
      <c r="J555" s="8">
        <v>0</v>
      </c>
      <c r="K555" s="8">
        <v>3</v>
      </c>
      <c r="L555" s="25">
        <v>6</v>
      </c>
      <c r="M555" s="8">
        <v>50</v>
      </c>
      <c r="N555" s="9">
        <v>1</v>
      </c>
      <c r="O555" s="9">
        <v>1</v>
      </c>
      <c r="P555" s="9">
        <v>2</v>
      </c>
      <c r="Q555" s="25">
        <v>0</v>
      </c>
      <c r="R555" s="24">
        <v>1</v>
      </c>
      <c r="S555" s="9">
        <v>2</v>
      </c>
      <c r="T555" s="8">
        <v>0</v>
      </c>
      <c r="U555" s="8">
        <v>0</v>
      </c>
      <c r="V555" s="8">
        <v>11</v>
      </c>
      <c r="W555" s="8">
        <v>0</v>
      </c>
      <c r="X555" s="8">
        <v>0</v>
      </c>
      <c r="Y555" s="7">
        <v>-2.7</v>
      </c>
      <c r="Z555" s="7">
        <v>90</v>
      </c>
      <c r="AA555" s="7">
        <v>120.7</v>
      </c>
      <c r="AB555" s="7">
        <v>-30.7</v>
      </c>
      <c r="AC555" s="7">
        <v>0</v>
      </c>
      <c r="AD555" s="7">
        <v>0</v>
      </c>
      <c r="AE555" s="7">
        <v>0</v>
      </c>
      <c r="AF555" s="7">
        <v>7.7</v>
      </c>
      <c r="AG555" s="7">
        <v>16.7</v>
      </c>
      <c r="AH555" s="7">
        <v>10.5</v>
      </c>
      <c r="AI555" s="7">
        <v>12.5</v>
      </c>
      <c r="AJ555" s="7">
        <v>0</v>
      </c>
      <c r="AK555" s="7">
        <v>22.6</v>
      </c>
      <c r="AL555" s="7">
        <v>22.2</v>
      </c>
      <c r="AM555" s="7">
        <v>130.81</v>
      </c>
      <c r="AN555" s="7">
        <v>-2.6</v>
      </c>
      <c r="AO555" s="7">
        <v>30</v>
      </c>
    </row>
    <row r="556" spans="1:41">
      <c r="A556" s="6" t="s">
        <v>1151</v>
      </c>
      <c r="B556" s="6" t="s">
        <v>74</v>
      </c>
      <c r="C556" s="41">
        <f t="shared" si="17"/>
        <v>0.3</v>
      </c>
      <c r="D556" s="42">
        <f t="shared" si="18"/>
        <v>1</v>
      </c>
      <c r="E556" s="31">
        <v>3</v>
      </c>
      <c r="F556" s="24">
        <v>1</v>
      </c>
      <c r="G556" s="24">
        <v>5</v>
      </c>
      <c r="H556" s="8">
        <v>20</v>
      </c>
      <c r="I556" s="9">
        <v>5</v>
      </c>
      <c r="J556" s="8">
        <v>20</v>
      </c>
      <c r="K556" s="8">
        <v>0</v>
      </c>
      <c r="L556" s="25">
        <v>0</v>
      </c>
      <c r="M556" s="8">
        <v>0</v>
      </c>
      <c r="N556" s="8">
        <v>0</v>
      </c>
      <c r="O556" s="8">
        <v>0</v>
      </c>
      <c r="P556" s="8">
        <v>0</v>
      </c>
      <c r="Q556" s="24">
        <v>1</v>
      </c>
      <c r="R556" s="24">
        <v>1</v>
      </c>
      <c r="S556" s="8">
        <v>0</v>
      </c>
      <c r="T556" s="8">
        <v>0</v>
      </c>
      <c r="U556" s="8">
        <v>0</v>
      </c>
      <c r="V556" s="8">
        <v>4</v>
      </c>
      <c r="W556" s="8">
        <v>0</v>
      </c>
      <c r="X556" s="8">
        <v>0</v>
      </c>
      <c r="Y556" s="7">
        <v>-9</v>
      </c>
      <c r="Z556" s="7">
        <v>68.2</v>
      </c>
      <c r="AA556" s="7">
        <v>150</v>
      </c>
      <c r="AB556" s="7">
        <v>-81.8</v>
      </c>
      <c r="AC556" s="7">
        <v>20</v>
      </c>
      <c r="AD556" s="7">
        <v>1</v>
      </c>
      <c r="AE556" s="7">
        <v>14.3</v>
      </c>
      <c r="AF556" s="7">
        <v>0</v>
      </c>
      <c r="AG556" s="7">
        <v>0</v>
      </c>
      <c r="AH556" s="7">
        <v>0</v>
      </c>
      <c r="AI556" s="7">
        <v>14.3</v>
      </c>
      <c r="AJ556" s="7">
        <v>30</v>
      </c>
      <c r="AK556" s="7">
        <v>30</v>
      </c>
      <c r="AL556" s="7">
        <v>23.1</v>
      </c>
      <c r="AM556" s="7">
        <v>102.52</v>
      </c>
      <c r="AN556" s="7">
        <v>-2.2000000000000002</v>
      </c>
      <c r="AO556" s="7">
        <v>22</v>
      </c>
    </row>
    <row r="557" spans="1:41">
      <c r="A557" s="6" t="s">
        <v>1153</v>
      </c>
      <c r="B557" s="6" t="s">
        <v>46</v>
      </c>
      <c r="C557" s="41">
        <f t="shared" si="17"/>
        <v>0.17772511848341233</v>
      </c>
      <c r="D557" s="42">
        <f t="shared" si="18"/>
        <v>1</v>
      </c>
      <c r="E557" s="31">
        <v>3</v>
      </c>
      <c r="F557" s="24">
        <v>1</v>
      </c>
      <c r="G557" s="24">
        <v>8</v>
      </c>
      <c r="H557" s="8">
        <v>12.5</v>
      </c>
      <c r="I557" s="9">
        <v>3</v>
      </c>
      <c r="J557" s="8">
        <v>0</v>
      </c>
      <c r="K557" s="8">
        <v>1</v>
      </c>
      <c r="L557" s="25">
        <v>1</v>
      </c>
      <c r="M557" s="8">
        <v>100</v>
      </c>
      <c r="N557" s="9">
        <v>2</v>
      </c>
      <c r="O557" s="9">
        <v>2</v>
      </c>
      <c r="P557" s="9">
        <v>4</v>
      </c>
      <c r="Q557" s="24">
        <v>2</v>
      </c>
      <c r="R557" s="24">
        <v>2</v>
      </c>
      <c r="S557" s="9">
        <v>1</v>
      </c>
      <c r="T557" s="8">
        <v>0</v>
      </c>
      <c r="U557" s="9">
        <v>4</v>
      </c>
      <c r="V557" s="8">
        <v>12</v>
      </c>
      <c r="W557" s="8">
        <v>0</v>
      </c>
      <c r="X557" s="8">
        <v>0</v>
      </c>
      <c r="Y557" s="7">
        <v>-0.6</v>
      </c>
      <c r="Z557" s="7">
        <v>83.3</v>
      </c>
      <c r="AA557" s="7">
        <v>97.6</v>
      </c>
      <c r="AB557" s="7">
        <v>-14.2</v>
      </c>
      <c r="AC557" s="7">
        <v>18.2</v>
      </c>
      <c r="AD557" s="7">
        <v>1</v>
      </c>
      <c r="AE557" s="7">
        <v>16.7</v>
      </c>
      <c r="AF557" s="7">
        <v>7.1</v>
      </c>
      <c r="AG557" s="7">
        <v>11.1</v>
      </c>
      <c r="AH557" s="7">
        <v>8.6999999999999993</v>
      </c>
      <c r="AI557" s="7">
        <v>16.7</v>
      </c>
      <c r="AJ557" s="7">
        <v>12.5</v>
      </c>
      <c r="AK557" s="7">
        <v>17.8</v>
      </c>
      <c r="AL557" s="7">
        <v>18.5</v>
      </c>
      <c r="AM557" s="7">
        <v>123.38</v>
      </c>
      <c r="AN557" s="7">
        <v>-6.8</v>
      </c>
      <c r="AO557" s="7">
        <v>42</v>
      </c>
    </row>
    <row r="558" spans="1:41">
      <c r="A558" s="13" t="s">
        <v>1155</v>
      </c>
      <c r="B558" s="6" t="s">
        <v>146</v>
      </c>
      <c r="C558" s="41">
        <f t="shared" si="17"/>
        <v>0.20161290322580644</v>
      </c>
      <c r="D558" s="42">
        <f t="shared" si="18"/>
        <v>0.75</v>
      </c>
      <c r="E558" s="31">
        <v>3</v>
      </c>
      <c r="F558" s="24">
        <v>1</v>
      </c>
      <c r="G558" s="24">
        <v>7</v>
      </c>
      <c r="H558" s="8">
        <v>14.3</v>
      </c>
      <c r="I558" s="9">
        <v>3</v>
      </c>
      <c r="J558" s="8">
        <v>0</v>
      </c>
      <c r="K558" s="8">
        <v>1</v>
      </c>
      <c r="L558" s="25">
        <v>1</v>
      </c>
      <c r="M558" s="8">
        <v>100</v>
      </c>
      <c r="N558" s="8">
        <v>0</v>
      </c>
      <c r="O558" s="9">
        <v>4</v>
      </c>
      <c r="P558" s="9">
        <v>4</v>
      </c>
      <c r="Q558" s="24">
        <v>3</v>
      </c>
      <c r="R558" s="24">
        <v>4</v>
      </c>
      <c r="S558" s="9">
        <v>2</v>
      </c>
      <c r="T558" s="8">
        <v>0</v>
      </c>
      <c r="U558" s="9">
        <v>1</v>
      </c>
      <c r="V558" s="8">
        <v>14</v>
      </c>
      <c r="W558" s="8">
        <v>0</v>
      </c>
      <c r="X558" s="8">
        <v>0</v>
      </c>
      <c r="Y558" s="7">
        <v>3</v>
      </c>
      <c r="Z558" s="7">
        <v>109</v>
      </c>
      <c r="AA558" s="7">
        <v>96.1</v>
      </c>
      <c r="AB558" s="7">
        <v>12.9</v>
      </c>
      <c r="AC558" s="7">
        <v>10</v>
      </c>
      <c r="AD558" s="7">
        <v>0.75</v>
      </c>
      <c r="AE558" s="7">
        <v>21.4</v>
      </c>
      <c r="AF558" s="7">
        <v>0</v>
      </c>
      <c r="AG558" s="7">
        <v>9.8000000000000007</v>
      </c>
      <c r="AH558" s="7">
        <v>5.5</v>
      </c>
      <c r="AI558" s="7">
        <v>28.6</v>
      </c>
      <c r="AJ558" s="7">
        <v>14.3</v>
      </c>
      <c r="AK558" s="7">
        <v>20.2</v>
      </c>
      <c r="AL558" s="7">
        <v>12.2</v>
      </c>
      <c r="AM558" s="7">
        <v>110.7</v>
      </c>
      <c r="AN558" s="7">
        <v>0.7</v>
      </c>
      <c r="AO558" s="7">
        <v>78</v>
      </c>
    </row>
    <row r="559" spans="1:41">
      <c r="A559" s="6" t="s">
        <v>1157</v>
      </c>
      <c r="B559" s="6" t="s">
        <v>70</v>
      </c>
      <c r="C559" s="41">
        <f t="shared" si="17"/>
        <v>0.33333333333333331</v>
      </c>
      <c r="D559" s="42" t="str">
        <f t="shared" si="18"/>
        <v>NA</v>
      </c>
      <c r="E559" s="31">
        <v>2</v>
      </c>
      <c r="F559" s="24">
        <v>1</v>
      </c>
      <c r="G559" s="24">
        <v>3</v>
      </c>
      <c r="H559" s="8">
        <v>33.299999999999997</v>
      </c>
      <c r="I559" s="8">
        <v>0</v>
      </c>
      <c r="J559" s="8">
        <v>0</v>
      </c>
      <c r="K559" s="8">
        <v>0</v>
      </c>
      <c r="L559" s="25">
        <v>0</v>
      </c>
      <c r="M559" s="8">
        <v>0</v>
      </c>
      <c r="N559" s="9">
        <v>2</v>
      </c>
      <c r="O559" s="9">
        <v>1</v>
      </c>
      <c r="P559" s="9">
        <v>3</v>
      </c>
      <c r="Q559" s="24">
        <v>4</v>
      </c>
      <c r="R559" s="25">
        <v>0</v>
      </c>
      <c r="S559" s="9">
        <v>2</v>
      </c>
      <c r="T559" s="8">
        <v>0</v>
      </c>
      <c r="U559" s="9">
        <v>5</v>
      </c>
      <c r="V559" s="8">
        <v>18</v>
      </c>
      <c r="W559" s="8">
        <v>0</v>
      </c>
      <c r="X559" s="8">
        <v>0</v>
      </c>
      <c r="Y559" s="7">
        <v>-2.5</v>
      </c>
      <c r="Z559" s="7">
        <v>94.4</v>
      </c>
      <c r="AA559" s="7">
        <v>111.4</v>
      </c>
      <c r="AB559" s="7">
        <v>-17</v>
      </c>
      <c r="AC559" s="7">
        <v>33.299999999999997</v>
      </c>
      <c r="AD559" s="7">
        <v>0</v>
      </c>
      <c r="AE559" s="7">
        <v>57.1</v>
      </c>
      <c r="AF559" s="7">
        <v>8.3000000000000007</v>
      </c>
      <c r="AG559" s="7">
        <v>7.1</v>
      </c>
      <c r="AH559" s="7">
        <v>7.9</v>
      </c>
      <c r="AI559" s="7">
        <v>0</v>
      </c>
      <c r="AJ559" s="7">
        <v>33.299999999999997</v>
      </c>
      <c r="AK559" s="7">
        <v>33.299999999999997</v>
      </c>
      <c r="AL559" s="7">
        <v>6.8</v>
      </c>
      <c r="AM559" s="7">
        <v>104.54</v>
      </c>
      <c r="AN559" s="7">
        <v>4.8</v>
      </c>
      <c r="AO559" s="7">
        <v>36</v>
      </c>
    </row>
    <row r="560" spans="1:41">
      <c r="A560" s="6" t="s">
        <v>1159</v>
      </c>
      <c r="B560" s="6" t="s">
        <v>44</v>
      </c>
      <c r="C560" s="41">
        <f t="shared" si="17"/>
        <v>0.26595744680851063</v>
      </c>
      <c r="D560" s="42">
        <f t="shared" si="18"/>
        <v>1</v>
      </c>
      <c r="E560" s="31">
        <v>2</v>
      </c>
      <c r="F560" s="25">
        <v>0</v>
      </c>
      <c r="G560" s="24">
        <v>2</v>
      </c>
      <c r="H560" s="8">
        <v>0</v>
      </c>
      <c r="I560" s="9">
        <v>1</v>
      </c>
      <c r="J560" s="8">
        <v>0</v>
      </c>
      <c r="K560" s="8">
        <v>2</v>
      </c>
      <c r="L560" s="25">
        <v>4</v>
      </c>
      <c r="M560" s="8">
        <v>50</v>
      </c>
      <c r="N560" s="9">
        <v>1</v>
      </c>
      <c r="O560" s="9">
        <v>2</v>
      </c>
      <c r="P560" s="9">
        <v>3</v>
      </c>
      <c r="Q560" s="24">
        <v>1</v>
      </c>
      <c r="R560" s="24">
        <v>1</v>
      </c>
      <c r="S560" s="8">
        <v>0</v>
      </c>
      <c r="T560" s="8">
        <v>0</v>
      </c>
      <c r="U560" s="9">
        <v>4</v>
      </c>
      <c r="V560" s="8">
        <v>6</v>
      </c>
      <c r="W560" s="8">
        <v>0</v>
      </c>
      <c r="X560" s="8">
        <v>0</v>
      </c>
      <c r="Y560" s="7">
        <v>-3</v>
      </c>
      <c r="Z560" s="7">
        <v>61.4</v>
      </c>
      <c r="AA560" s="7">
        <v>104.7</v>
      </c>
      <c r="AB560" s="7">
        <v>-43.3</v>
      </c>
      <c r="AC560" s="7">
        <v>11.1</v>
      </c>
      <c r="AD560" s="7">
        <v>1</v>
      </c>
      <c r="AE560" s="7">
        <v>16.7</v>
      </c>
      <c r="AF560" s="7">
        <v>4</v>
      </c>
      <c r="AG560" s="7">
        <v>9.5</v>
      </c>
      <c r="AH560" s="7">
        <v>6.5</v>
      </c>
      <c r="AI560" s="7">
        <v>16.7</v>
      </c>
      <c r="AJ560" s="7">
        <v>0</v>
      </c>
      <c r="AK560" s="7">
        <v>26.6</v>
      </c>
      <c r="AL560" s="7">
        <v>10.199999999999999</v>
      </c>
      <c r="AM560" s="7">
        <v>99.59</v>
      </c>
      <c r="AN560" s="7">
        <v>-6.9</v>
      </c>
      <c r="AO560" s="7">
        <v>44</v>
      </c>
    </row>
    <row r="561" spans="1:41">
      <c r="A561" s="6" t="s">
        <v>1161</v>
      </c>
      <c r="B561" s="6" t="s">
        <v>46</v>
      </c>
      <c r="C561" s="41">
        <f t="shared" si="17"/>
        <v>0.26595744680851063</v>
      </c>
      <c r="D561" s="42">
        <f t="shared" si="18"/>
        <v>0.75</v>
      </c>
      <c r="E561" s="31">
        <v>1</v>
      </c>
      <c r="F561" s="25">
        <v>0</v>
      </c>
      <c r="G561" s="24">
        <v>1</v>
      </c>
      <c r="H561" s="8">
        <v>0</v>
      </c>
      <c r="I561" s="9">
        <v>1</v>
      </c>
      <c r="J561" s="8">
        <v>0</v>
      </c>
      <c r="K561" s="8">
        <v>1</v>
      </c>
      <c r="L561" s="25">
        <v>2</v>
      </c>
      <c r="M561" s="8">
        <v>50</v>
      </c>
      <c r="N561" s="8">
        <v>0</v>
      </c>
      <c r="O561" s="9">
        <v>4</v>
      </c>
      <c r="P561" s="9">
        <v>4</v>
      </c>
      <c r="Q561" s="24">
        <v>3</v>
      </c>
      <c r="R561" s="24">
        <v>4</v>
      </c>
      <c r="S561" s="8">
        <v>0</v>
      </c>
      <c r="T561" s="8">
        <v>0</v>
      </c>
      <c r="U561" s="9">
        <v>1</v>
      </c>
      <c r="V561" s="8">
        <v>6</v>
      </c>
      <c r="W561" s="8">
        <v>0</v>
      </c>
      <c r="X561" s="8">
        <v>0</v>
      </c>
      <c r="Y561" s="7">
        <v>3</v>
      </c>
      <c r="Z561" s="7">
        <v>103.2</v>
      </c>
      <c r="AA561" s="7">
        <v>79.3</v>
      </c>
      <c r="AB561" s="7">
        <v>23.9</v>
      </c>
      <c r="AC561" s="7">
        <v>23.1</v>
      </c>
      <c r="AD561" s="7">
        <v>0.75</v>
      </c>
      <c r="AE561" s="7">
        <v>33.299999999999997</v>
      </c>
      <c r="AF561" s="7">
        <v>0</v>
      </c>
      <c r="AG561" s="7">
        <v>44.4</v>
      </c>
      <c r="AH561" s="7">
        <v>21.1</v>
      </c>
      <c r="AI561" s="7">
        <v>44.4</v>
      </c>
      <c r="AJ561" s="7">
        <v>0</v>
      </c>
      <c r="AK561" s="7">
        <v>26.6</v>
      </c>
      <c r="AL561" s="7">
        <v>17.600000000000001</v>
      </c>
      <c r="AM561" s="7">
        <v>108.82</v>
      </c>
      <c r="AN561" s="7">
        <v>2.4</v>
      </c>
      <c r="AO561" s="7">
        <v>31</v>
      </c>
    </row>
    <row r="562" spans="1:41">
      <c r="A562" s="6" t="s">
        <v>1163</v>
      </c>
      <c r="B562" s="6" t="s">
        <v>84</v>
      </c>
      <c r="C562" s="41" t="str">
        <f t="shared" si="17"/>
        <v>NA</v>
      </c>
      <c r="D562" s="42" t="str">
        <f t="shared" si="18"/>
        <v>NA</v>
      </c>
      <c r="E562" s="31">
        <v>0</v>
      </c>
      <c r="F562" s="25">
        <v>0</v>
      </c>
      <c r="G562" s="25">
        <v>0</v>
      </c>
      <c r="H562" s="8">
        <v>0</v>
      </c>
      <c r="I562" s="8">
        <v>0</v>
      </c>
      <c r="J562" s="8">
        <v>0</v>
      </c>
      <c r="K562" s="8">
        <v>0</v>
      </c>
      <c r="L562" s="25">
        <v>0</v>
      </c>
      <c r="M562" s="8">
        <v>0</v>
      </c>
      <c r="N562" s="8">
        <v>0</v>
      </c>
      <c r="O562" s="9">
        <v>1</v>
      </c>
      <c r="P562" s="9">
        <v>1</v>
      </c>
      <c r="Q562" s="24">
        <v>1</v>
      </c>
      <c r="R562" s="25">
        <v>0</v>
      </c>
      <c r="S562" s="8">
        <v>0</v>
      </c>
      <c r="T562" s="8">
        <v>0</v>
      </c>
      <c r="U562" s="8">
        <v>0</v>
      </c>
      <c r="V562" s="8">
        <v>3</v>
      </c>
      <c r="W562" s="8">
        <v>0</v>
      </c>
      <c r="X562" s="8">
        <v>0</v>
      </c>
      <c r="Y562" s="7">
        <v>5</v>
      </c>
      <c r="Z562" s="7">
        <v>125</v>
      </c>
      <c r="AA562" s="7">
        <v>62.5</v>
      </c>
      <c r="AB562" s="7">
        <v>62.5</v>
      </c>
      <c r="AC562" s="7">
        <v>25</v>
      </c>
      <c r="AD562" s="7">
        <v>0</v>
      </c>
      <c r="AE562" s="7">
        <v>100</v>
      </c>
      <c r="AF562" s="7">
        <v>0</v>
      </c>
      <c r="AG562" s="7">
        <v>25</v>
      </c>
      <c r="AH562" s="7">
        <v>11.1</v>
      </c>
      <c r="AI562" s="7">
        <v>0</v>
      </c>
      <c r="AJ562" s="7">
        <v>0</v>
      </c>
      <c r="AK562" s="7">
        <v>0</v>
      </c>
      <c r="AL562" s="7">
        <v>0</v>
      </c>
      <c r="AM562" s="7">
        <v>114.06</v>
      </c>
      <c r="AN562" s="7">
        <v>13.3</v>
      </c>
      <c r="AO562" s="7">
        <v>8</v>
      </c>
    </row>
    <row r="563" spans="1:41">
      <c r="A563" s="6" t="s">
        <v>1165</v>
      </c>
      <c r="B563" s="6" t="s">
        <v>82</v>
      </c>
      <c r="C563" s="41">
        <f t="shared" si="17"/>
        <v>0</v>
      </c>
      <c r="D563" s="42" t="str">
        <f t="shared" si="18"/>
        <v>NA</v>
      </c>
      <c r="E563" s="31">
        <v>0</v>
      </c>
      <c r="F563" s="25">
        <v>0</v>
      </c>
      <c r="G563" s="24">
        <v>1</v>
      </c>
      <c r="H563" s="8">
        <v>0</v>
      </c>
      <c r="I563" s="8">
        <v>0</v>
      </c>
      <c r="J563" s="8">
        <v>0</v>
      </c>
      <c r="K563" s="8">
        <v>0</v>
      </c>
      <c r="L563" s="25">
        <v>0</v>
      </c>
      <c r="M563" s="8">
        <v>0</v>
      </c>
      <c r="N563" s="8">
        <v>0</v>
      </c>
      <c r="O563" s="8">
        <v>0</v>
      </c>
      <c r="P563" s="8">
        <v>0</v>
      </c>
      <c r="Q563" s="25">
        <v>0</v>
      </c>
      <c r="R563" s="25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7">
        <v>0.3</v>
      </c>
      <c r="Z563" s="7">
        <v>83.3</v>
      </c>
      <c r="AA563" s="7">
        <v>66.7</v>
      </c>
      <c r="AB563" s="7">
        <v>16.7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16.7</v>
      </c>
      <c r="AM563" s="7">
        <v>110.7</v>
      </c>
      <c r="AN563" s="7">
        <v>-8.6999999999999993</v>
      </c>
      <c r="AO563" s="7">
        <v>6</v>
      </c>
    </row>
    <row r="564" spans="1:41">
      <c r="A564" s="6" t="s">
        <v>1167</v>
      </c>
      <c r="B564" s="6" t="s">
        <v>56</v>
      </c>
      <c r="C564" s="41">
        <f t="shared" si="17"/>
        <v>0</v>
      </c>
      <c r="D564" s="42" t="str">
        <f t="shared" si="18"/>
        <v>NA</v>
      </c>
      <c r="E564" s="31">
        <v>0</v>
      </c>
      <c r="F564" s="25">
        <v>0</v>
      </c>
      <c r="G564" s="24">
        <v>2</v>
      </c>
      <c r="H564" s="8">
        <v>0</v>
      </c>
      <c r="I564" s="9">
        <v>1</v>
      </c>
      <c r="J564" s="8">
        <v>0</v>
      </c>
      <c r="K564" s="8">
        <v>0</v>
      </c>
      <c r="L564" s="25">
        <v>0</v>
      </c>
      <c r="M564" s="8">
        <v>0</v>
      </c>
      <c r="N564" s="8">
        <v>0</v>
      </c>
      <c r="O564" s="9">
        <v>2</v>
      </c>
      <c r="P564" s="9">
        <v>2</v>
      </c>
      <c r="Q564" s="25">
        <v>0</v>
      </c>
      <c r="R564" s="25">
        <v>0</v>
      </c>
      <c r="S564" s="9">
        <v>1</v>
      </c>
      <c r="T564" s="8">
        <v>0</v>
      </c>
      <c r="U564" s="8">
        <v>0</v>
      </c>
      <c r="V564" s="8">
        <v>5</v>
      </c>
      <c r="W564" s="8">
        <v>0</v>
      </c>
      <c r="X564" s="8">
        <v>0</v>
      </c>
      <c r="Y564" s="7">
        <v>1.3</v>
      </c>
      <c r="Z564" s="7">
        <v>61.5</v>
      </c>
      <c r="AA564" s="7">
        <v>30.8</v>
      </c>
      <c r="AB564" s="7">
        <v>30.8</v>
      </c>
      <c r="AC564" s="7">
        <v>0</v>
      </c>
      <c r="AD564" s="7">
        <v>0</v>
      </c>
      <c r="AE564" s="7">
        <v>0</v>
      </c>
      <c r="AF564" s="7">
        <v>0</v>
      </c>
      <c r="AG564" s="7">
        <v>22.2</v>
      </c>
      <c r="AH564" s="7">
        <v>12.5</v>
      </c>
      <c r="AI564" s="7">
        <v>0</v>
      </c>
      <c r="AJ564" s="7">
        <v>0</v>
      </c>
      <c r="AK564" s="7">
        <v>0</v>
      </c>
      <c r="AL564" s="7">
        <v>14.3</v>
      </c>
      <c r="AM564" s="7">
        <v>112.43</v>
      </c>
      <c r="AN564" s="7">
        <v>12.5</v>
      </c>
      <c r="AO564" s="7">
        <v>13</v>
      </c>
    </row>
    <row r="565" spans="1:41">
      <c r="A565" s="6" t="s">
        <v>1169</v>
      </c>
      <c r="B565" s="6" t="s">
        <v>46</v>
      </c>
      <c r="C565" s="41" t="str">
        <f>IFERROR((E565/(2*(G565+0.44*L565))),"NA")</f>
        <v>NA</v>
      </c>
      <c r="D565" s="42" t="str">
        <f t="shared" si="18"/>
        <v>NA</v>
      </c>
      <c r="E565" s="31">
        <v>0</v>
      </c>
      <c r="F565" s="25">
        <v>0</v>
      </c>
      <c r="G565" s="25">
        <v>0</v>
      </c>
      <c r="H565" s="8">
        <v>0</v>
      </c>
      <c r="I565" s="8">
        <v>0</v>
      </c>
      <c r="J565" s="8">
        <v>0</v>
      </c>
      <c r="K565" s="8">
        <v>0</v>
      </c>
      <c r="L565" s="25">
        <v>0</v>
      </c>
      <c r="M565" s="8">
        <v>0</v>
      </c>
      <c r="N565" s="8">
        <v>0</v>
      </c>
      <c r="O565" s="8">
        <v>0</v>
      </c>
      <c r="P565" s="8">
        <v>0</v>
      </c>
      <c r="Q565" s="24">
        <v>1</v>
      </c>
      <c r="R565" s="25">
        <v>0</v>
      </c>
      <c r="S565" s="8">
        <v>0</v>
      </c>
      <c r="T565" s="8">
        <v>0</v>
      </c>
      <c r="U565" s="9">
        <v>2</v>
      </c>
      <c r="V565" s="8">
        <v>2</v>
      </c>
      <c r="W565" s="8">
        <v>0</v>
      </c>
      <c r="X565" s="8">
        <v>0</v>
      </c>
      <c r="Y565" s="7">
        <v>-5</v>
      </c>
      <c r="Z565" s="7">
        <v>72.7</v>
      </c>
      <c r="AA565" s="7">
        <v>150</v>
      </c>
      <c r="AB565" s="7">
        <v>-77.3</v>
      </c>
      <c r="AC565" s="7">
        <v>25</v>
      </c>
      <c r="AD565" s="7">
        <v>0</v>
      </c>
      <c r="AE565" s="7">
        <v>100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118.29</v>
      </c>
      <c r="AN565" s="7">
        <v>-4.3</v>
      </c>
      <c r="AO565" s="7">
        <v>11</v>
      </c>
    </row>
    <row r="566" spans="1:41">
      <c r="A566" s="6" t="s">
        <v>1171</v>
      </c>
      <c r="B566" s="6" t="s">
        <v>98</v>
      </c>
      <c r="C566" s="41">
        <f t="shared" si="17"/>
        <v>0</v>
      </c>
      <c r="D566" s="42" t="str">
        <f t="shared" si="18"/>
        <v>NA</v>
      </c>
      <c r="E566" s="31">
        <v>0</v>
      </c>
      <c r="F566" s="25">
        <v>0</v>
      </c>
      <c r="G566" s="24">
        <v>2</v>
      </c>
      <c r="H566" s="8">
        <v>0</v>
      </c>
      <c r="I566" s="9">
        <v>1</v>
      </c>
      <c r="J566" s="8">
        <v>0</v>
      </c>
      <c r="K566" s="8">
        <v>0</v>
      </c>
      <c r="L566" s="25">
        <v>0</v>
      </c>
      <c r="M566" s="8">
        <v>0</v>
      </c>
      <c r="N566" s="8">
        <v>0</v>
      </c>
      <c r="O566" s="9">
        <v>1</v>
      </c>
      <c r="P566" s="9">
        <v>1</v>
      </c>
      <c r="Q566" s="24">
        <v>3</v>
      </c>
      <c r="R566" s="25">
        <v>0</v>
      </c>
      <c r="S566" s="8">
        <v>0</v>
      </c>
      <c r="T566" s="8">
        <v>0</v>
      </c>
      <c r="U566" s="9">
        <v>2</v>
      </c>
      <c r="V566" s="8">
        <v>6</v>
      </c>
      <c r="W566" s="8">
        <v>0</v>
      </c>
      <c r="X566" s="8">
        <v>0</v>
      </c>
      <c r="Y566" s="7">
        <v>-1</v>
      </c>
      <c r="Z566" s="7">
        <v>119</v>
      </c>
      <c r="AA566" s="7">
        <v>128.6</v>
      </c>
      <c r="AB566" s="7">
        <v>-9.5</v>
      </c>
      <c r="AC566" s="7">
        <v>33.299999999999997</v>
      </c>
      <c r="AD566" s="7">
        <v>0</v>
      </c>
      <c r="AE566" s="7">
        <v>60</v>
      </c>
      <c r="AF566" s="7">
        <v>0</v>
      </c>
      <c r="AG566" s="7">
        <v>10</v>
      </c>
      <c r="AH566" s="7">
        <v>5</v>
      </c>
      <c r="AI566" s="7">
        <v>0</v>
      </c>
      <c r="AJ566" s="7">
        <v>0</v>
      </c>
      <c r="AK566" s="7">
        <v>0</v>
      </c>
      <c r="AL566" s="7">
        <v>8.6999999999999993</v>
      </c>
      <c r="AM566" s="7">
        <v>98.5</v>
      </c>
      <c r="AN566" s="7">
        <v>0</v>
      </c>
      <c r="AO566" s="7">
        <v>21</v>
      </c>
    </row>
    <row r="567" spans="1:41">
      <c r="A567" s="6" t="s">
        <v>1173</v>
      </c>
      <c r="B567" s="6" t="s">
        <v>66</v>
      </c>
      <c r="C567" s="41">
        <f t="shared" si="17"/>
        <v>0</v>
      </c>
      <c r="D567" s="42" t="str">
        <f t="shared" si="18"/>
        <v>NA</v>
      </c>
      <c r="E567" s="31">
        <v>0</v>
      </c>
      <c r="F567" s="25">
        <v>0</v>
      </c>
      <c r="G567" s="24">
        <v>2</v>
      </c>
      <c r="H567" s="8">
        <v>0</v>
      </c>
      <c r="I567" s="9">
        <v>1</v>
      </c>
      <c r="J567" s="8">
        <v>0</v>
      </c>
      <c r="K567" s="8">
        <v>0</v>
      </c>
      <c r="L567" s="25">
        <v>0</v>
      </c>
      <c r="M567" s="8">
        <v>0</v>
      </c>
      <c r="N567" s="8">
        <v>0</v>
      </c>
      <c r="O567" s="9">
        <v>1</v>
      </c>
      <c r="P567" s="9">
        <v>1</v>
      </c>
      <c r="Q567" s="24">
        <v>1</v>
      </c>
      <c r="R567" s="25">
        <v>0</v>
      </c>
      <c r="S567" s="8">
        <v>0</v>
      </c>
      <c r="T567" s="8">
        <v>0</v>
      </c>
      <c r="U567" s="8">
        <v>0</v>
      </c>
      <c r="V567" s="8">
        <v>3</v>
      </c>
      <c r="W567" s="8">
        <v>0</v>
      </c>
      <c r="X567" s="8">
        <v>0</v>
      </c>
      <c r="Y567" s="7">
        <v>-3</v>
      </c>
      <c r="Z567" s="7">
        <v>86.7</v>
      </c>
      <c r="AA567" s="7">
        <v>106.7</v>
      </c>
      <c r="AB567" s="7">
        <v>-20</v>
      </c>
      <c r="AC567" s="7">
        <v>16.7</v>
      </c>
      <c r="AD567" s="7">
        <v>0</v>
      </c>
      <c r="AE567" s="7">
        <v>33.299999999999997</v>
      </c>
      <c r="AF567" s="7">
        <v>0</v>
      </c>
      <c r="AG567" s="7">
        <v>11.1</v>
      </c>
      <c r="AH567" s="7">
        <v>5.9</v>
      </c>
      <c r="AI567" s="7">
        <v>0</v>
      </c>
      <c r="AJ567" s="7">
        <v>0</v>
      </c>
      <c r="AK567" s="7">
        <v>0</v>
      </c>
      <c r="AL567" s="7">
        <v>11.1</v>
      </c>
      <c r="AM567" s="7">
        <v>91.33</v>
      </c>
      <c r="AN567" s="7">
        <v>0</v>
      </c>
      <c r="AO567" s="7">
        <v>15</v>
      </c>
    </row>
    <row r="568" spans="1:41">
      <c r="A568" s="6" t="s">
        <v>1175</v>
      </c>
      <c r="B568" s="6" t="s">
        <v>66</v>
      </c>
      <c r="C568" s="41">
        <f t="shared" si="17"/>
        <v>0</v>
      </c>
      <c r="D568" s="42" t="str">
        <f t="shared" si="18"/>
        <v>NA</v>
      </c>
      <c r="E568" s="31">
        <v>0</v>
      </c>
      <c r="F568" s="25">
        <v>0</v>
      </c>
      <c r="G568" s="24">
        <v>1</v>
      </c>
      <c r="H568" s="8">
        <v>0</v>
      </c>
      <c r="I568" s="8">
        <v>0</v>
      </c>
      <c r="J568" s="8">
        <v>0</v>
      </c>
      <c r="K568" s="8">
        <v>0</v>
      </c>
      <c r="L568" s="25">
        <v>0</v>
      </c>
      <c r="M568" s="8">
        <v>0</v>
      </c>
      <c r="N568" s="9">
        <v>1</v>
      </c>
      <c r="O568" s="8">
        <v>0</v>
      </c>
      <c r="P568" s="9">
        <v>1</v>
      </c>
      <c r="Q568" s="24">
        <v>2</v>
      </c>
      <c r="R568" s="25">
        <v>0</v>
      </c>
      <c r="S568" s="8">
        <v>0</v>
      </c>
      <c r="T568" s="8">
        <v>0</v>
      </c>
      <c r="U568" s="8">
        <v>0</v>
      </c>
      <c r="V568" s="8">
        <v>4</v>
      </c>
      <c r="W568" s="8">
        <v>0</v>
      </c>
      <c r="X568" s="8">
        <v>0</v>
      </c>
      <c r="Y568" s="7">
        <v>3</v>
      </c>
      <c r="Z568" s="7">
        <v>135.69999999999999</v>
      </c>
      <c r="AA568" s="7">
        <v>71.400000000000006</v>
      </c>
      <c r="AB568" s="7">
        <v>64.3</v>
      </c>
      <c r="AC568" s="7">
        <v>28.6</v>
      </c>
      <c r="AD568" s="7">
        <v>0</v>
      </c>
      <c r="AE568" s="7">
        <v>66.7</v>
      </c>
      <c r="AF568" s="7">
        <v>25</v>
      </c>
      <c r="AG568" s="7">
        <v>0</v>
      </c>
      <c r="AH568" s="7">
        <v>8.3000000000000007</v>
      </c>
      <c r="AI568" s="7">
        <v>0</v>
      </c>
      <c r="AJ568" s="7">
        <v>0</v>
      </c>
      <c r="AK568" s="7">
        <v>0</v>
      </c>
      <c r="AL568" s="7">
        <v>6.7</v>
      </c>
      <c r="AM568" s="7">
        <v>106.11</v>
      </c>
      <c r="AN568" s="7">
        <v>4.3</v>
      </c>
      <c r="AO568" s="7">
        <v>14</v>
      </c>
    </row>
    <row r="569" spans="1:41">
      <c r="A569" s="6" t="s">
        <v>1177</v>
      </c>
      <c r="B569" s="6" t="s">
        <v>94</v>
      </c>
      <c r="C569" s="41">
        <f t="shared" si="17"/>
        <v>0</v>
      </c>
      <c r="D569" s="42" t="str">
        <f t="shared" si="18"/>
        <v>NA</v>
      </c>
      <c r="E569" s="31">
        <v>0</v>
      </c>
      <c r="F569" s="25">
        <v>0</v>
      </c>
      <c r="G569" s="24">
        <v>1</v>
      </c>
      <c r="H569" s="8">
        <v>0</v>
      </c>
      <c r="I569" s="9">
        <v>1</v>
      </c>
      <c r="J569" s="8">
        <v>0</v>
      </c>
      <c r="K569" s="8">
        <v>0</v>
      </c>
      <c r="L569" s="25">
        <v>0</v>
      </c>
      <c r="M569" s="8">
        <v>0</v>
      </c>
      <c r="N569" s="8">
        <v>0</v>
      </c>
      <c r="O569" s="9">
        <v>2</v>
      </c>
      <c r="P569" s="9">
        <v>2</v>
      </c>
      <c r="Q569" s="25">
        <v>0</v>
      </c>
      <c r="R569" s="25">
        <v>0</v>
      </c>
      <c r="S569" s="8">
        <v>0</v>
      </c>
      <c r="T569" s="8">
        <v>0</v>
      </c>
      <c r="U569" s="8">
        <v>0</v>
      </c>
      <c r="V569" s="8">
        <v>2</v>
      </c>
      <c r="W569" s="8">
        <v>0</v>
      </c>
      <c r="X569" s="8">
        <v>0</v>
      </c>
      <c r="Y569" s="7">
        <v>0</v>
      </c>
      <c r="Z569" s="7">
        <v>93.3</v>
      </c>
      <c r="AA569" s="7">
        <v>93.3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20</v>
      </c>
      <c r="AH569" s="7">
        <v>11.8</v>
      </c>
      <c r="AI569" s="7">
        <v>0</v>
      </c>
      <c r="AJ569" s="7">
        <v>0</v>
      </c>
      <c r="AK569" s="7">
        <v>0</v>
      </c>
      <c r="AL569" s="7">
        <v>6.3</v>
      </c>
      <c r="AM569" s="7">
        <v>106.67</v>
      </c>
      <c r="AN569" s="7">
        <v>3.9</v>
      </c>
      <c r="AO569" s="7">
        <v>15</v>
      </c>
    </row>
    <row r="570" spans="1:41">
      <c r="A570" s="6" t="s">
        <v>1179</v>
      </c>
      <c r="B570" s="6" t="s">
        <v>114</v>
      </c>
      <c r="C570" s="41" t="str">
        <f t="shared" si="17"/>
        <v>NA</v>
      </c>
      <c r="D570" s="42" t="str">
        <f t="shared" si="18"/>
        <v>NA</v>
      </c>
      <c r="E570" s="31">
        <v>0</v>
      </c>
      <c r="F570" s="25">
        <v>0</v>
      </c>
      <c r="G570" s="25">
        <v>0</v>
      </c>
      <c r="H570" s="8">
        <v>0</v>
      </c>
      <c r="I570" s="8">
        <v>0</v>
      </c>
      <c r="J570" s="8">
        <v>0</v>
      </c>
      <c r="K570" s="8">
        <v>0</v>
      </c>
      <c r="L570" s="25">
        <v>0</v>
      </c>
      <c r="M570" s="8">
        <v>0</v>
      </c>
      <c r="N570" s="8">
        <v>0</v>
      </c>
      <c r="O570" s="8">
        <v>0</v>
      </c>
      <c r="P570" s="8">
        <v>0</v>
      </c>
      <c r="Q570" s="24">
        <v>1</v>
      </c>
      <c r="R570" s="25">
        <v>0</v>
      </c>
      <c r="S570" s="9">
        <v>1</v>
      </c>
      <c r="T570" s="8">
        <v>0</v>
      </c>
      <c r="U570" s="8">
        <v>0</v>
      </c>
      <c r="V570" s="8">
        <v>4</v>
      </c>
      <c r="W570" s="8">
        <v>0</v>
      </c>
      <c r="X570" s="8">
        <v>0</v>
      </c>
      <c r="Y570" s="7">
        <v>-0.3</v>
      </c>
      <c r="Z570" s="7">
        <v>81.3</v>
      </c>
      <c r="AA570" s="7">
        <v>77.8</v>
      </c>
      <c r="AB570" s="7">
        <v>3.5</v>
      </c>
      <c r="AC570" s="7">
        <v>25</v>
      </c>
      <c r="AD570" s="7">
        <v>0</v>
      </c>
      <c r="AE570" s="7">
        <v>100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111.25</v>
      </c>
      <c r="AN570" s="7">
        <v>11.4</v>
      </c>
      <c r="AO570" s="7">
        <v>16</v>
      </c>
    </row>
  </sheetData>
  <autoFilter ref="A1:AO1" xr:uid="{F3A8DEB1-8672-3546-B5CE-59FA38C55347}"/>
  <hyperlinks>
    <hyperlink ref="A2" r:id="rId1" xr:uid="{B0BDD0FD-01BF-9D47-ACC7-EF5AAC6CF280}"/>
    <hyperlink ref="B2" r:id="rId2" xr:uid="{35295461-3916-7E4A-98F7-BBF064343D09}"/>
    <hyperlink ref="A3" r:id="rId3" xr:uid="{3300A7B6-2860-3D4A-8522-92191454ED15}"/>
    <hyperlink ref="B3" r:id="rId4" xr:uid="{CCA3CF72-0B98-D540-8455-8C99E8CEEB05}"/>
    <hyperlink ref="A4" r:id="rId5" xr:uid="{51ACCCFA-8A60-B645-A7DF-AF8591578F27}"/>
    <hyperlink ref="B4" r:id="rId6" xr:uid="{2777B0B0-5EF6-4149-92B2-1E61CF12D451}"/>
    <hyperlink ref="A5" r:id="rId7" xr:uid="{E4B1036B-0E1F-254C-9FB5-BD277E167755}"/>
    <hyperlink ref="B5" r:id="rId8" xr:uid="{B97D676A-E35C-2246-82E3-79A555852CA1}"/>
    <hyperlink ref="A6" r:id="rId9" xr:uid="{5AC9F993-3DDB-7541-B501-8320AEBC453B}"/>
    <hyperlink ref="B6" r:id="rId10" xr:uid="{BB6FE4EC-A540-5241-98D7-226018EE83D0}"/>
    <hyperlink ref="A7" r:id="rId11" xr:uid="{AA4DC96F-4CB8-4E4B-91AF-C03765EBA811}"/>
    <hyperlink ref="B7" r:id="rId12" xr:uid="{AC2814B2-9CBA-A844-B381-8AE4F9991B68}"/>
    <hyperlink ref="A8" r:id="rId13" xr:uid="{2245DCBF-5516-C24A-AC72-189B0FAC7A94}"/>
    <hyperlink ref="B8" r:id="rId14" xr:uid="{0971B78D-E3C8-324B-AA06-C13BAC5848D6}"/>
    <hyperlink ref="A9" r:id="rId15" xr:uid="{FE7FEB26-58A8-1D43-BE77-BA086B553982}"/>
    <hyperlink ref="B9" r:id="rId16" xr:uid="{61414E1F-77DA-E140-9C7A-D82FA816B126}"/>
    <hyperlink ref="A10" r:id="rId17" xr:uid="{032B8148-4433-8F45-825E-4FB909DD53EB}"/>
    <hyperlink ref="B10" r:id="rId18" xr:uid="{5C02B030-B4E4-BE4A-80D4-8E9E8AD85B2D}"/>
    <hyperlink ref="A11" r:id="rId19" xr:uid="{A4218DE6-D520-4F46-ADEF-52E619E031E8}"/>
    <hyperlink ref="B11" r:id="rId20" xr:uid="{5E818918-9F2A-5249-954D-157C74CC3CCB}"/>
    <hyperlink ref="A12" r:id="rId21" xr:uid="{A9E17D91-F248-F54E-9E18-4D519A2833D6}"/>
    <hyperlink ref="B12" r:id="rId22" xr:uid="{491F679E-B4D3-CB42-B21A-09A8841CD7DB}"/>
    <hyperlink ref="A13" r:id="rId23" xr:uid="{979CDD0A-4FFF-BC46-840A-762C13721111}"/>
    <hyperlink ref="B13" r:id="rId24" xr:uid="{7FA9C008-8448-1E49-A688-5E162A1E65CD}"/>
    <hyperlink ref="A14" r:id="rId25" xr:uid="{6DD02A07-1272-4944-85E2-60B0D6F0C045}"/>
    <hyperlink ref="B14" r:id="rId26" xr:uid="{B237B3AC-50A4-814E-9FD7-FF070F4E97B7}"/>
    <hyperlink ref="A15" r:id="rId27" xr:uid="{118EE4E3-00DA-0A40-BE7D-7931193B20A3}"/>
    <hyperlink ref="B15" r:id="rId28" xr:uid="{E7C26EFE-59C3-2E46-B437-FEA9FAEA1A98}"/>
    <hyperlink ref="A16" r:id="rId29" xr:uid="{2B0D72D9-166A-3244-97B6-7482114ADB74}"/>
    <hyperlink ref="B16" r:id="rId30" xr:uid="{617CD361-89A3-5B43-BC2B-26D7AA844B45}"/>
    <hyperlink ref="A17" r:id="rId31" xr:uid="{1267F6D6-9090-2846-9945-7BFB6237865A}"/>
    <hyperlink ref="B17" r:id="rId32" xr:uid="{7827D73D-A59B-4E4D-A414-CC33AE4798D7}"/>
    <hyperlink ref="A18" r:id="rId33" xr:uid="{67A072D5-A226-B349-AE09-A084418EB14C}"/>
    <hyperlink ref="B18" r:id="rId34" xr:uid="{F3F5F411-8AF3-1644-9C8B-15840CD658CF}"/>
    <hyperlink ref="A19" r:id="rId35" xr:uid="{11C400AF-C1BF-5E44-8E5C-30FC6985962F}"/>
    <hyperlink ref="B19" r:id="rId36" xr:uid="{67B5B8A3-1E57-964B-8ADE-79F365E939E6}"/>
    <hyperlink ref="A20" r:id="rId37" xr:uid="{80FA8BA2-A39F-8144-913D-1F683AA1BA77}"/>
    <hyperlink ref="B20" r:id="rId38" xr:uid="{4E9F0081-E5D9-DC4E-93BB-63BE6DD6A50A}"/>
    <hyperlink ref="A21" r:id="rId39" xr:uid="{904FC3F6-8BD5-024D-A9FE-B7B7D2621D2A}"/>
    <hyperlink ref="B21" r:id="rId40" xr:uid="{54557234-F439-ED45-B4C5-03A7F7395573}"/>
    <hyperlink ref="A22" r:id="rId41" xr:uid="{50017DFC-3F14-5D44-9DEC-D8DCD1AA07AE}"/>
    <hyperlink ref="B22" r:id="rId42" xr:uid="{0FCF412D-39DF-0D40-9751-0158069B7456}"/>
    <hyperlink ref="A23" r:id="rId43" xr:uid="{6AE2203F-1A28-FE4D-9286-0AC18BF6E3F7}"/>
    <hyperlink ref="B23" r:id="rId44" xr:uid="{61D50EB3-72FC-4349-892F-02FFCCA07FB1}"/>
    <hyperlink ref="A24" r:id="rId45" xr:uid="{042DEB59-60FD-8F49-8591-F58D9D8F9322}"/>
    <hyperlink ref="B24" r:id="rId46" xr:uid="{FB0C6150-D844-E845-8621-A23DCF7B9B5C}"/>
    <hyperlink ref="A25" r:id="rId47" xr:uid="{1D3F665D-B8AF-BF42-8B77-76E043CEDFC5}"/>
    <hyperlink ref="B25" r:id="rId48" xr:uid="{8787AAE0-7439-4F4E-AAF1-2D40310EDA5C}"/>
    <hyperlink ref="A26" r:id="rId49" xr:uid="{8434B079-8758-2443-9338-37BCCBC9571C}"/>
    <hyperlink ref="B26" r:id="rId50" xr:uid="{9B824987-BD1B-F546-98BE-4F1867DD865D}"/>
    <hyperlink ref="A27" r:id="rId51" xr:uid="{724EF343-3142-8B47-8D53-1F57D8C99447}"/>
    <hyperlink ref="B27" r:id="rId52" xr:uid="{85DC8139-4170-7649-831F-4E7FC5B72A5E}"/>
    <hyperlink ref="A28" r:id="rId53" xr:uid="{FC2BBBB9-3C80-5D4D-B92D-21CD8C9284FC}"/>
    <hyperlink ref="B28" r:id="rId54" xr:uid="{146459C5-B0DA-BA43-B266-6951D33F4EA4}"/>
    <hyperlink ref="A29" r:id="rId55" xr:uid="{553C6046-B90C-9141-B033-01B82A329CAE}"/>
    <hyperlink ref="B29" r:id="rId56" xr:uid="{83229E9B-F4A1-6649-9FA3-695AF0988C92}"/>
    <hyperlink ref="A30" r:id="rId57" xr:uid="{1A261D3C-72F3-3541-9690-85524D019BA6}"/>
    <hyperlink ref="B30" r:id="rId58" xr:uid="{1E42DCC6-4F0B-BE48-BCFC-05A0168B16A6}"/>
    <hyperlink ref="A31" r:id="rId59" xr:uid="{6736F4BA-612B-9B4C-8CFC-97B6EE3D7987}"/>
    <hyperlink ref="B31" r:id="rId60" xr:uid="{42CA5702-8019-564A-8020-79C595B4D333}"/>
    <hyperlink ref="A32" r:id="rId61" xr:uid="{A737C7EF-0D69-3F43-BE14-66A6A0BB9D52}"/>
    <hyperlink ref="B32" r:id="rId62" xr:uid="{710F0332-B4AF-BF4A-B95E-3530B09D59FE}"/>
    <hyperlink ref="A33" r:id="rId63" xr:uid="{9834EAE1-5BE2-0C4E-8C43-D8C6A330CFBA}"/>
    <hyperlink ref="B33" r:id="rId64" xr:uid="{3B4A1CAD-CBB3-8F4A-9F5F-25C02E91E62C}"/>
    <hyperlink ref="A34" r:id="rId65" xr:uid="{0C84CD69-790A-7F4F-B6D9-F021F81D95FB}"/>
    <hyperlink ref="B34" r:id="rId66" xr:uid="{8E7BE36B-1988-E24D-81BA-C2D2D627A043}"/>
    <hyperlink ref="A35" r:id="rId67" xr:uid="{EA6463A6-FAD1-2C42-B89B-F641F351684D}"/>
    <hyperlink ref="B35" r:id="rId68" xr:uid="{2C767C8C-F3FD-3C47-A669-B021B78C457E}"/>
    <hyperlink ref="A36" r:id="rId69" xr:uid="{62E3F34E-6D39-6346-9716-F7F909553FF8}"/>
    <hyperlink ref="B36" r:id="rId70" xr:uid="{7AD911DF-D1F8-4D4D-BFC7-B5F9385013F8}"/>
    <hyperlink ref="A37" r:id="rId71" xr:uid="{0B59DB73-CD45-E04B-83EF-AA34F33B4D41}"/>
    <hyperlink ref="B37" r:id="rId72" xr:uid="{010FCBA3-C4E0-E04B-9F38-BE07D6F652F6}"/>
    <hyperlink ref="A38" r:id="rId73" xr:uid="{18384B65-740B-A948-B234-FD045EEBA5DB}"/>
    <hyperlink ref="B38" r:id="rId74" xr:uid="{65DB3B6D-4CD6-D147-9250-4070AC332561}"/>
    <hyperlink ref="A39" r:id="rId75" xr:uid="{BCE57D0F-EC32-1B46-B81E-31D98F74C64C}"/>
    <hyperlink ref="B39" r:id="rId76" xr:uid="{4B7A0690-9CDA-C647-BD04-BEC1BE2B5238}"/>
    <hyperlink ref="A40" r:id="rId77" xr:uid="{C2FEAAB6-A04E-FD49-9DCC-6C117FF75133}"/>
    <hyperlink ref="B40" r:id="rId78" xr:uid="{F8AE896A-A2E1-C049-ACF9-8E9827E42A1C}"/>
    <hyperlink ref="A41" r:id="rId79" xr:uid="{0D3914C0-51F7-2E42-BDAC-2CEEACC5BE47}"/>
    <hyperlink ref="B41" r:id="rId80" xr:uid="{9AB88E62-F2B2-3C46-BCBA-8E2CA77DD50C}"/>
    <hyperlink ref="A42" r:id="rId81" xr:uid="{1BAA526E-63C3-9343-87F7-7E191AE2B5DC}"/>
    <hyperlink ref="B42" r:id="rId82" xr:uid="{6D8C35FB-65AC-304C-A36C-DB6BE6E95D67}"/>
    <hyperlink ref="A43" r:id="rId83" xr:uid="{A5AB13FE-D9DA-324C-AD65-2A42E1471F70}"/>
    <hyperlink ref="B43" r:id="rId84" xr:uid="{2062857E-94C6-CC4C-8E9B-CA2756A26E31}"/>
    <hyperlink ref="A44" r:id="rId85" xr:uid="{DF0456C1-F3BD-A944-A3E1-E53A1255F6EA}"/>
    <hyperlink ref="B44" r:id="rId86" xr:uid="{B29E5168-679F-CC48-841A-5922BE9E7839}"/>
    <hyperlink ref="A45" r:id="rId87" xr:uid="{20373DAC-42CC-404D-8440-338FEB7945BF}"/>
    <hyperlink ref="B45" r:id="rId88" xr:uid="{E9B2945A-6774-AD48-8BBA-DA2FAD7141CA}"/>
    <hyperlink ref="A46" r:id="rId89" xr:uid="{2FED035F-73F2-654B-B7C3-6D1145E7D063}"/>
    <hyperlink ref="B46" r:id="rId90" xr:uid="{5D53546B-7B01-7943-A67D-6F80E4F3CB2A}"/>
    <hyperlink ref="A47" r:id="rId91" xr:uid="{9A3BC515-7B56-2449-B6C3-A63A1AB9296F}"/>
    <hyperlink ref="B47" r:id="rId92" xr:uid="{B9DB23FD-CDED-5F44-B991-334A71A9D08F}"/>
    <hyperlink ref="A48" r:id="rId93" xr:uid="{94CA5CBD-B9D3-9B42-BC24-50A506C982BE}"/>
    <hyperlink ref="B48" r:id="rId94" xr:uid="{EF9BE67F-4A83-8642-BE90-A39E374B8BDB}"/>
    <hyperlink ref="A49" r:id="rId95" xr:uid="{32426B9B-10E8-F04D-A396-69AECC3A2679}"/>
    <hyperlink ref="B49" r:id="rId96" xr:uid="{0069764C-6850-8340-86CF-8C820C5AF5E1}"/>
    <hyperlink ref="A50" r:id="rId97" xr:uid="{2AD033CD-23E5-3144-A10A-500C76D4F83A}"/>
    <hyperlink ref="B50" r:id="rId98" xr:uid="{24AA9A73-E700-504F-ABCA-9369E1D0D28C}"/>
    <hyperlink ref="A51" r:id="rId99" xr:uid="{35E9DEA3-6A5E-2A43-80DA-51E5EF6D1B12}"/>
    <hyperlink ref="B51" r:id="rId100" xr:uid="{2FC5C1E2-7457-9F49-BBC5-AA526D04019E}"/>
    <hyperlink ref="A52" r:id="rId101" xr:uid="{BB34B337-FB56-D543-B3A7-D98F0019413C}"/>
    <hyperlink ref="B52" r:id="rId102" xr:uid="{BDBFAE6D-82AA-5B44-92AE-F335BE78E050}"/>
    <hyperlink ref="A53" r:id="rId103" xr:uid="{BFFBA6BE-BDA7-C348-AB5D-01BF1FEA3060}"/>
    <hyperlink ref="B53" r:id="rId104" xr:uid="{CC3E600F-C573-F141-96B1-5B742D4780A1}"/>
    <hyperlink ref="A54" r:id="rId105" xr:uid="{23D69E37-9250-8A49-8070-BFE8B024389B}"/>
    <hyperlink ref="B54" r:id="rId106" xr:uid="{CC242C6D-BF46-4C47-9D11-EA90BC12AE58}"/>
    <hyperlink ref="A55" r:id="rId107" xr:uid="{C711F375-A758-244D-BF2B-F8C5AAE7BC24}"/>
    <hyperlink ref="B55" r:id="rId108" xr:uid="{8AFC450A-7D28-514F-AAD0-BC703A99EA7C}"/>
    <hyperlink ref="A56" r:id="rId109" xr:uid="{FEAD3D70-736B-F34B-9099-C352F34AA7C5}"/>
    <hyperlink ref="B56" r:id="rId110" xr:uid="{E14727E0-270A-6748-BCD6-83360C6195C5}"/>
    <hyperlink ref="A57" r:id="rId111" xr:uid="{B4962A96-2003-5545-A114-C02578B280FC}"/>
    <hyperlink ref="B57" r:id="rId112" xr:uid="{321B6ECE-E599-2C45-B6EA-72DF056CFF29}"/>
    <hyperlink ref="A58" r:id="rId113" xr:uid="{D66E802C-5C01-7D4C-8E83-14893C5A703A}"/>
    <hyperlink ref="B58" r:id="rId114" xr:uid="{91C24DB2-2651-1343-B0A3-7938903CB4AA}"/>
    <hyperlink ref="A59" r:id="rId115" xr:uid="{61DBAEDB-CA6E-E84A-83ED-469560DDB8F8}"/>
    <hyperlink ref="B59" r:id="rId116" xr:uid="{27FB3E05-E418-BA4F-8BE2-0DA1C3B57C1D}"/>
    <hyperlink ref="A60" r:id="rId117" xr:uid="{35FD7FC9-E4C1-B142-BACF-5C9124DA30AF}"/>
    <hyperlink ref="B60" r:id="rId118" xr:uid="{E5D53306-47F3-C24C-963F-D07A269AA40E}"/>
    <hyperlink ref="A61" r:id="rId119" xr:uid="{7C758185-C1DF-4742-8641-6EA12E09CFF7}"/>
    <hyperlink ref="B61" r:id="rId120" xr:uid="{54B05B5A-4AAC-A345-9992-0E59609DDFBF}"/>
    <hyperlink ref="A62" r:id="rId121" xr:uid="{A46B7736-D59B-FC47-9067-3B2A0F0A37CD}"/>
    <hyperlink ref="B62" r:id="rId122" xr:uid="{BA490735-71A5-BB42-9866-EA3EE96D743B}"/>
    <hyperlink ref="A63" r:id="rId123" xr:uid="{FEA6D350-9A1C-5946-A80D-5D2A53E19971}"/>
    <hyperlink ref="B63" r:id="rId124" xr:uid="{100CC5D6-7E1C-F349-BE00-EF96B8912DA3}"/>
    <hyperlink ref="A64" r:id="rId125" xr:uid="{88F61306-5D78-E549-A4AA-9366E2CB5526}"/>
    <hyperlink ref="B64" r:id="rId126" xr:uid="{EB54ABF0-76DE-2C45-B90E-60B18DE52C5D}"/>
    <hyperlink ref="A65" r:id="rId127" xr:uid="{BFF08A23-1672-A84F-904E-5C080391DB91}"/>
    <hyperlink ref="B65" r:id="rId128" xr:uid="{40F3FB4B-EA58-5D45-BB0E-5AAC0E983450}"/>
    <hyperlink ref="A66" r:id="rId129" xr:uid="{6876A784-26C2-FA47-AAD8-0DC08668F1D2}"/>
    <hyperlink ref="B66" r:id="rId130" xr:uid="{9C602E32-3535-1540-A77C-43CCFA618FC3}"/>
    <hyperlink ref="A67" r:id="rId131" xr:uid="{CF46E278-2C25-F34B-A550-D3C81662F5E1}"/>
    <hyperlink ref="B67" r:id="rId132" xr:uid="{B115B35F-9206-F745-9ED1-CF2E288E79B9}"/>
    <hyperlink ref="A68" r:id="rId133" xr:uid="{A1BF2799-C138-D345-8465-A23CD0CB7D2B}"/>
    <hyperlink ref="B68" r:id="rId134" xr:uid="{5F94AEF2-A1E5-3049-9ABA-FB6494A14CD3}"/>
    <hyperlink ref="A69" r:id="rId135" xr:uid="{B5393870-E2DA-334D-A0E8-733C13889E68}"/>
    <hyperlink ref="B69" r:id="rId136" xr:uid="{6DBAA4CE-C191-B542-8B0B-87FB1D84BFB0}"/>
    <hyperlink ref="A70" r:id="rId137" xr:uid="{E33578BA-47DE-F047-B66D-5C0EE0619BAE}"/>
    <hyperlink ref="B70" r:id="rId138" xr:uid="{07867510-CF12-5845-A0E4-1B2310526AF7}"/>
    <hyperlink ref="A71" r:id="rId139" xr:uid="{327C9862-2DA8-C243-9334-1D5098851898}"/>
    <hyperlink ref="B71" r:id="rId140" xr:uid="{945ED4D4-BF5B-A847-9AF0-7E9C2456AE31}"/>
    <hyperlink ref="A72" r:id="rId141" xr:uid="{1EF0331E-31BA-2A4A-9323-D7F45F48F3C5}"/>
    <hyperlink ref="B72" r:id="rId142" xr:uid="{E828FCFC-8DCD-024A-A120-C66D13EFC54B}"/>
    <hyperlink ref="A73" r:id="rId143" xr:uid="{F21D3557-97DB-ED42-B21D-749180E6AD4C}"/>
    <hyperlink ref="B73" r:id="rId144" xr:uid="{60E21C56-5381-1341-AA8D-B4F157E76F26}"/>
    <hyperlink ref="A74" r:id="rId145" xr:uid="{06247924-8B20-4247-9455-B63360AB3CE7}"/>
    <hyperlink ref="B74" r:id="rId146" xr:uid="{CD97C58F-2C40-5544-AD96-9CEBF1528C51}"/>
    <hyperlink ref="A75" r:id="rId147" xr:uid="{44A902BA-C29E-0947-9D36-16A6217F3A1F}"/>
    <hyperlink ref="B75" r:id="rId148" xr:uid="{A43D64A9-0922-2045-95FD-EA23FE6E690A}"/>
    <hyperlink ref="A76" r:id="rId149" xr:uid="{3D830071-DFB3-7C41-8DC1-134089F8E461}"/>
    <hyperlink ref="B76" r:id="rId150" xr:uid="{FDA938ED-1971-EE43-B2C1-AA7250FA1712}"/>
    <hyperlink ref="A77" r:id="rId151" xr:uid="{F528F773-14E9-9B4B-ABE6-41753D7B7762}"/>
    <hyperlink ref="B77" r:id="rId152" xr:uid="{3DFE819A-3D5D-6344-A671-C3D03B2B77C3}"/>
    <hyperlink ref="A78" r:id="rId153" xr:uid="{E4CBB93C-5F22-6F49-B877-5ADC9085DB54}"/>
    <hyperlink ref="B78" r:id="rId154" xr:uid="{C1147FDF-0741-0B44-9CD2-8CA48D650E7C}"/>
    <hyperlink ref="A79" r:id="rId155" xr:uid="{A19A74BD-822A-224A-AE49-5AEC98157A28}"/>
    <hyperlink ref="B79" r:id="rId156" xr:uid="{21B681AA-6BA2-4641-A7EB-FB5E326CDA41}"/>
    <hyperlink ref="A80" r:id="rId157" xr:uid="{D7B75656-C4D5-4F4F-95E8-7C97EBEF07C7}"/>
    <hyperlink ref="B80" r:id="rId158" xr:uid="{3EB81919-24EE-C34D-A071-3BE13CD38893}"/>
    <hyperlink ref="A81" r:id="rId159" xr:uid="{5CF30473-3414-CF43-8661-93EB687795C1}"/>
    <hyperlink ref="B81" r:id="rId160" xr:uid="{C4BAC3B3-3EB4-7542-AF3F-CC2ACA91C99A}"/>
    <hyperlink ref="A82" r:id="rId161" xr:uid="{F475FC21-2FBA-F047-8152-C4F02E23E513}"/>
    <hyperlink ref="B82" r:id="rId162" xr:uid="{B08150E9-A2D3-F04E-83EC-D80A20A735A5}"/>
    <hyperlink ref="A83" r:id="rId163" xr:uid="{BC09F8CB-2D16-044F-A4C0-8A5571F938C3}"/>
    <hyperlink ref="B83" r:id="rId164" xr:uid="{27D7B2D9-9154-5547-9FD3-758B889131F8}"/>
    <hyperlink ref="A84" r:id="rId165" xr:uid="{D9B318F4-A6AA-8343-8E4E-A13933DA31A3}"/>
    <hyperlink ref="B84" r:id="rId166" xr:uid="{B06B7A91-EC20-CA43-9799-43A3CA029FFC}"/>
    <hyperlink ref="A85" r:id="rId167" xr:uid="{74CD3EE9-D5CC-1C4B-93E0-598D5DCDA2D0}"/>
    <hyperlink ref="B85" r:id="rId168" xr:uid="{090028D0-E0A2-0948-9024-1FD6ED27E654}"/>
    <hyperlink ref="A86" r:id="rId169" xr:uid="{0C02CFEE-E1A5-3C41-832A-0E686421A278}"/>
    <hyperlink ref="B86" r:id="rId170" xr:uid="{E9CCECF7-C93C-6C4F-B120-E419CBA4E117}"/>
    <hyperlink ref="A87" r:id="rId171" xr:uid="{A75DD3E7-8A4B-D743-B4C6-1AFCE18DD961}"/>
    <hyperlink ref="B87" r:id="rId172" xr:uid="{2FF9A3E9-7020-D942-B909-2A751DC7C4B2}"/>
    <hyperlink ref="A88" r:id="rId173" xr:uid="{0EFD45E8-35E1-3944-A9EE-B9E38B6F3873}"/>
    <hyperlink ref="B88" r:id="rId174" xr:uid="{9CE9C3CE-64EC-E249-B5F2-E152D28F14B0}"/>
    <hyperlink ref="A89" r:id="rId175" xr:uid="{6B0547A4-C0A6-894A-8669-6ADC2A216ADC}"/>
    <hyperlink ref="B89" r:id="rId176" xr:uid="{7615C2DF-235B-8F47-AC0E-B93D9942178E}"/>
    <hyperlink ref="A90" r:id="rId177" xr:uid="{FA9C18FA-2513-0F46-A3D8-C8EA219BF682}"/>
    <hyperlink ref="B90" r:id="rId178" xr:uid="{ACFDA5C7-C31B-334B-A670-D9AC4FDCE74E}"/>
    <hyperlink ref="A91" r:id="rId179" xr:uid="{5496ED1D-3612-F54D-A59A-E6BB64D8AE4B}"/>
    <hyperlink ref="B91" r:id="rId180" xr:uid="{E0BC899C-AE66-5B47-A712-8F4CB629B628}"/>
    <hyperlink ref="A92" r:id="rId181" xr:uid="{472D9EBC-963C-9845-9EAB-E26B21AEAD12}"/>
    <hyperlink ref="B92" r:id="rId182" xr:uid="{CBD1B56D-FB0D-8F4D-8B1D-7D411870D1EA}"/>
    <hyperlink ref="A93" r:id="rId183" xr:uid="{4F0A1BF4-E790-1340-B48D-57E34E37362A}"/>
    <hyperlink ref="B93" r:id="rId184" xr:uid="{48F708FC-7F4C-5542-8719-3EA02B3A1204}"/>
    <hyperlink ref="A94" r:id="rId185" xr:uid="{22CDFCDA-14D6-F74E-A8D0-622256DC5919}"/>
    <hyperlink ref="B94" r:id="rId186" xr:uid="{61B07948-06D8-9148-B596-C9CDC5A8AB00}"/>
    <hyperlink ref="A95" r:id="rId187" xr:uid="{012E0E11-2F4F-DA44-85AB-B96120BE57A1}"/>
    <hyperlink ref="B95" r:id="rId188" xr:uid="{8E529A2B-ACB1-5249-A92C-7E4147CE2FE0}"/>
    <hyperlink ref="A96" r:id="rId189" xr:uid="{FC8CC98E-274A-0548-96DD-873A3C11789A}"/>
    <hyperlink ref="B96" r:id="rId190" xr:uid="{3504237D-EBF3-B34E-AB00-44E3D9FC6F4F}"/>
    <hyperlink ref="A97" r:id="rId191" xr:uid="{D301EB2C-BC30-824C-873B-0921A8108ECF}"/>
    <hyperlink ref="B97" r:id="rId192" xr:uid="{BDF3C65C-EB07-C64E-93C2-E86FF4A570CC}"/>
    <hyperlink ref="A98" r:id="rId193" xr:uid="{CBE085FE-D3E1-EE4C-B81A-129772C98B20}"/>
    <hyperlink ref="B98" r:id="rId194" xr:uid="{275D9E9B-2763-864C-AB54-43A64579B37C}"/>
    <hyperlink ref="A99" r:id="rId195" xr:uid="{B0A5237C-4527-9A48-A136-B24B8D778D99}"/>
    <hyperlink ref="B99" r:id="rId196" xr:uid="{6705AB2C-81C8-784D-8A2F-2BACE38E711F}"/>
    <hyperlink ref="A100" r:id="rId197" xr:uid="{98980F8C-809A-FA4A-A454-D4CD71CBDE68}"/>
    <hyperlink ref="B100" r:id="rId198" xr:uid="{21F405C7-6AC5-AB44-ADD4-566CC344FD86}"/>
    <hyperlink ref="A101" r:id="rId199" xr:uid="{60510B39-6641-5047-8990-C940F9A23215}"/>
    <hyperlink ref="B101" r:id="rId200" xr:uid="{DB326754-C783-894B-ADAF-9E0E2DFA3133}"/>
    <hyperlink ref="A102" r:id="rId201" xr:uid="{3622ACEC-0F4E-2A4A-9A3F-95052DEEF862}"/>
    <hyperlink ref="B102" r:id="rId202" xr:uid="{D2706406-DC6E-194F-A8E2-67B5B8A690D7}"/>
    <hyperlink ref="A103" r:id="rId203" xr:uid="{9F1924DA-C0A2-3C4E-AE61-D810531977AE}"/>
    <hyperlink ref="B103" r:id="rId204" xr:uid="{9C841ABC-0172-1E48-9353-E15CC7DA9A2D}"/>
    <hyperlink ref="A104" r:id="rId205" xr:uid="{2A86CD88-BDAF-0A41-A0EE-59AD08FCBA32}"/>
    <hyperlink ref="B104" r:id="rId206" xr:uid="{50E1CE17-F6CB-E54F-9C92-C10556E72F58}"/>
    <hyperlink ref="A105" r:id="rId207" xr:uid="{9A8024A0-E9BF-BD4C-BFF5-658949ECA78F}"/>
    <hyperlink ref="B105" r:id="rId208" xr:uid="{D079E76D-6354-0F47-9CD1-EFF65EDEE300}"/>
    <hyperlink ref="A106" r:id="rId209" xr:uid="{8480641F-0E61-5F43-9204-8867E360FDFD}"/>
    <hyperlink ref="B106" r:id="rId210" xr:uid="{263292A0-320B-ED4B-92CA-5BE07936DE8F}"/>
    <hyperlink ref="A107" r:id="rId211" xr:uid="{97F96C52-D6AC-3040-B3C0-019FBA184898}"/>
    <hyperlink ref="B107" r:id="rId212" xr:uid="{1411ED88-FA86-F340-8D4A-FD42717C4EE1}"/>
    <hyperlink ref="A108" r:id="rId213" xr:uid="{ACAD8CE2-FB70-194C-9FE7-1AB1FCBC1D4B}"/>
    <hyperlink ref="B108" r:id="rId214" xr:uid="{D0FF6EE7-53C1-1847-9FC1-3427DD31B296}"/>
    <hyperlink ref="A109" r:id="rId215" xr:uid="{56B5552A-02B5-DB4F-BF87-91B423BFA602}"/>
    <hyperlink ref="B109" r:id="rId216" xr:uid="{E04A24DE-FA83-3A4A-97F5-B5BC4D32755A}"/>
    <hyperlink ref="A110" r:id="rId217" xr:uid="{22733ED0-EBA0-8645-9AE3-62A9B0A84B5B}"/>
    <hyperlink ref="B110" r:id="rId218" xr:uid="{E76C2116-421E-8B48-B7F1-E16D8EBE6C52}"/>
    <hyperlink ref="A111" r:id="rId219" xr:uid="{64F859EB-E1C1-064F-AD10-34EAB61B1989}"/>
    <hyperlink ref="B111" r:id="rId220" xr:uid="{879A704F-41D6-3748-AE6B-DD32E99EEF32}"/>
    <hyperlink ref="A112" r:id="rId221" xr:uid="{C863B70C-017E-0B46-8F66-259C3147FAB8}"/>
    <hyperlink ref="B112" r:id="rId222" xr:uid="{21D83E21-286A-EF49-AACC-CB889394C498}"/>
    <hyperlink ref="A113" r:id="rId223" xr:uid="{1B96DF41-EDCC-6E40-982F-EA660CC7A72E}"/>
    <hyperlink ref="B113" r:id="rId224" xr:uid="{FDE1A194-9A79-4047-B803-079DF47D8F1C}"/>
    <hyperlink ref="A114" r:id="rId225" xr:uid="{9CFA009A-91CE-2A43-8FAE-1E675E3A95E3}"/>
    <hyperlink ref="B114" r:id="rId226" xr:uid="{5E14F759-1F25-6C43-A191-F1FFF3AD67F0}"/>
    <hyperlink ref="A115" r:id="rId227" xr:uid="{3EE41847-4407-474B-99E8-2BCE488EC034}"/>
    <hyperlink ref="B115" r:id="rId228" xr:uid="{F6D07AD9-B49E-C946-B15C-D1E2D389A371}"/>
    <hyperlink ref="A116" r:id="rId229" xr:uid="{8FF90F08-2AFE-C641-B877-66A127E22E26}"/>
    <hyperlink ref="B116" r:id="rId230" xr:uid="{F23FBA83-C624-C741-AC4B-E1A6AFDA617E}"/>
    <hyperlink ref="A117" r:id="rId231" xr:uid="{FF160974-81A7-484E-9A1A-95DC6698C783}"/>
    <hyperlink ref="B117" r:id="rId232" xr:uid="{BA439A36-A20B-3844-9233-A01B2974C8DE}"/>
    <hyperlink ref="A118" r:id="rId233" xr:uid="{770B682D-5560-ED43-A6D8-7DFA239F6DAA}"/>
    <hyperlink ref="B118" r:id="rId234" xr:uid="{9F1B8789-52D6-2F45-87C7-3B9F8AD7EDE7}"/>
    <hyperlink ref="A119" r:id="rId235" xr:uid="{E72E2B1A-0684-2340-9D5A-0754EC8E88D2}"/>
    <hyperlink ref="B119" r:id="rId236" xr:uid="{8C4D5E05-25FE-644C-85D0-11C7E898B8D8}"/>
    <hyperlink ref="A120" r:id="rId237" xr:uid="{26C57ED1-1066-834B-B3F2-D6782AEBC5D0}"/>
    <hyperlink ref="B120" r:id="rId238" xr:uid="{CF0F4A0C-1D48-D046-8CA7-F82D50A59AB1}"/>
    <hyperlink ref="A121" r:id="rId239" xr:uid="{0E929388-CAAC-C846-81FD-7E209BC664F9}"/>
    <hyperlink ref="B121" r:id="rId240" xr:uid="{F8CB3DC9-499C-F249-ABFA-C2A741859114}"/>
    <hyperlink ref="A122" r:id="rId241" xr:uid="{F9E14EC5-52E0-1949-9FE9-172FD1BFAEF9}"/>
    <hyperlink ref="B122" r:id="rId242" xr:uid="{40828D49-52E5-614D-A3E0-FE30750A8F49}"/>
    <hyperlink ref="A123" r:id="rId243" xr:uid="{31FBC6B8-9EB7-084D-978C-F5D0A3CADED8}"/>
    <hyperlink ref="B123" r:id="rId244" xr:uid="{1725B17D-1102-5649-BCE4-E35A4467E961}"/>
    <hyperlink ref="A124" r:id="rId245" xr:uid="{D11656F5-676E-D84C-9948-2B0F70AC896C}"/>
    <hyperlink ref="B124" r:id="rId246" xr:uid="{F9FDDA35-CBFA-3C43-94AB-85446182AA96}"/>
    <hyperlink ref="A125" r:id="rId247" xr:uid="{5147B88D-DA14-854D-B52D-E17746653547}"/>
    <hyperlink ref="B125" r:id="rId248" xr:uid="{DD00E3A3-8730-5C48-BD4B-B73CC584AA31}"/>
    <hyperlink ref="A126" r:id="rId249" xr:uid="{9A3C2048-D85B-F648-96B8-4F69E58704F2}"/>
    <hyperlink ref="B126" r:id="rId250" xr:uid="{DB963C64-43B9-C04D-BD1D-64AD4122B1E6}"/>
    <hyperlink ref="A127" r:id="rId251" xr:uid="{D1A73127-1C1E-404B-9F63-D4E8533A21B2}"/>
    <hyperlink ref="B127" r:id="rId252" xr:uid="{3C15C94E-92D9-E24E-A8D7-ACFDD0CF8DAD}"/>
    <hyperlink ref="A128" r:id="rId253" xr:uid="{4382502D-8AA7-4F4E-925B-EADCACDBA708}"/>
    <hyperlink ref="B128" r:id="rId254" xr:uid="{00A7A85E-4713-3740-9938-AF531219B0C2}"/>
    <hyperlink ref="A129" r:id="rId255" xr:uid="{AEBF8F89-CC7F-BC41-9390-2F54550617DF}"/>
    <hyperlink ref="B129" r:id="rId256" xr:uid="{3458CDFC-C09A-954E-8A66-DCEF923553C2}"/>
    <hyperlink ref="A130" r:id="rId257" xr:uid="{44188200-55BD-0B4C-9F1C-476DBABE0973}"/>
    <hyperlink ref="B130" r:id="rId258" xr:uid="{7E862CE2-F6E1-854D-A386-019086B1479A}"/>
    <hyperlink ref="A131" r:id="rId259" xr:uid="{9E9D8234-2139-8146-B749-5E7570A392C3}"/>
    <hyperlink ref="B131" r:id="rId260" xr:uid="{E87BCD7C-0842-0D44-B502-BCCAD4004616}"/>
    <hyperlink ref="A132" r:id="rId261" xr:uid="{2EE2180A-5945-A04B-BC9E-3F1B71C22D6E}"/>
    <hyperlink ref="B132" r:id="rId262" xr:uid="{B6EF3DF8-3DC3-CD41-B29D-ADD2780A168F}"/>
    <hyperlink ref="A133" r:id="rId263" xr:uid="{22D95528-AF74-974F-A3D6-A5271A0A643C}"/>
    <hyperlink ref="B133" r:id="rId264" xr:uid="{AB54864C-11B9-874A-9CEE-1F846D5BF78E}"/>
    <hyperlink ref="A134" r:id="rId265" xr:uid="{29C37457-0E03-C14E-86A5-B826C1A99CAD}"/>
    <hyperlink ref="B134" r:id="rId266" xr:uid="{54E17734-BDA4-5A4D-AB41-78B3AF9B2ACE}"/>
    <hyperlink ref="A135" r:id="rId267" xr:uid="{D693488D-BA34-744D-80BA-A6F6D0C6EAA3}"/>
    <hyperlink ref="B135" r:id="rId268" xr:uid="{14413D1B-D6F7-5B48-B94E-7B3B836D9CAE}"/>
    <hyperlink ref="A136" r:id="rId269" xr:uid="{F794123D-FDD2-2348-B794-A8DB5F06D5D3}"/>
    <hyperlink ref="B136" r:id="rId270" xr:uid="{D47DF49D-5917-0D4B-AF56-9A8CCB3CF65A}"/>
    <hyperlink ref="A137" r:id="rId271" xr:uid="{5058B74A-5A9F-DC44-B264-9E5C2DE81E3F}"/>
    <hyperlink ref="B137" r:id="rId272" xr:uid="{3AB9C5BF-8FC6-824B-BA47-8F6AA1A9E410}"/>
    <hyperlink ref="A138" r:id="rId273" xr:uid="{4829DFDF-B1B8-804F-B962-EE915C514A26}"/>
    <hyperlink ref="B138" r:id="rId274" xr:uid="{43C841A3-2E1B-B644-9981-C96930047AB2}"/>
    <hyperlink ref="A139" r:id="rId275" xr:uid="{B0B1C95A-9089-164B-BFB8-8DD9F8B52930}"/>
    <hyperlink ref="B139" r:id="rId276" xr:uid="{BE6A3DD0-5FD4-4041-97EB-3F72D99B51B1}"/>
    <hyperlink ref="A140" r:id="rId277" xr:uid="{FE0B90D3-BEA3-CF42-9304-C9989DD03086}"/>
    <hyperlink ref="B140" r:id="rId278" xr:uid="{A588480F-B0A7-4342-8ACE-D898BB241810}"/>
    <hyperlink ref="A141" r:id="rId279" xr:uid="{1B22D2D5-B493-AD48-9017-1C3C5D5F2B7A}"/>
    <hyperlink ref="B141" r:id="rId280" xr:uid="{A7EE58C9-9B1D-B44B-A9DE-089474312DE2}"/>
    <hyperlink ref="A142" r:id="rId281" xr:uid="{1ACC224C-EFB3-5F43-8980-379A90B94ADD}"/>
    <hyperlink ref="B142" r:id="rId282" xr:uid="{060AFD9C-24B0-434B-806B-B17961790601}"/>
    <hyperlink ref="A143" r:id="rId283" xr:uid="{E02039FA-6F61-6D49-93C7-0A1A559D20D7}"/>
    <hyperlink ref="B143" r:id="rId284" xr:uid="{979CD87A-7DBC-8948-857C-CDB43FC25233}"/>
    <hyperlink ref="A144" r:id="rId285" xr:uid="{F06BFFD2-E66E-C44D-B36D-E7520B4985E2}"/>
    <hyperlink ref="B144" r:id="rId286" xr:uid="{B8E7042D-D05F-754C-8A8A-AF39C746F7EB}"/>
    <hyperlink ref="A145" r:id="rId287" xr:uid="{541620C0-6421-F240-9C3D-330D55500D93}"/>
    <hyperlink ref="B145" r:id="rId288" xr:uid="{89912812-EEAE-004F-8042-56B93FBD4BEF}"/>
    <hyperlink ref="A146" r:id="rId289" xr:uid="{DFB9E184-A4D0-E94F-8F22-CA5632250D94}"/>
    <hyperlink ref="B146" r:id="rId290" xr:uid="{34E04ED1-1DCC-E149-A33D-356C2FD553A3}"/>
    <hyperlink ref="A147" r:id="rId291" xr:uid="{63B02C72-9CB0-2840-8E56-98B077C79F86}"/>
    <hyperlink ref="B147" r:id="rId292" xr:uid="{AE4C2851-67A9-9A42-A081-541BB04801D7}"/>
    <hyperlink ref="A148" r:id="rId293" xr:uid="{284EB008-F24C-FA42-9BAB-A257800A970B}"/>
    <hyperlink ref="B148" r:id="rId294" xr:uid="{46562CAF-3575-4D4C-9968-E0CE4A9866AC}"/>
    <hyperlink ref="A149" r:id="rId295" xr:uid="{6F697996-3981-7A49-A5EA-A00338187386}"/>
    <hyperlink ref="B149" r:id="rId296" xr:uid="{5EA79BB9-698C-AA49-BE6F-3DDBCB27BF64}"/>
    <hyperlink ref="A150" r:id="rId297" xr:uid="{0BFD14E6-FEB5-2348-BDDC-4AC3BE142DB3}"/>
    <hyperlink ref="B150" r:id="rId298" xr:uid="{C1BE8F25-0110-4440-978D-598C441A7191}"/>
    <hyperlink ref="A151" r:id="rId299" xr:uid="{C7ABE58A-4CC7-EE41-88DA-AF5D7B6E4C38}"/>
    <hyperlink ref="B151" r:id="rId300" xr:uid="{917F97D4-F8F2-AE4C-B8A1-98F7E204DAF9}"/>
    <hyperlink ref="A152" r:id="rId301" xr:uid="{595777A9-60ED-A44E-8DF2-271BC3DB0C56}"/>
    <hyperlink ref="B152" r:id="rId302" xr:uid="{E79B46C2-B608-9540-85DE-58B957D8625E}"/>
    <hyperlink ref="A153" r:id="rId303" xr:uid="{71E35C53-C6F5-2C4D-9A2B-B6E277C2A883}"/>
    <hyperlink ref="B153" r:id="rId304" xr:uid="{00812FB0-65CC-C24B-AB44-86512F33160E}"/>
    <hyperlink ref="A154" r:id="rId305" xr:uid="{2E60DEE4-8B07-3C48-8A50-35E9C7257230}"/>
    <hyperlink ref="B154" r:id="rId306" xr:uid="{D9262216-39E1-E940-A4CD-22DCCBF56B5A}"/>
    <hyperlink ref="A155" r:id="rId307" xr:uid="{F494D467-6EDE-FD4C-B444-B9AACDCEF342}"/>
    <hyperlink ref="B155" r:id="rId308" xr:uid="{83836FD0-0E22-504E-B3B3-F61F616172D1}"/>
    <hyperlink ref="A156" r:id="rId309" xr:uid="{DA1F1A62-1B7A-A44C-826A-1E50BC41D8B6}"/>
    <hyperlink ref="B156" r:id="rId310" xr:uid="{C807AD9C-F116-5341-BE99-9B802AB519F3}"/>
    <hyperlink ref="A157" r:id="rId311" xr:uid="{91CFA7D2-8B13-7948-AA76-05803AD456EC}"/>
    <hyperlink ref="B157" r:id="rId312" xr:uid="{AEF21361-BA9D-C243-926C-6637C8EF4FD2}"/>
    <hyperlink ref="A158" r:id="rId313" xr:uid="{638EA031-EB7C-D945-97E4-A8ED48C00CE0}"/>
    <hyperlink ref="B158" r:id="rId314" xr:uid="{265D0CE6-3FAD-204F-91A1-7396869CA39D}"/>
    <hyperlink ref="A159" r:id="rId315" xr:uid="{D4B15C40-5EEC-884E-AA5D-A3085E37CC46}"/>
    <hyperlink ref="B159" r:id="rId316" xr:uid="{2E3EE9C5-DC14-A947-AE33-D1F045AB9F4C}"/>
    <hyperlink ref="A160" r:id="rId317" xr:uid="{9D46A1C7-1BEF-CB42-B31C-4A73F9F6E552}"/>
    <hyperlink ref="B160" r:id="rId318" xr:uid="{B25ABBFD-45DE-A24E-BFED-0B590C699B3E}"/>
    <hyperlink ref="A161" r:id="rId319" xr:uid="{23E31565-AD10-0E45-BB4C-5B5CF4B1533E}"/>
    <hyperlink ref="B161" r:id="rId320" xr:uid="{C9986514-AA7F-5B4C-8D0F-669317E25DB4}"/>
    <hyperlink ref="A162" r:id="rId321" xr:uid="{7FB5BA2C-E51F-044F-B59E-1DDA8032C426}"/>
    <hyperlink ref="B162" r:id="rId322" xr:uid="{91331E45-2A4F-CD46-92DF-143A4397C9B8}"/>
    <hyperlink ref="A163" r:id="rId323" xr:uid="{49E59A8F-5F45-5D41-902D-90FD4521A4B4}"/>
    <hyperlink ref="B163" r:id="rId324" xr:uid="{4BA1415A-06C1-0740-8C34-38BDE264155E}"/>
    <hyperlink ref="A164" r:id="rId325" xr:uid="{48789C67-B6A0-5444-9616-A51C6929E538}"/>
    <hyperlink ref="B164" r:id="rId326" xr:uid="{FC1AA531-B0A8-5048-A094-EAE1B7E2A785}"/>
    <hyperlink ref="A165" r:id="rId327" xr:uid="{D218D1DA-BB84-0741-A030-6CEF597634A5}"/>
    <hyperlink ref="B165" r:id="rId328" xr:uid="{99042A2F-10DC-6C46-950B-68CC32C3A20B}"/>
    <hyperlink ref="A166" r:id="rId329" xr:uid="{E24D9E53-FE0E-0C4E-8C75-FECBDC1B900F}"/>
    <hyperlink ref="B166" r:id="rId330" xr:uid="{461BD94D-D2FA-B743-9814-7FD134DD9099}"/>
    <hyperlink ref="A167" r:id="rId331" xr:uid="{8FD33452-4A7E-DF47-817E-3298A236AC67}"/>
    <hyperlink ref="B167" r:id="rId332" xr:uid="{6924780C-1814-9547-A8D7-DB3891889CDD}"/>
    <hyperlink ref="A168" r:id="rId333" xr:uid="{8DF376CD-32F4-F643-945A-FD576DBC22A5}"/>
    <hyperlink ref="B168" r:id="rId334" xr:uid="{103E4085-E603-BD42-B14F-1F7CBA16F944}"/>
    <hyperlink ref="A169" r:id="rId335" xr:uid="{28B3C331-77C9-E647-9B5F-0EC304F7F6A3}"/>
    <hyperlink ref="B169" r:id="rId336" xr:uid="{BA23301D-6E33-8343-A66C-DD1DBB69DA9E}"/>
    <hyperlink ref="A170" r:id="rId337" xr:uid="{F1969113-9A96-8640-94EB-8339920DC288}"/>
    <hyperlink ref="B170" r:id="rId338" xr:uid="{BC76305B-8C63-5A45-BA78-E797ADB58CE9}"/>
    <hyperlink ref="A171" r:id="rId339" xr:uid="{BD3ECFFC-6FF1-5040-9CA0-4EEFE18F7EBC}"/>
    <hyperlink ref="B171" r:id="rId340" xr:uid="{13D5929F-3454-B945-B668-E2D2F193B1A2}"/>
    <hyperlink ref="A172" r:id="rId341" xr:uid="{503B1B66-7600-614E-B4C1-E0A8E776860D}"/>
    <hyperlink ref="B172" r:id="rId342" xr:uid="{50EC18D1-115D-B34C-A7BB-3095042F8018}"/>
    <hyperlink ref="A173" r:id="rId343" xr:uid="{F2D483F2-A256-CE4D-9160-615343909AD1}"/>
    <hyperlink ref="B173" r:id="rId344" xr:uid="{7A2D91FD-E9BA-6043-A4E1-C561D019E732}"/>
    <hyperlink ref="A174" r:id="rId345" xr:uid="{70E0F55F-049A-6B45-A3D7-0B3F8655DB5D}"/>
    <hyperlink ref="B174" r:id="rId346" xr:uid="{D58CF96E-F46C-3847-B10B-92383735302A}"/>
    <hyperlink ref="A175" r:id="rId347" xr:uid="{F93C14FE-1D7A-684E-BF9C-697A99F0303C}"/>
    <hyperlink ref="B175" r:id="rId348" xr:uid="{1B5C0D1E-458D-7245-9C44-252F6088AA2A}"/>
    <hyperlink ref="A176" r:id="rId349" xr:uid="{1786B16F-03A7-E447-8C9A-B5244E72AE70}"/>
    <hyperlink ref="B176" r:id="rId350" xr:uid="{50C1791A-20E1-EF46-80BD-743B5528A34E}"/>
    <hyperlink ref="A177" r:id="rId351" xr:uid="{309976E2-5A32-324C-A25C-6DE960490BA4}"/>
    <hyperlink ref="B177" r:id="rId352" xr:uid="{62B3D4AC-8DD5-E642-B3A1-C05C6E1B69F0}"/>
    <hyperlink ref="A178" r:id="rId353" xr:uid="{3333232E-FA9D-1842-A811-D992A137B422}"/>
    <hyperlink ref="B178" r:id="rId354" xr:uid="{D689EA9D-0338-544E-AE18-E84469BF48C3}"/>
    <hyperlink ref="A179" r:id="rId355" xr:uid="{F0F7D338-F041-CD4B-B3B5-0499DC8AA788}"/>
    <hyperlink ref="B179" r:id="rId356" xr:uid="{D0F91B81-AB81-4741-978C-16793FC3D4FA}"/>
    <hyperlink ref="A180" r:id="rId357" xr:uid="{06C3D0AA-95A3-AB4D-BCEC-841C08F1375B}"/>
    <hyperlink ref="B180" r:id="rId358" xr:uid="{FF01884C-F5E1-4B49-8171-E18530069D1A}"/>
    <hyperlink ref="A181" r:id="rId359" xr:uid="{E875BEC1-5351-2F4B-9F08-7F832AD7ED49}"/>
    <hyperlink ref="B181" r:id="rId360" xr:uid="{EECDED4A-C860-D74B-90D2-02E59FB03624}"/>
    <hyperlink ref="A182" r:id="rId361" xr:uid="{2099C791-620A-4648-A779-2D85F38576EF}"/>
    <hyperlink ref="B182" r:id="rId362" xr:uid="{E4DCC0F3-280C-CB44-B699-43E20E6A0439}"/>
    <hyperlink ref="A183" r:id="rId363" xr:uid="{3DA7E6E2-F848-B448-A9DC-90BD8902C21D}"/>
    <hyperlink ref="B183" r:id="rId364" xr:uid="{A5AF0778-019A-2042-B219-5E0661BCB051}"/>
    <hyperlink ref="A184" r:id="rId365" xr:uid="{5540082E-F6D2-F447-8767-F6CAD8A957DF}"/>
    <hyperlink ref="B184" r:id="rId366" xr:uid="{CC920CE8-6A91-E040-A0DA-30DAC1C17EC5}"/>
    <hyperlink ref="A185" r:id="rId367" xr:uid="{D0169384-5744-2941-B07E-0344CBDA529C}"/>
    <hyperlink ref="B185" r:id="rId368" xr:uid="{1E4B0F4D-0AA3-A043-A574-9705FBA64B17}"/>
    <hyperlink ref="A186" r:id="rId369" xr:uid="{ADA07E0D-A279-5E4A-B937-4BD24C708185}"/>
    <hyperlink ref="B186" r:id="rId370" xr:uid="{3B9AF940-6E2D-104E-BEDD-2C3DDB86D7A4}"/>
    <hyperlink ref="A187" r:id="rId371" xr:uid="{5712C3D7-36B7-7544-8FB4-BF7557990558}"/>
    <hyperlink ref="B187" r:id="rId372" xr:uid="{1CFC68AF-5646-C84B-8417-065787193C4D}"/>
    <hyperlink ref="A188" r:id="rId373" xr:uid="{7BF678A9-496C-3C4E-AD4A-CAC433E0DF01}"/>
    <hyperlink ref="B188" r:id="rId374" xr:uid="{E2A6603B-B44E-9A4F-B238-052285E954E5}"/>
    <hyperlink ref="A189" r:id="rId375" xr:uid="{5C6DE71E-5930-CF46-96EF-E8248BD33E64}"/>
    <hyperlink ref="B189" r:id="rId376" xr:uid="{9BBA21A8-3DD0-774E-91EE-76C8979EADD0}"/>
    <hyperlink ref="A190" r:id="rId377" xr:uid="{4643D935-B81D-C94E-8F0E-340E77BAC903}"/>
    <hyperlink ref="B190" r:id="rId378" xr:uid="{CFFCE198-59C4-8040-8182-EC63C4425371}"/>
    <hyperlink ref="A191" r:id="rId379" xr:uid="{2548242E-2C42-FA43-A8D5-E19E2EF2A44F}"/>
    <hyperlink ref="B191" r:id="rId380" xr:uid="{5BE52886-54A3-3448-960F-D17FFE6A2BD6}"/>
    <hyperlink ref="A192" r:id="rId381" xr:uid="{55D03132-91CB-9540-AB10-B953A5CF27AA}"/>
    <hyperlink ref="B192" r:id="rId382" xr:uid="{64FF115C-E032-F340-A6BA-372984CE7D6C}"/>
    <hyperlink ref="A193" r:id="rId383" xr:uid="{EB42ED38-94E2-2843-8E6C-318EFBFC74A7}"/>
    <hyperlink ref="B193" r:id="rId384" xr:uid="{837DA16B-68E5-1A42-BE71-507CFB8CD15C}"/>
    <hyperlink ref="A194" r:id="rId385" xr:uid="{5021057E-81D4-8B43-9861-007C4298A32C}"/>
    <hyperlink ref="B194" r:id="rId386" xr:uid="{4BD5D88E-4B30-1F44-B771-23A5E50642CE}"/>
    <hyperlink ref="A195" r:id="rId387" xr:uid="{320380C4-3B8B-D24F-9B07-27C50C33A989}"/>
    <hyperlink ref="B195" r:id="rId388" xr:uid="{957E84CB-3A11-BA4E-8D71-64AE58963F8C}"/>
    <hyperlink ref="A196" r:id="rId389" xr:uid="{26AFE773-2560-A447-A628-08DC59A6A71E}"/>
    <hyperlink ref="B196" r:id="rId390" xr:uid="{79A8D5A4-9418-9240-8430-567C5F85E279}"/>
    <hyperlink ref="A197" r:id="rId391" xr:uid="{266F3930-66FF-574A-AF02-70FFFB23241D}"/>
    <hyperlink ref="B197" r:id="rId392" xr:uid="{D5AD69D1-B189-8B4F-BA3F-4C19B64BDB8E}"/>
    <hyperlink ref="A198" r:id="rId393" xr:uid="{E8FC81C0-93D2-6448-9DA2-48F5CF659F5F}"/>
    <hyperlink ref="B198" r:id="rId394" xr:uid="{CC8EBBF5-64E5-2E47-8D96-77693FEF558E}"/>
    <hyperlink ref="A199" r:id="rId395" xr:uid="{44D33576-A2A8-5749-BB34-FEFD42A14ADF}"/>
    <hyperlink ref="B199" r:id="rId396" xr:uid="{37EB1176-5AA7-064E-9944-261D26B8C05F}"/>
    <hyperlink ref="A200" r:id="rId397" xr:uid="{86C04EBE-A329-BD43-91AA-973DAAE2349A}"/>
    <hyperlink ref="B200" r:id="rId398" xr:uid="{AA697ADD-7968-F54F-B455-3866AA501F6A}"/>
    <hyperlink ref="A201" r:id="rId399" xr:uid="{8F7033CA-3A25-B749-96CF-021FDF04BE93}"/>
    <hyperlink ref="B201" r:id="rId400" xr:uid="{7321C2E6-FC70-F142-82C7-CB874EE55444}"/>
    <hyperlink ref="A202" r:id="rId401" xr:uid="{526CB861-7916-3F40-99B0-9F3FFD13BC01}"/>
    <hyperlink ref="B202" r:id="rId402" xr:uid="{7AF4E996-5FE6-C345-9AF5-EDFF74A8A20E}"/>
    <hyperlink ref="A203" r:id="rId403" xr:uid="{542805D9-96E0-184E-AD18-E45509DAC1A9}"/>
    <hyperlink ref="B203" r:id="rId404" xr:uid="{929B205A-C94E-534C-A441-DBF6DAA12BB7}"/>
    <hyperlink ref="A204" r:id="rId405" xr:uid="{F320860F-9DC3-7444-A1F2-D8E35EEE785B}"/>
    <hyperlink ref="B204" r:id="rId406" xr:uid="{6BCAF5A1-3D50-4445-8A51-62ADA6DF95CA}"/>
    <hyperlink ref="A205" r:id="rId407" xr:uid="{A6A09A95-5218-B24F-AA52-B55CA3488DD8}"/>
    <hyperlink ref="B205" r:id="rId408" xr:uid="{38DACFBE-7944-3A47-A3CA-0DBA01C8F905}"/>
    <hyperlink ref="A206" r:id="rId409" xr:uid="{FDE948F5-355C-9C48-ACED-587BC15D424C}"/>
    <hyperlink ref="B206" r:id="rId410" xr:uid="{E4304A90-2CFA-F847-96E3-4B5B2C096B58}"/>
    <hyperlink ref="A207" r:id="rId411" xr:uid="{A0C8B889-61CF-874E-A048-3B359D86E784}"/>
    <hyperlink ref="B207" r:id="rId412" xr:uid="{466B1C63-EB4F-A54E-8F40-59D366A3E386}"/>
    <hyperlink ref="A208" r:id="rId413" xr:uid="{012B9167-4D01-3B46-8C9E-C7E35B4C2C4B}"/>
    <hyperlink ref="B208" r:id="rId414" xr:uid="{7A2535EE-F8A0-5D40-A6CB-D7CB292D2977}"/>
    <hyperlink ref="A209" r:id="rId415" xr:uid="{5C58E350-BDE9-C742-A9D5-3C12EA16E536}"/>
    <hyperlink ref="B209" r:id="rId416" xr:uid="{70DC8D40-9098-D343-B712-06328E9F887B}"/>
    <hyperlink ref="A210" r:id="rId417" xr:uid="{457D4951-E8D6-A149-8FCB-0BD82FF4B088}"/>
    <hyperlink ref="B210" r:id="rId418" xr:uid="{E9E82CE8-795F-D440-8279-B4FBBB96093D}"/>
    <hyperlink ref="A211" r:id="rId419" xr:uid="{083DFE7C-B9D5-6A41-BDCA-043D82750020}"/>
    <hyperlink ref="B211" r:id="rId420" xr:uid="{C45B8D01-1E8D-194E-B92F-E505499E68FE}"/>
    <hyperlink ref="A212" r:id="rId421" xr:uid="{E651F107-1B31-BB49-8FB4-6B3A421278DB}"/>
    <hyperlink ref="B212" r:id="rId422" xr:uid="{421CD8D2-14EC-0A4A-A297-065A7D0FB42A}"/>
    <hyperlink ref="A213" r:id="rId423" xr:uid="{2660E68F-7008-1248-A546-2367E1B39FCE}"/>
    <hyperlink ref="B213" r:id="rId424" xr:uid="{94407E21-19A3-8E4A-820C-48717E066B6B}"/>
    <hyperlink ref="A214" r:id="rId425" xr:uid="{684C4D77-4EB6-4047-AA80-5E392C0D7BB0}"/>
    <hyperlink ref="B214" r:id="rId426" xr:uid="{39A4B9E5-64AB-F940-BF0C-BBB05FDA1521}"/>
    <hyperlink ref="A215" r:id="rId427" xr:uid="{01B45FBA-EFA5-0949-90B0-15A87E0BAB1F}"/>
    <hyperlink ref="B215" r:id="rId428" xr:uid="{61F8A333-7CF2-1941-B8E8-C21CF56179E0}"/>
    <hyperlink ref="A216" r:id="rId429" xr:uid="{C02CAE6B-4DBE-E246-8E33-2856AC12AD03}"/>
    <hyperlink ref="B216" r:id="rId430" xr:uid="{3D8B3A16-3D34-9244-9673-E22AAE19BFA1}"/>
    <hyperlink ref="A217" r:id="rId431" xr:uid="{2CD13344-86B3-B243-AE49-6300EA689F6D}"/>
    <hyperlink ref="B217" r:id="rId432" xr:uid="{3DBD06C9-AB04-C94E-9884-01AAF5B06B4B}"/>
    <hyperlink ref="A218" r:id="rId433" xr:uid="{F841B00C-0CB4-1C48-8D60-820E76DECD78}"/>
    <hyperlink ref="B218" r:id="rId434" xr:uid="{A2E1ED4A-DC88-3446-BAFE-BD8F6D2393E8}"/>
    <hyperlink ref="A219" r:id="rId435" xr:uid="{14F2A98E-EA7B-F348-ACCC-9F728EEBD79B}"/>
    <hyperlink ref="B219" r:id="rId436" xr:uid="{DB57E65E-805C-B244-AC73-4BC3811B44F2}"/>
    <hyperlink ref="A220" r:id="rId437" xr:uid="{59827136-D703-5843-8D9F-A7259A3416DB}"/>
    <hyperlink ref="B220" r:id="rId438" xr:uid="{1675EABB-62B8-9543-BC8A-95890EA12D3C}"/>
    <hyperlink ref="A221" r:id="rId439" xr:uid="{175F57FB-04C3-6D4B-83AB-2298D846BA3B}"/>
    <hyperlink ref="B221" r:id="rId440" xr:uid="{0F2E7261-EEDF-4B47-A50A-F702F0856E03}"/>
    <hyperlink ref="A222" r:id="rId441" xr:uid="{AC564463-7EDD-A742-9847-5882C72C42AF}"/>
    <hyperlink ref="B222" r:id="rId442" xr:uid="{68F6B74A-E436-3540-958B-55264950EABA}"/>
    <hyperlink ref="A223" r:id="rId443" xr:uid="{FAB497D7-7299-6444-813D-F449C54E4447}"/>
    <hyperlink ref="B223" r:id="rId444" xr:uid="{82440B8B-135E-0D41-9B43-C65852BF5894}"/>
    <hyperlink ref="A224" r:id="rId445" xr:uid="{9E435D99-3A26-2043-A1C1-7F8591187B3C}"/>
    <hyperlink ref="B224" r:id="rId446" xr:uid="{57018982-B8AF-6A47-B08D-F7FAD03B1F20}"/>
    <hyperlink ref="A225" r:id="rId447" xr:uid="{ADEE9B21-BA5C-CE4D-8C82-D121444D3AEF}"/>
    <hyperlink ref="B225" r:id="rId448" xr:uid="{76F0B925-6AC2-B74F-AE0B-AB524A6CB64B}"/>
    <hyperlink ref="A226" r:id="rId449" xr:uid="{BC83F9C1-7532-EF4F-AA57-BE68C67E09D8}"/>
    <hyperlink ref="B226" r:id="rId450" xr:uid="{CD9E9ADD-4725-CA46-B0AE-EFC82544977E}"/>
    <hyperlink ref="A227" r:id="rId451" xr:uid="{AFCDCE1A-DA5C-2B42-A829-1F349C095BF7}"/>
    <hyperlink ref="B227" r:id="rId452" xr:uid="{FA624014-4ABA-994A-A82F-9F043C0C05C3}"/>
    <hyperlink ref="A228" r:id="rId453" xr:uid="{35EBF1ED-90D0-DD46-A8E7-B8ADA44903F6}"/>
    <hyperlink ref="B228" r:id="rId454" xr:uid="{416898BF-2C32-D84E-813C-ED59734504F3}"/>
    <hyperlink ref="A229" r:id="rId455" xr:uid="{9E14BD5A-B82F-0C42-A807-0980A395FB02}"/>
    <hyperlink ref="B229" r:id="rId456" xr:uid="{00CA699D-1F00-0A43-A1F8-E78F8893E82D}"/>
    <hyperlink ref="A230" r:id="rId457" xr:uid="{028A11D5-0297-3443-BFE0-97C2D6CA2782}"/>
    <hyperlink ref="B230" r:id="rId458" xr:uid="{AC67E051-9C49-DD47-B16A-CA4DC203DF94}"/>
    <hyperlink ref="A231" r:id="rId459" xr:uid="{F5AF5A3B-A763-2C46-9DA5-A7EF5A41D6DE}"/>
    <hyperlink ref="B231" r:id="rId460" xr:uid="{0950490D-9BA5-3748-B091-6EB056D18B8E}"/>
    <hyperlink ref="A232" r:id="rId461" xr:uid="{10DB7648-7935-AC4B-8702-23BCC13E7D5B}"/>
    <hyperlink ref="B232" r:id="rId462" xr:uid="{47DFD245-A3AD-9E4B-8B25-3CB3F64C44E0}"/>
    <hyperlink ref="A233" r:id="rId463" xr:uid="{04DF02F1-0037-5141-97A9-8C5E3F14915C}"/>
    <hyperlink ref="B233" r:id="rId464" xr:uid="{7C5BD011-54C9-C84C-92DE-A86192C569B2}"/>
    <hyperlink ref="A234" r:id="rId465" xr:uid="{83AB5B93-6372-864A-BD72-0DA9B855CDD3}"/>
    <hyperlink ref="B234" r:id="rId466" xr:uid="{B55B0811-02C1-FA47-88EE-9A0FDCD110A3}"/>
    <hyperlink ref="A235" r:id="rId467" xr:uid="{3A57BA12-BBAC-FA42-AA5C-E4F3637DFBB4}"/>
    <hyperlink ref="B235" r:id="rId468" xr:uid="{770577BF-06E9-F34B-A2E5-3EA3B3CC20DD}"/>
    <hyperlink ref="A236" r:id="rId469" xr:uid="{8E7E0AD5-B09B-E14E-848D-FA78FC623C54}"/>
    <hyperlink ref="B236" r:id="rId470" xr:uid="{A657AF57-7F66-5B40-983C-088ADB4E7007}"/>
    <hyperlink ref="A237" r:id="rId471" xr:uid="{765B8A7C-E209-2A40-95AC-22AEE5443BC6}"/>
    <hyperlink ref="B237" r:id="rId472" xr:uid="{C8CA8C59-C266-5740-83B8-55632A02224D}"/>
    <hyperlink ref="A238" r:id="rId473" xr:uid="{DDB6362A-E236-A94A-A4BE-7555B57B0DA0}"/>
    <hyperlink ref="B238" r:id="rId474" xr:uid="{73E4DAE7-85C5-6441-BDD6-E312C94C3E74}"/>
    <hyperlink ref="A239" r:id="rId475" xr:uid="{81CCB560-A450-5640-81C1-45E1040692CC}"/>
    <hyperlink ref="B239" r:id="rId476" xr:uid="{9CB74731-D191-6047-83EA-4F8A975F5861}"/>
    <hyperlink ref="A240" r:id="rId477" xr:uid="{3E1E6317-B6B4-E346-87D9-69FC2E9BCFE4}"/>
    <hyperlink ref="B240" r:id="rId478" xr:uid="{2CB3F444-A612-614E-802B-917BDAB630EA}"/>
    <hyperlink ref="A241" r:id="rId479" xr:uid="{6DA66679-C0D6-8A4B-9ADC-23C9A259995D}"/>
    <hyperlink ref="B241" r:id="rId480" xr:uid="{634C323A-3DB3-B547-9B19-42DEE253F90D}"/>
    <hyperlink ref="A242" r:id="rId481" xr:uid="{98475BD8-566F-414F-8CEE-8F24C8BE0199}"/>
    <hyperlink ref="B242" r:id="rId482" xr:uid="{4E569D9D-E80F-8140-AF02-639F190DEA72}"/>
    <hyperlink ref="A243" r:id="rId483" xr:uid="{86A19FD6-8F80-064F-92CB-E61F3269DB04}"/>
    <hyperlink ref="B243" r:id="rId484" xr:uid="{873C06A9-E1BB-8144-ADF3-4683EA3080A7}"/>
    <hyperlink ref="A244" r:id="rId485" xr:uid="{11260E06-AAE7-9B4F-A249-6F58C98B1CD1}"/>
    <hyperlink ref="B244" r:id="rId486" xr:uid="{4A5BFE4A-A6F0-DE40-A9D7-B10A374A2AFE}"/>
    <hyperlink ref="A245" r:id="rId487" xr:uid="{6581B841-4E5B-3444-BB84-5458079ADAF9}"/>
    <hyperlink ref="B245" r:id="rId488" xr:uid="{E424FC57-E9FB-534F-9598-200F536BADDF}"/>
    <hyperlink ref="A246" r:id="rId489" xr:uid="{C9DE9D21-E834-8C4F-B915-2B74FA109BD3}"/>
    <hyperlink ref="B246" r:id="rId490" xr:uid="{3DFFAE8B-FA86-1140-A522-1DA69CA607E2}"/>
    <hyperlink ref="A247" r:id="rId491" xr:uid="{4E6F1F9F-7397-174A-8D9F-1F48B186AF7E}"/>
    <hyperlink ref="B247" r:id="rId492" xr:uid="{C1F1C97A-4788-0549-BD40-202FC0F17630}"/>
    <hyperlink ref="A248" r:id="rId493" xr:uid="{7E22409F-A324-4143-9B53-B533EE551A47}"/>
    <hyperlink ref="B248" r:id="rId494" xr:uid="{A106D1CA-3C96-E147-9EAC-F1DE79B49EFC}"/>
    <hyperlink ref="A249" r:id="rId495" xr:uid="{8B7D08B0-C79F-794B-B11E-96D1893EE48E}"/>
    <hyperlink ref="B249" r:id="rId496" xr:uid="{57E01686-FA0F-0943-9700-B06681C4ABE9}"/>
    <hyperlink ref="A250" r:id="rId497" xr:uid="{31332964-E61A-E842-A72B-78D54C408ED7}"/>
    <hyperlink ref="B250" r:id="rId498" xr:uid="{4C6C22D0-BB3A-4343-9C67-2F07B7D4508B}"/>
    <hyperlink ref="A251" r:id="rId499" xr:uid="{1FF33442-EEE4-7042-A692-1E84F1C38EC0}"/>
    <hyperlink ref="B251" r:id="rId500" xr:uid="{4DBFA40E-1FAB-0B4C-815A-7475FBF75546}"/>
    <hyperlink ref="A252" r:id="rId501" xr:uid="{5DEF0442-6C29-7544-907A-D8F60A04FA31}"/>
    <hyperlink ref="B252" r:id="rId502" xr:uid="{FA35EC5E-E7E8-024E-946F-A849929B87B2}"/>
    <hyperlink ref="A253" r:id="rId503" xr:uid="{EF7A9D3B-30AC-A143-8C60-2A489AB6F3F1}"/>
    <hyperlink ref="B253" r:id="rId504" xr:uid="{B8CDFD23-00F9-194A-ABC4-6487A7CA9CAF}"/>
    <hyperlink ref="A254" r:id="rId505" xr:uid="{E57902F9-90C3-9D49-99B1-6535BE9B1920}"/>
    <hyperlink ref="B254" r:id="rId506" xr:uid="{604C33FE-F0B1-C842-931A-25F470864EAE}"/>
    <hyperlink ref="A255" r:id="rId507" xr:uid="{E5CE69C8-F0C9-784B-A6A5-FD98D18136FE}"/>
    <hyperlink ref="B255" r:id="rId508" xr:uid="{2ACD2337-E1A8-AF48-BAC9-8C87C6FF836C}"/>
    <hyperlink ref="A256" r:id="rId509" xr:uid="{C7DBA27C-56C2-E147-AAA6-735B3648000E}"/>
    <hyperlink ref="B256" r:id="rId510" xr:uid="{5A03EAE3-D7BC-AE4B-9456-C78F1716EB72}"/>
    <hyperlink ref="A257" r:id="rId511" xr:uid="{F19CD53A-2B25-D34B-8670-4755C2F4A8B3}"/>
    <hyperlink ref="B257" r:id="rId512" xr:uid="{C5327ADF-B650-E244-8EA8-6C9A22D456EB}"/>
    <hyperlink ref="A258" r:id="rId513" xr:uid="{3C4FD08F-00FB-A041-B45F-C05213D8BFE0}"/>
    <hyperlink ref="B258" r:id="rId514" xr:uid="{6F277A52-A63B-3841-9D72-DD0A35766120}"/>
    <hyperlink ref="A259" r:id="rId515" xr:uid="{6A9BA2FC-08F6-1E43-B022-118ED04A37D9}"/>
    <hyperlink ref="B259" r:id="rId516" xr:uid="{B77BB7D6-2DEE-874A-B5C2-250005772261}"/>
    <hyperlink ref="A260" r:id="rId517" xr:uid="{7EC0F64A-46AA-EA4E-AB5D-9FCBDBB846C3}"/>
    <hyperlink ref="B260" r:id="rId518" xr:uid="{1C744698-A3CA-8F46-8931-F11B50E8644D}"/>
    <hyperlink ref="A261" r:id="rId519" xr:uid="{868083DE-2A75-8E4D-AA6B-D64406D5898A}"/>
    <hyperlink ref="B261" r:id="rId520" xr:uid="{02825C40-68E1-1847-82E1-036AF1A7C86D}"/>
    <hyperlink ref="A262" r:id="rId521" xr:uid="{F2227413-8385-3E43-B792-1EEB57EE7AC3}"/>
    <hyperlink ref="B262" r:id="rId522" xr:uid="{8DFD3E65-AE92-2548-A733-9F9CFE88F549}"/>
    <hyperlink ref="A263" r:id="rId523" xr:uid="{47AFAC3A-8FB0-7542-8D7C-7A03B54D8DBF}"/>
    <hyperlink ref="B263" r:id="rId524" xr:uid="{34017C83-2FB6-D64A-B44B-7F122A77AA43}"/>
    <hyperlink ref="A264" r:id="rId525" xr:uid="{372FC474-0C30-414B-8E0A-53A9F398ED66}"/>
    <hyperlink ref="B264" r:id="rId526" xr:uid="{653177CF-1422-E546-96B2-226EDFA7192E}"/>
    <hyperlink ref="A265" r:id="rId527" xr:uid="{2248FDCC-5B26-2E48-90C4-3DEC8BFBE346}"/>
    <hyperlink ref="B265" r:id="rId528" xr:uid="{F8F99F9A-A34B-AB48-AA05-9D680F033A7A}"/>
    <hyperlink ref="A266" r:id="rId529" xr:uid="{F5878FF9-053F-924F-B4FE-135E0C0EF584}"/>
    <hyperlink ref="B266" r:id="rId530" xr:uid="{C9B31906-F2E5-934A-A466-0603822354B8}"/>
    <hyperlink ref="A267" r:id="rId531" xr:uid="{BE984950-2DCF-0C43-ACC2-0972C6602468}"/>
    <hyperlink ref="B267" r:id="rId532" xr:uid="{D7E76C6C-AC40-7F41-8918-57601DC55CB6}"/>
    <hyperlink ref="A268" r:id="rId533" xr:uid="{E36C2AD4-25C3-EB4E-A58A-919950119CC9}"/>
    <hyperlink ref="B268" r:id="rId534" xr:uid="{9EA748DB-70AE-B244-B380-16DB02CBF5FE}"/>
    <hyperlink ref="A269" r:id="rId535" xr:uid="{B1A241B0-BBBC-7347-B1DB-C5D8B7422A1C}"/>
    <hyperlink ref="B269" r:id="rId536" xr:uid="{3ADD7678-270E-1048-88B8-0D48862AC831}"/>
    <hyperlink ref="A270" r:id="rId537" xr:uid="{BAB71E8E-4E16-3645-96AB-8D79F325341A}"/>
    <hyperlink ref="B270" r:id="rId538" xr:uid="{AAC0572D-EA73-A24A-A6E3-846DF2154F06}"/>
    <hyperlink ref="A271" r:id="rId539" xr:uid="{D0819550-9872-DC40-8D7D-5F765090A211}"/>
    <hyperlink ref="B271" r:id="rId540" xr:uid="{6B2F4DE5-D2D2-5E46-8D90-2626326FA1A5}"/>
    <hyperlink ref="A272" r:id="rId541" xr:uid="{35560376-D752-B64C-95F3-185F6748FBC2}"/>
    <hyperlink ref="B272" r:id="rId542" xr:uid="{AB1BCE78-2C92-2248-B817-FC61631F1B44}"/>
    <hyperlink ref="A273" r:id="rId543" xr:uid="{2658CF38-BA57-F544-B697-0FF3B325BE6E}"/>
    <hyperlink ref="B273" r:id="rId544" xr:uid="{5E7F1FF4-DCEF-2444-844C-59F8184900BC}"/>
    <hyperlink ref="A274" r:id="rId545" xr:uid="{CD4D276C-7912-DB49-B28E-73E5BA3C5CA1}"/>
    <hyperlink ref="B274" r:id="rId546" xr:uid="{80317B4F-3C91-1846-AEB3-B5B7FF27A7A6}"/>
    <hyperlink ref="A275" r:id="rId547" xr:uid="{46D5E10D-31A8-2140-B27F-723F91FDA22B}"/>
    <hyperlink ref="B275" r:id="rId548" xr:uid="{4C061EA8-16B0-B24D-91EE-D11CBF08E582}"/>
    <hyperlink ref="A276" r:id="rId549" xr:uid="{816B3282-ABC7-1547-9B89-63AE7CED9782}"/>
    <hyperlink ref="B276" r:id="rId550" xr:uid="{E1D72A0F-DD6A-C845-A6B3-F8F9B2D734BE}"/>
    <hyperlink ref="A277" r:id="rId551" xr:uid="{B9762A4E-63E9-2944-9D84-FE9C0C4F112C}"/>
    <hyperlink ref="B277" r:id="rId552" xr:uid="{EA4BA4AF-F0CA-6D44-81F4-D57A6A3AF007}"/>
    <hyperlink ref="A278" r:id="rId553" xr:uid="{1868E324-5362-A043-84EA-110275060780}"/>
    <hyperlink ref="B278" r:id="rId554" xr:uid="{A83F3F96-458C-224E-8394-EB6F6A3D8845}"/>
    <hyperlink ref="A279" r:id="rId555" xr:uid="{E812D3C0-2970-534C-90F7-1A9A23A67EE5}"/>
    <hyperlink ref="B279" r:id="rId556" xr:uid="{F5352378-AE97-C14B-A37A-0F9000964084}"/>
    <hyperlink ref="A280" r:id="rId557" xr:uid="{E2BEF73F-4CBE-6744-8BE9-4C8E2CFD28E8}"/>
    <hyperlink ref="B280" r:id="rId558" xr:uid="{C416EC9E-7CD3-7F4F-B682-10E2C197969C}"/>
    <hyperlink ref="A281" r:id="rId559" xr:uid="{596ED8A2-25F3-E44D-8FB4-03C82727A430}"/>
    <hyperlink ref="B281" r:id="rId560" xr:uid="{7D781430-60C5-514C-9272-4358F28ADE43}"/>
    <hyperlink ref="A282" r:id="rId561" xr:uid="{7A214F7E-4D74-8C49-9771-10B87E58BB6F}"/>
    <hyperlink ref="B282" r:id="rId562" xr:uid="{4682F416-89E8-9B45-AD13-AD75A1480F02}"/>
    <hyperlink ref="A283" r:id="rId563" xr:uid="{B22CA351-B018-604F-8DC7-9CF13634FC6F}"/>
    <hyperlink ref="B283" r:id="rId564" xr:uid="{4EEAA109-B45F-204C-9797-CE4DEA0A67AE}"/>
    <hyperlink ref="A284" r:id="rId565" xr:uid="{7F1C6282-372E-1E48-8C3E-094438F42AA3}"/>
    <hyperlink ref="B284" r:id="rId566" xr:uid="{88A736C9-08E4-444E-A362-07F1C26166E1}"/>
    <hyperlink ref="A285" r:id="rId567" xr:uid="{B369E2DA-D6DE-0943-B63C-734F1CFFF3A0}"/>
    <hyperlink ref="B285" r:id="rId568" xr:uid="{8D4B8911-FF49-694A-AF98-9C1283B0C97C}"/>
    <hyperlink ref="A286" r:id="rId569" xr:uid="{822C8828-B878-6145-9199-12878390C441}"/>
    <hyperlink ref="B286" r:id="rId570" xr:uid="{76A7CF3D-CEB3-6245-8760-02852E5E045C}"/>
    <hyperlink ref="A287" r:id="rId571" xr:uid="{7258FF3E-2BF1-8849-80FB-5193DF1CD536}"/>
    <hyperlink ref="B287" r:id="rId572" xr:uid="{C8E4C88C-1A38-F448-9F00-2C3793C47660}"/>
    <hyperlink ref="A288" r:id="rId573" xr:uid="{6F9FD47F-20CE-D946-BD0B-896276D94136}"/>
    <hyperlink ref="B288" r:id="rId574" xr:uid="{1751B31C-1F4B-4647-992A-FDE43C2BE7EE}"/>
    <hyperlink ref="A289" r:id="rId575" xr:uid="{B5DDB62C-8440-154B-8987-407EDC60A90B}"/>
    <hyperlink ref="B289" r:id="rId576" xr:uid="{087B3931-5C4A-F84A-8841-1D8B5FABE6AD}"/>
    <hyperlink ref="A290" r:id="rId577" xr:uid="{D040288A-9F23-8C4C-8F9B-32F29AA06F89}"/>
    <hyperlink ref="B290" r:id="rId578" xr:uid="{B5BC4CD1-0B08-DC43-AC5A-2D9E41BFC66D}"/>
    <hyperlink ref="A291" r:id="rId579" xr:uid="{34196850-C6D9-C24B-809C-BE72472E4713}"/>
    <hyperlink ref="B291" r:id="rId580" xr:uid="{462D7FE0-F55C-9D41-BF87-6DDCF02E98B6}"/>
    <hyperlink ref="A292" r:id="rId581" xr:uid="{485AF410-D1EC-9440-9059-6B8DE4893BAB}"/>
    <hyperlink ref="B292" r:id="rId582" xr:uid="{E98A6CB7-BCA9-604A-B441-E7D2CAF90DA9}"/>
    <hyperlink ref="A293" r:id="rId583" xr:uid="{9BD48126-71A6-B147-B1B3-57460855E3CF}"/>
    <hyperlink ref="B293" r:id="rId584" xr:uid="{C6B87F58-7C95-1C4A-AAA2-C992B476DFE3}"/>
    <hyperlink ref="A294" r:id="rId585" xr:uid="{482A6073-7628-C640-8674-4FEC6B255608}"/>
    <hyperlink ref="B294" r:id="rId586" xr:uid="{E08E4E53-F822-B249-9EC5-3195CEFC258E}"/>
    <hyperlink ref="A295" r:id="rId587" xr:uid="{BAD85C27-D5A5-A940-B21F-CC1504CE4700}"/>
    <hyperlink ref="B295" r:id="rId588" xr:uid="{5B42C890-4D2D-D04D-A301-F0F024959E79}"/>
    <hyperlink ref="A296" r:id="rId589" xr:uid="{D503ECB8-38E7-3E4E-9C6A-AFDA55908788}"/>
    <hyperlink ref="B296" r:id="rId590" xr:uid="{BA6D773A-1AFD-054C-B0EC-B53A8592A84B}"/>
    <hyperlink ref="A297" r:id="rId591" xr:uid="{A74D65A8-D3DD-B04F-BF64-82D0F77479ED}"/>
    <hyperlink ref="B297" r:id="rId592" xr:uid="{3BA31158-712D-4D49-9A0E-520C2FA6144A}"/>
    <hyperlink ref="A298" r:id="rId593" xr:uid="{14D6175A-BE02-D94D-9FFA-A2DE8C3AE806}"/>
    <hyperlink ref="B298" r:id="rId594" xr:uid="{4D4F457D-E05E-1B4D-92AF-F14414614C8D}"/>
    <hyperlink ref="A299" r:id="rId595" xr:uid="{9B4AAC3B-CA37-FF43-BB0C-086F8F609CC4}"/>
    <hyperlink ref="B299" r:id="rId596" xr:uid="{F163C45F-B929-5B44-B588-D64451B0BEE9}"/>
    <hyperlink ref="A300" r:id="rId597" xr:uid="{724AF828-7977-1C41-89A0-63E43A8F5D44}"/>
    <hyperlink ref="B300" r:id="rId598" xr:uid="{881A8DF0-DF4E-9843-BBB6-E0AEC72ACBA6}"/>
    <hyperlink ref="A301" r:id="rId599" xr:uid="{F50E7FD9-4363-7448-BE89-EDEEC69E32BB}"/>
    <hyperlink ref="B301" r:id="rId600" xr:uid="{729BE1EC-1587-1F41-B3E5-66EA322DA2C2}"/>
    <hyperlink ref="A302" r:id="rId601" xr:uid="{9CEB3D92-560B-5D4E-9F02-F26AE743B01C}"/>
    <hyperlink ref="B302" r:id="rId602" xr:uid="{380FD5A3-8C5C-654E-8F6C-BB0BF65AE3B5}"/>
    <hyperlink ref="A303" r:id="rId603" xr:uid="{18AAD32A-B62B-FE46-AFCC-343E89FF032B}"/>
    <hyperlink ref="B303" r:id="rId604" xr:uid="{8965C32B-162F-8D49-B2E5-0AE6790DEEDF}"/>
    <hyperlink ref="A304" r:id="rId605" xr:uid="{8E7D4C2F-5D91-9346-912F-66937369FBB3}"/>
    <hyperlink ref="B304" r:id="rId606" xr:uid="{57227B24-C8E2-CA4E-BE58-D5B6461494D5}"/>
    <hyperlink ref="A305" r:id="rId607" xr:uid="{FB731A7F-5D3B-D948-A589-7B94F5B22385}"/>
    <hyperlink ref="B305" r:id="rId608" xr:uid="{C7232375-50D3-4746-8DC9-F0645B1D2228}"/>
    <hyperlink ref="A306" r:id="rId609" xr:uid="{AEAFE239-7709-5D41-9CB3-A82D5F91A9BA}"/>
    <hyperlink ref="B306" r:id="rId610" xr:uid="{B5115E25-886E-E343-BF9D-9DE1485B4FD2}"/>
    <hyperlink ref="A307" r:id="rId611" xr:uid="{1D64862D-D44C-5C4A-97A6-2EFCD73BF5CB}"/>
    <hyperlink ref="B307" r:id="rId612" xr:uid="{48457793-FE55-5A4A-B325-4088D9240786}"/>
    <hyperlink ref="A308" r:id="rId613" xr:uid="{34095228-3D5F-AE48-A6CF-9CEA2F002550}"/>
    <hyperlink ref="B308" r:id="rId614" xr:uid="{DB1F0D95-5B3B-CE41-BE2B-D9DD73D55816}"/>
    <hyperlink ref="A309" r:id="rId615" xr:uid="{B9CAEDB6-F349-6F42-BE9B-3ABF93F581CC}"/>
    <hyperlink ref="B309" r:id="rId616" xr:uid="{3337E425-9622-8B45-B1C5-F9AD41BB292C}"/>
    <hyperlink ref="A310" r:id="rId617" xr:uid="{CEF4AC3C-831C-7945-8F8F-B073E3D4B922}"/>
    <hyperlink ref="B310" r:id="rId618" xr:uid="{38178325-7893-2947-9369-246A46DD4FDE}"/>
    <hyperlink ref="A311" r:id="rId619" xr:uid="{EC76F07E-169B-DF4C-BCC0-B2FA6639A014}"/>
    <hyperlink ref="B311" r:id="rId620" xr:uid="{F5E3478F-708D-1C45-9308-0D9F08A9F017}"/>
    <hyperlink ref="A312" r:id="rId621" xr:uid="{EE2A2125-6900-7D43-B8A5-FEBB1D6B1807}"/>
    <hyperlink ref="B312" r:id="rId622" xr:uid="{AF1DA143-4D4E-2F41-94D2-05C481BE6FF3}"/>
    <hyperlink ref="A313" r:id="rId623" xr:uid="{50BDC457-B995-FB46-B86E-8E0F747CD5E7}"/>
    <hyperlink ref="B313" r:id="rId624" xr:uid="{5F3A9AFE-1E67-1743-9BBE-3ED86213F7EB}"/>
    <hyperlink ref="A314" r:id="rId625" xr:uid="{D360F302-F14A-B24E-8E33-1CE02CA408E7}"/>
    <hyperlink ref="B314" r:id="rId626" xr:uid="{AA3CA2B5-18C7-8D4A-AE7A-95B738D22B78}"/>
    <hyperlink ref="A315" r:id="rId627" xr:uid="{ACC90B40-4B41-D044-AAAE-7B95034BEB17}"/>
    <hyperlink ref="B315" r:id="rId628" xr:uid="{5BDC5EC3-1DDA-A943-9FEC-FACEEDFFA251}"/>
    <hyperlink ref="A316" r:id="rId629" xr:uid="{4DE702B7-AB35-C944-BE0A-9E7F28FB84E3}"/>
    <hyperlink ref="B316" r:id="rId630" xr:uid="{18BAABDA-0324-0546-A917-3A54117DCB63}"/>
    <hyperlink ref="A317" r:id="rId631" xr:uid="{632494C1-BC12-EF4A-9BE7-1EFF80AB0745}"/>
    <hyperlink ref="B317" r:id="rId632" xr:uid="{7EC8619D-8245-FB46-8230-583333492CE7}"/>
    <hyperlink ref="A318" r:id="rId633" xr:uid="{4BFA794E-40BF-D84A-BD22-58B0CE46D517}"/>
    <hyperlink ref="B318" r:id="rId634" xr:uid="{FC301C51-7E0D-5D44-8431-364C74575FE0}"/>
    <hyperlink ref="A319" r:id="rId635" xr:uid="{022EDEDD-22CC-3941-9EF5-F2E7CF5F2E0E}"/>
    <hyperlink ref="B319" r:id="rId636" xr:uid="{1BBB485E-01A7-CF44-A46C-70C55791DE23}"/>
    <hyperlink ref="A320" r:id="rId637" xr:uid="{6A5F8BD1-E14E-0E42-9901-84C67E351F5C}"/>
    <hyperlink ref="B320" r:id="rId638" xr:uid="{75472CEC-8AE2-2E42-99A0-FD99B6AAA288}"/>
    <hyperlink ref="A321" r:id="rId639" xr:uid="{D0C73FFB-C603-0241-90F7-99376988E97D}"/>
    <hyperlink ref="B321" r:id="rId640" xr:uid="{C73827BC-F31C-CD4F-9FB3-EB3DAD59A67B}"/>
    <hyperlink ref="A322" r:id="rId641" xr:uid="{E43977E1-A1D6-754F-939A-0056AC499765}"/>
    <hyperlink ref="B322" r:id="rId642" xr:uid="{501E047E-0A6B-654A-B08C-68F104D9F910}"/>
    <hyperlink ref="A323" r:id="rId643" xr:uid="{D0DBA006-AFF2-D347-B4DD-CB8CC34945F1}"/>
    <hyperlink ref="B323" r:id="rId644" xr:uid="{7FBAE091-D184-A84E-8FE5-544DA6C272C3}"/>
    <hyperlink ref="A324" r:id="rId645" xr:uid="{5833883E-8D60-6547-B992-320D5103D198}"/>
    <hyperlink ref="B324" r:id="rId646" xr:uid="{6C98ADB0-2BAE-BC49-82DE-51B6E763DFBF}"/>
    <hyperlink ref="A325" r:id="rId647" xr:uid="{EF100DF7-CAAB-2044-AB7F-68C3BD5D7D7B}"/>
    <hyperlink ref="B325" r:id="rId648" xr:uid="{C540B786-5C44-C041-8C8F-907B731F56D7}"/>
    <hyperlink ref="A326" r:id="rId649" xr:uid="{1D917D1A-A367-D145-95E8-9036676D8E36}"/>
    <hyperlink ref="B326" r:id="rId650" xr:uid="{F64A229C-045D-7440-A8EB-1D17296BD9B8}"/>
    <hyperlink ref="A327" r:id="rId651" xr:uid="{196F6166-73E4-0A40-B7FF-A7F77E8861DD}"/>
    <hyperlink ref="B327" r:id="rId652" xr:uid="{A3EBFCA4-C910-3D44-B5C0-736DA19940F8}"/>
    <hyperlink ref="A328" r:id="rId653" xr:uid="{E859037A-9D3E-A946-BCF0-5D4980BE1E53}"/>
    <hyperlink ref="B328" r:id="rId654" xr:uid="{65A2E17C-F528-5749-8B15-B0ABB5872233}"/>
    <hyperlink ref="A329" r:id="rId655" xr:uid="{21ED45F1-59EC-7849-8E30-00B72A6E3D1D}"/>
    <hyperlink ref="B329" r:id="rId656" xr:uid="{72C323BF-5CC4-2245-8752-F64AF98D0669}"/>
    <hyperlink ref="A330" r:id="rId657" xr:uid="{543AB81F-5FA3-1241-90D3-1AE395D54EDE}"/>
    <hyperlink ref="B330" r:id="rId658" xr:uid="{9A2F5F5E-8394-0E40-AEB0-3763ADD673F8}"/>
    <hyperlink ref="A331" r:id="rId659" xr:uid="{2568A5EB-D617-234C-BF3E-86D0A2B6B2BA}"/>
    <hyperlink ref="B331" r:id="rId660" xr:uid="{4EC41A6A-6C34-DE4A-8018-12CCE5050250}"/>
    <hyperlink ref="A332" r:id="rId661" xr:uid="{E9EFE278-1788-F747-BE4F-C1B98B4DEC1B}"/>
    <hyperlink ref="B332" r:id="rId662" xr:uid="{A212BCC0-1EF1-F045-BFAA-9ED15430C4B7}"/>
    <hyperlink ref="A333" r:id="rId663" xr:uid="{1750CB91-BC02-044C-B628-45E1B26C231D}"/>
    <hyperlink ref="B333" r:id="rId664" xr:uid="{4B4D4FBA-590F-A24E-A1F0-30265D0EF1BE}"/>
    <hyperlink ref="A334" r:id="rId665" xr:uid="{DF46E673-9C06-0440-BF0D-EC411C9BF4E5}"/>
    <hyperlink ref="B334" r:id="rId666" xr:uid="{2A72506F-56F9-A847-A8DB-A98416CA6306}"/>
    <hyperlink ref="A335" r:id="rId667" xr:uid="{08FDB1CB-A12D-8548-8E23-1D8E36D180FC}"/>
    <hyperlink ref="B335" r:id="rId668" xr:uid="{32115B45-F7B8-3647-B369-79C3B6B5CC84}"/>
    <hyperlink ref="A336" r:id="rId669" xr:uid="{B71E1D34-E7C1-9A44-BB4C-81BA519EEFC6}"/>
    <hyperlink ref="B336" r:id="rId670" xr:uid="{7021F548-E247-AF40-A0E0-E6F92A51A6C4}"/>
    <hyperlink ref="A337" r:id="rId671" xr:uid="{6EB7B6F9-FA1B-6F44-96C0-C80ED8ADF8EA}"/>
    <hyperlink ref="B337" r:id="rId672" xr:uid="{99945098-5208-9445-A8D0-FC9CA07E3ACB}"/>
    <hyperlink ref="A338" r:id="rId673" xr:uid="{C6B5A15F-68B6-E746-9121-17E5CF87919E}"/>
    <hyperlink ref="B338" r:id="rId674" xr:uid="{22077B60-DBF9-CB4F-AE84-BBD3BEFDCACE}"/>
    <hyperlink ref="A339" r:id="rId675" xr:uid="{549ADE49-C45A-6945-AFDD-5E99F0650145}"/>
    <hyperlink ref="B339" r:id="rId676" xr:uid="{E54988E6-BD3C-F24B-B915-574B6E35DECD}"/>
    <hyperlink ref="A340" r:id="rId677" xr:uid="{7989E17D-0D82-B144-9AD3-81CB83688DCB}"/>
    <hyperlink ref="B340" r:id="rId678" xr:uid="{B40340AA-BCF6-EB48-84D6-E27D069F137A}"/>
    <hyperlink ref="A341" r:id="rId679" xr:uid="{EE5D264D-99ED-2147-A9EF-FC82EFBCD043}"/>
    <hyperlink ref="B341" r:id="rId680" xr:uid="{E5EDE1EE-4FB0-5849-A028-6CAC7FCF22A6}"/>
    <hyperlink ref="A342" r:id="rId681" xr:uid="{82E6DE48-2DAE-D344-9F42-9C209BB5703B}"/>
    <hyperlink ref="B342" r:id="rId682" xr:uid="{F45E8DE1-2404-644B-95EF-CD24DEB2363B}"/>
    <hyperlink ref="A343" r:id="rId683" xr:uid="{58E36520-22EB-F242-958C-ECD4508F145F}"/>
    <hyperlink ref="B343" r:id="rId684" xr:uid="{734B2A36-BCE7-D44A-BEA5-529358662C3A}"/>
    <hyperlink ref="A344" r:id="rId685" xr:uid="{7C7157C8-C863-E44F-9CC1-CBE9F3F02DA1}"/>
    <hyperlink ref="B344" r:id="rId686" xr:uid="{24391347-5A87-3F42-AD43-145E19F560A5}"/>
    <hyperlink ref="A345" r:id="rId687" xr:uid="{52B4D8CF-3382-FA4A-A533-DA4EBFF8BB25}"/>
    <hyperlink ref="B345" r:id="rId688" xr:uid="{E3B70ECE-5BB1-6548-9A2F-431BF35D2054}"/>
    <hyperlink ref="A346" r:id="rId689" xr:uid="{FCA24451-8721-2848-8705-E2CBAD037FC3}"/>
    <hyperlink ref="B346" r:id="rId690" xr:uid="{B408D0C3-0704-5E49-B3A6-357C38C03633}"/>
    <hyperlink ref="A347" r:id="rId691" xr:uid="{433BFD57-DC87-B04D-8B1F-0B48038F4FC6}"/>
    <hyperlink ref="B347" r:id="rId692" xr:uid="{F7D85732-EA6A-A641-8F79-B8C2C1DF20DF}"/>
    <hyperlink ref="A348" r:id="rId693" xr:uid="{BACB5C03-0EFD-B748-9A5B-A70E31A269C6}"/>
    <hyperlink ref="B348" r:id="rId694" xr:uid="{F2AFED13-388E-4245-A4D3-83AD8829AC8C}"/>
    <hyperlink ref="A349" r:id="rId695" xr:uid="{6F69DD90-A623-E041-AF75-B43C0D2D91B6}"/>
    <hyperlink ref="B349" r:id="rId696" xr:uid="{C810F5B8-F368-AB47-87C8-756843BAE677}"/>
    <hyperlink ref="A350" r:id="rId697" xr:uid="{06400248-72C4-864C-ABDD-722F97A49135}"/>
    <hyperlink ref="B350" r:id="rId698" xr:uid="{AC2EC733-2DD3-074C-8B14-56F4270337BD}"/>
    <hyperlink ref="A351" r:id="rId699" xr:uid="{002CBC50-52BC-244C-8FF8-A056B7702E6D}"/>
    <hyperlink ref="B351" r:id="rId700" xr:uid="{64E64712-54BE-CC4E-9130-0BDF7F61A6DE}"/>
    <hyperlink ref="A352" r:id="rId701" xr:uid="{72B392D4-A08D-0847-AA0A-D9A99C2E5F6B}"/>
    <hyperlink ref="B352" r:id="rId702" xr:uid="{0C31EADC-021A-1246-A26E-977EFFA53AA3}"/>
    <hyperlink ref="A353" r:id="rId703" xr:uid="{57C90BF1-F87B-C741-846F-2371FE13AC8A}"/>
    <hyperlink ref="B353" r:id="rId704" xr:uid="{3C4DA5CB-7C5C-2544-AE02-F702AAF767CA}"/>
    <hyperlink ref="A354" r:id="rId705" xr:uid="{6D066DA8-57F1-294B-9687-291FE4AEE7FD}"/>
    <hyperlink ref="B354" r:id="rId706" xr:uid="{29B73592-F7E8-BE46-9A21-F3AFF36D6868}"/>
    <hyperlink ref="A355" r:id="rId707" xr:uid="{897E1203-3E1D-C646-A811-1EBC336007A7}"/>
    <hyperlink ref="B355" r:id="rId708" xr:uid="{289844A6-8934-CB48-8B9B-5EBAA91C1D35}"/>
    <hyperlink ref="A356" r:id="rId709" xr:uid="{E33D8194-370B-8445-A81B-E3BA3929BBC9}"/>
    <hyperlink ref="B356" r:id="rId710" xr:uid="{2DDD52C5-FB14-4C40-AC00-AB15C8BE00C1}"/>
    <hyperlink ref="A357" r:id="rId711" xr:uid="{BEA0284A-F78D-7A43-993C-B23CCE4D49E4}"/>
    <hyperlink ref="B357" r:id="rId712" xr:uid="{7B037478-ED18-0549-845A-4D7B6AF4D5C5}"/>
    <hyperlink ref="A358" r:id="rId713" xr:uid="{E2BB7786-EDAA-B44D-BEBF-9E9AAE46EB0A}"/>
    <hyperlink ref="B358" r:id="rId714" xr:uid="{CF830525-1D94-8946-9761-CE3C3BAB145A}"/>
    <hyperlink ref="A359" r:id="rId715" xr:uid="{21686DE2-1F19-D34F-A66A-C749F22BDEBA}"/>
    <hyperlink ref="B359" r:id="rId716" xr:uid="{45A937DF-26C1-7040-AAFB-662C1048D1F7}"/>
    <hyperlink ref="A360" r:id="rId717" xr:uid="{691AFDF7-4E21-C349-844B-605D5DCB4427}"/>
    <hyperlink ref="B360" r:id="rId718" xr:uid="{C3A66585-4AC9-034C-8BBD-B161F297A9D9}"/>
    <hyperlink ref="A361" r:id="rId719" xr:uid="{804B7580-0B7A-6742-AEAA-F29EC736BEAE}"/>
    <hyperlink ref="B361" r:id="rId720" xr:uid="{A038C7A9-3B14-5A4E-B737-EC1B76CEBCDF}"/>
    <hyperlink ref="A362" r:id="rId721" xr:uid="{8B38C049-7DED-A44F-9094-2D8D7BFC2206}"/>
    <hyperlink ref="B362" r:id="rId722" xr:uid="{34978866-58EE-7E45-9693-33CC685A79F7}"/>
    <hyperlink ref="A363" r:id="rId723" xr:uid="{655AF957-FC9D-F74D-B461-95E025D762A9}"/>
    <hyperlink ref="B363" r:id="rId724" xr:uid="{2FA8BFFC-FCA1-1E44-87BA-3D15A4882497}"/>
    <hyperlink ref="A364" r:id="rId725" xr:uid="{9170D00E-49C7-544C-A690-AEBEECF2E595}"/>
    <hyperlink ref="B364" r:id="rId726" xr:uid="{80B54DAE-9B0A-0141-886F-809026A4197D}"/>
    <hyperlink ref="A365" r:id="rId727" xr:uid="{5B05D492-11E4-894D-BD1C-1E2D9566C765}"/>
    <hyperlink ref="B365" r:id="rId728" xr:uid="{5F5FB7BC-9A14-6F43-A280-524D88A6DEBD}"/>
    <hyperlink ref="A366" r:id="rId729" xr:uid="{1F8051CA-156E-B142-93AF-571374200EF0}"/>
    <hyperlink ref="B366" r:id="rId730" xr:uid="{D1ACB1E2-D8CE-8C4C-BCCC-9580EF5F3F5B}"/>
    <hyperlink ref="A367" r:id="rId731" xr:uid="{84C6A010-F922-3E4D-9E78-5CF28C0EFCE4}"/>
    <hyperlink ref="B367" r:id="rId732" xr:uid="{691B8746-8FEB-8B4A-817E-6709A054EDB0}"/>
    <hyperlink ref="A368" r:id="rId733" xr:uid="{B87C78DA-3328-6344-BC4A-BF683255BD21}"/>
    <hyperlink ref="B368" r:id="rId734" xr:uid="{4050FD22-E98B-2140-ADCF-FC8881D1D994}"/>
    <hyperlink ref="A369" r:id="rId735" xr:uid="{EA3AAB58-885A-2841-99BA-8A31309E7FC6}"/>
    <hyperlink ref="B369" r:id="rId736" xr:uid="{3CC65503-628B-FE46-964E-349B30FFED4E}"/>
    <hyperlink ref="A370" r:id="rId737" xr:uid="{4EFF3C0D-C2BB-2F49-B3F5-1F9BA208238A}"/>
    <hyperlink ref="B370" r:id="rId738" xr:uid="{CF8564D3-FCC7-E74D-B5D0-AB42EE4D84BB}"/>
    <hyperlink ref="A371" r:id="rId739" xr:uid="{6C001FA3-E580-F64B-BDF5-3E62D44488CE}"/>
    <hyperlink ref="B371" r:id="rId740" xr:uid="{F2252D02-1A56-4D4B-A248-22603A1E0526}"/>
    <hyperlink ref="A372" r:id="rId741" xr:uid="{AD8B8899-C220-5E46-8FE7-4263E073BFF5}"/>
    <hyperlink ref="B372" r:id="rId742" xr:uid="{CC67452E-5FBE-7D4A-9F8B-114DF4E0C1A5}"/>
    <hyperlink ref="A373" r:id="rId743" xr:uid="{337FAEB3-B2A8-4B42-8D47-48799E2CC9BC}"/>
    <hyperlink ref="B373" r:id="rId744" xr:uid="{E3347604-7A9B-0C46-B2D2-4FFA8B1815B0}"/>
    <hyperlink ref="A374" r:id="rId745" xr:uid="{41806728-BE79-454B-829D-EDF01D85F280}"/>
    <hyperlink ref="B374" r:id="rId746" xr:uid="{7B95664D-7FD9-8B41-BF34-B9B4E1A89BA7}"/>
    <hyperlink ref="A375" r:id="rId747" xr:uid="{A1DB49B7-8E58-DB43-BEC4-8C91E1FE8065}"/>
    <hyperlink ref="B375" r:id="rId748" xr:uid="{1FA6569E-82D4-5344-AFF6-168D5FADC2CF}"/>
    <hyperlink ref="A376" r:id="rId749" xr:uid="{E3990AF4-318D-1F4A-9A62-E6DA4FB4A3C3}"/>
    <hyperlink ref="B376" r:id="rId750" xr:uid="{D82CA70B-D1ED-A34A-8176-6BC7FEB3EBD3}"/>
    <hyperlink ref="A377" r:id="rId751" xr:uid="{F072125C-A674-0F49-A39E-4B4F88A8D81F}"/>
    <hyperlink ref="B377" r:id="rId752" xr:uid="{B97ABDE8-747B-6146-A4A7-8D97F30699A6}"/>
    <hyperlink ref="A378" r:id="rId753" xr:uid="{B9849BBB-BBD3-1045-A07D-EA4767B23ED1}"/>
    <hyperlink ref="B378" r:id="rId754" xr:uid="{A9B196C4-A8C0-8140-93C5-780E9102D307}"/>
    <hyperlink ref="A379" r:id="rId755" xr:uid="{489BACDE-B32D-214B-8BE2-D7F92AEC77B7}"/>
    <hyperlink ref="B379" r:id="rId756" xr:uid="{CFD65F80-A966-9648-8B71-A0A92D71D18A}"/>
    <hyperlink ref="A380" r:id="rId757" xr:uid="{6A1D0B66-7364-CF43-A7F8-86F2B92031ED}"/>
    <hyperlink ref="B380" r:id="rId758" xr:uid="{D5049606-CAB5-E44B-B798-95851A82A08B}"/>
    <hyperlink ref="A381" r:id="rId759" xr:uid="{AAF29B7D-26D1-D842-8CEB-A0ADEC85CA64}"/>
    <hyperlink ref="B381" r:id="rId760" xr:uid="{261D6BF4-0CDB-6644-BB9F-C39D065A2FE0}"/>
    <hyperlink ref="A382" r:id="rId761" xr:uid="{A650D482-A483-9A46-B65C-D7F84D6EB43C}"/>
    <hyperlink ref="B382" r:id="rId762" xr:uid="{B4E0D7E0-BF1A-254E-9912-1C551AF60485}"/>
    <hyperlink ref="A383" r:id="rId763" xr:uid="{356B8097-7008-7945-BF2E-4FD31FEA3526}"/>
    <hyperlink ref="B383" r:id="rId764" xr:uid="{F1288C9A-FDDB-C94F-84F4-0A19B55BFDF9}"/>
    <hyperlink ref="A384" r:id="rId765" xr:uid="{C141E709-6A42-6D42-A960-FE6E906D9682}"/>
    <hyperlink ref="B384" r:id="rId766" xr:uid="{61F2EC44-6C81-844D-90EA-708F39785486}"/>
    <hyperlink ref="A385" r:id="rId767" xr:uid="{AE845E57-5726-A848-8565-A3FF7439B58E}"/>
    <hyperlink ref="B385" r:id="rId768" xr:uid="{9A206C73-62B4-E94D-BA48-73A3CABBA303}"/>
    <hyperlink ref="A386" r:id="rId769" xr:uid="{9C753B45-0267-174A-8263-FA876FD57AE6}"/>
    <hyperlink ref="B386" r:id="rId770" xr:uid="{152DDD6A-AD82-EE4D-91B5-DB1E31BF41AC}"/>
    <hyperlink ref="A387" r:id="rId771" xr:uid="{49970F49-C8FE-9844-8960-0918C2512166}"/>
    <hyperlink ref="B387" r:id="rId772" xr:uid="{551973B4-7E43-0E4B-B4E4-F4EB1F595ECB}"/>
    <hyperlink ref="A388" r:id="rId773" xr:uid="{AFE0E65F-E54C-AA41-AD3E-C7E86020B37B}"/>
    <hyperlink ref="B388" r:id="rId774" xr:uid="{E09D0B56-E08F-E945-8BC7-2A049B5DB2BF}"/>
    <hyperlink ref="A389" r:id="rId775" xr:uid="{0A38215F-EDCA-804E-A2C6-8628A2FA3D04}"/>
    <hyperlink ref="B389" r:id="rId776" xr:uid="{773B81E6-9F96-4846-8D8A-EF7C5EA38A9A}"/>
    <hyperlink ref="A390" r:id="rId777" xr:uid="{68D2CEF3-CD18-3340-9BD3-DD9EF1F6C408}"/>
    <hyperlink ref="B390" r:id="rId778" xr:uid="{B1F446C6-2F1C-4C42-B7FC-122B1A215FCD}"/>
    <hyperlink ref="A391" r:id="rId779" xr:uid="{957AAFBC-9797-4C48-9AA7-EA064606D56C}"/>
    <hyperlink ref="B391" r:id="rId780" xr:uid="{4B9C50A6-04AB-F94D-A592-3EBD18AC211B}"/>
    <hyperlink ref="A392" r:id="rId781" xr:uid="{6BE5398D-DCA3-1240-95DA-3C87DA8E6550}"/>
    <hyperlink ref="B392" r:id="rId782" xr:uid="{73884E86-9BE7-224A-98F3-F9A8FDF1DF64}"/>
    <hyperlink ref="A393" r:id="rId783" xr:uid="{6A6517A0-49C2-2745-8962-1F3310705457}"/>
    <hyperlink ref="B393" r:id="rId784" xr:uid="{A4A060A4-A0CD-6242-854C-B9E0765360D5}"/>
    <hyperlink ref="A394" r:id="rId785" xr:uid="{AEA86270-6ED0-C148-B208-9931F9CA3B4B}"/>
    <hyperlink ref="B394" r:id="rId786" xr:uid="{B02C48FC-AF55-114C-967E-2A952C05538B}"/>
    <hyperlink ref="A395" r:id="rId787" xr:uid="{226125D5-6DB7-4148-AB1D-91D231F26518}"/>
    <hyperlink ref="B395" r:id="rId788" xr:uid="{B21EDB0B-DEE3-D14E-89C7-FEFDD6902C2D}"/>
    <hyperlink ref="A396" r:id="rId789" xr:uid="{ECDB3A36-F44A-8540-82B4-1A079EFC9EED}"/>
    <hyperlink ref="B396" r:id="rId790" xr:uid="{E9562C54-069F-F748-99EC-9F627135DF4E}"/>
    <hyperlink ref="A397" r:id="rId791" xr:uid="{73BA27FE-22F0-9E47-B21D-8585E6E1E283}"/>
    <hyperlink ref="B397" r:id="rId792" xr:uid="{6E9CF294-7D5D-6545-B0AF-AE5920771D3D}"/>
    <hyperlink ref="A398" r:id="rId793" xr:uid="{74EA6003-292E-D44F-948C-7F2365F72A07}"/>
    <hyperlink ref="B398" r:id="rId794" xr:uid="{D6169F57-A268-F645-8015-51DCC9D141C1}"/>
    <hyperlink ref="A399" r:id="rId795" xr:uid="{CE74676B-BBD6-BF4E-8D45-4E949B6ABDA3}"/>
    <hyperlink ref="B399" r:id="rId796" xr:uid="{71944427-3B11-0C4B-9CC2-6B35D1FA431D}"/>
    <hyperlink ref="A400" r:id="rId797" xr:uid="{AF54CE67-D4E2-A847-B8EB-6FB1A963D915}"/>
    <hyperlink ref="B400" r:id="rId798" xr:uid="{2D4DEC85-B959-8B42-BBA0-9BAEC9171611}"/>
    <hyperlink ref="A401" r:id="rId799" xr:uid="{DF8231B2-B4B3-2943-BF2D-1ED5A4318B65}"/>
    <hyperlink ref="B401" r:id="rId800" xr:uid="{739613E5-CF62-8D44-AC79-27910B037BD9}"/>
    <hyperlink ref="A402" r:id="rId801" xr:uid="{CF400538-AAA3-D740-BD80-77D33A54CB4B}"/>
    <hyperlink ref="B402" r:id="rId802" xr:uid="{85AB6C74-13C4-3A43-8A0A-FD76FD9E36A7}"/>
    <hyperlink ref="A403" r:id="rId803" xr:uid="{1C7C1AAD-7131-C34D-B45D-375D498AA53D}"/>
    <hyperlink ref="B403" r:id="rId804" xr:uid="{D0344005-3F38-9C4E-8EEA-AE399F87E2BF}"/>
    <hyperlink ref="A404" r:id="rId805" xr:uid="{8D2E4590-BC41-D748-920D-CD8DACD407B9}"/>
    <hyperlink ref="B404" r:id="rId806" xr:uid="{9CDA2A60-EBCB-904C-BE0D-671437FC02C7}"/>
    <hyperlink ref="A405" r:id="rId807" xr:uid="{72C28F02-1585-6242-89E9-E9EB2D773513}"/>
    <hyperlink ref="B405" r:id="rId808" xr:uid="{6887EAAB-57A5-EB42-9DAB-7BBA2C5CA0F5}"/>
    <hyperlink ref="A406" r:id="rId809" xr:uid="{26F91F48-83CC-B04E-9F42-8A45C701F344}"/>
    <hyperlink ref="B406" r:id="rId810" xr:uid="{3273A952-617A-1649-9542-0727B0CB049C}"/>
    <hyperlink ref="A407" r:id="rId811" xr:uid="{656D0168-906B-EB43-BEF4-B5C32E4D27FD}"/>
    <hyperlink ref="B407" r:id="rId812" xr:uid="{D581E3BF-92C4-9C4B-AD94-6DDFDDAB0C30}"/>
    <hyperlink ref="A408" r:id="rId813" xr:uid="{50A0EFC2-B365-BB43-BA44-442F50173CFA}"/>
    <hyperlink ref="B408" r:id="rId814" xr:uid="{DB8D10D7-5261-4B42-9C73-E4AE36BAF807}"/>
    <hyperlink ref="A409" r:id="rId815" xr:uid="{32B340C6-0793-2448-9CA3-4FB4C55AC86A}"/>
    <hyperlink ref="B409" r:id="rId816" xr:uid="{E6F7CF6E-29DE-154F-92CB-7EF8BC90434D}"/>
    <hyperlink ref="A410" r:id="rId817" xr:uid="{55AEBA4F-713A-DB41-877A-055C237D256A}"/>
    <hyperlink ref="B410" r:id="rId818" xr:uid="{B1BA6975-9CA2-1244-AC41-A919DCCE7B9A}"/>
    <hyperlink ref="A411" r:id="rId819" xr:uid="{C70FEF8E-204A-114D-B51C-3EBC5BC8D42A}"/>
    <hyperlink ref="B411" r:id="rId820" xr:uid="{CD9B917A-1573-114B-9162-DC8E794680F4}"/>
    <hyperlink ref="A412" r:id="rId821" xr:uid="{FBD390A0-D19D-2140-9C80-E0C8A3AEFFC9}"/>
    <hyperlink ref="B412" r:id="rId822" xr:uid="{ADA1F428-CB22-744D-A8E9-5BC010B05808}"/>
    <hyperlink ref="A413" r:id="rId823" xr:uid="{502509B0-3444-6241-93DF-684BA7E8BD7C}"/>
    <hyperlink ref="B413" r:id="rId824" xr:uid="{FF70F9F8-3D6E-394A-9BEF-D1D291A5BC51}"/>
    <hyperlink ref="A414" r:id="rId825" xr:uid="{45B391E4-A8FB-6342-99E0-53DBE73F12E6}"/>
    <hyperlink ref="B414" r:id="rId826" xr:uid="{66F33C29-DDC1-EA4B-BB10-ADB5F2946BA6}"/>
    <hyperlink ref="A415" r:id="rId827" xr:uid="{58C90C08-C2E2-D848-83A0-8259C6651F46}"/>
    <hyperlink ref="B415" r:id="rId828" xr:uid="{C9684A62-2F86-394F-956B-0C64A12CB11A}"/>
    <hyperlink ref="A416" r:id="rId829" xr:uid="{D38716F3-F03A-3A4B-837C-46EA2194D449}"/>
    <hyperlink ref="B416" r:id="rId830" xr:uid="{8534F74C-80ED-3F4D-9C75-012F76BBCD01}"/>
    <hyperlink ref="A417" r:id="rId831" xr:uid="{B6A28CEF-1411-1046-9223-090EF55795C9}"/>
    <hyperlink ref="B417" r:id="rId832" xr:uid="{F53FE7F1-EBC4-6645-8DD8-7435823AD586}"/>
    <hyperlink ref="A418" r:id="rId833" xr:uid="{A8A10984-7D79-C94B-B1E1-C92C3520EC80}"/>
    <hyperlink ref="B418" r:id="rId834" xr:uid="{C95726D9-E0A4-3F42-9E4E-A5DE9CEEEEE2}"/>
    <hyperlink ref="A419" r:id="rId835" xr:uid="{9F69DE6E-1994-A148-B6E6-C7FEFC317AA2}"/>
    <hyperlink ref="B419" r:id="rId836" xr:uid="{5DE7CB4D-FD2E-8C49-968A-9C23A2497AA8}"/>
    <hyperlink ref="A420" r:id="rId837" xr:uid="{937ABBD4-8949-F14A-9C7A-83934C32962D}"/>
    <hyperlink ref="B420" r:id="rId838" xr:uid="{1829BE3F-CCF6-8C45-8003-953DB8AC08D1}"/>
    <hyperlink ref="A421" r:id="rId839" xr:uid="{DF9FB0D6-DE9E-A148-96E9-CA3A75ACF10E}"/>
    <hyperlink ref="B421" r:id="rId840" xr:uid="{CFE9EB5C-6427-CD4E-95CB-941FE336953C}"/>
    <hyperlink ref="A422" r:id="rId841" xr:uid="{EC3179E9-CA97-2448-934C-145A97018932}"/>
    <hyperlink ref="B422" r:id="rId842" xr:uid="{6C4EEE3B-7032-B640-A43C-4735A24106BF}"/>
    <hyperlink ref="A423" r:id="rId843" xr:uid="{2BCEE37D-5E6F-D244-A391-F10623FD189E}"/>
    <hyperlink ref="B423" r:id="rId844" xr:uid="{E32A54D5-ACA5-334A-8D09-A89605AF7013}"/>
    <hyperlink ref="A424" r:id="rId845" xr:uid="{7186C16F-E1C1-024E-B469-A82AFE6B2814}"/>
    <hyperlink ref="B424" r:id="rId846" xr:uid="{702443E5-694D-7843-BC38-708D02777688}"/>
    <hyperlink ref="A425" r:id="rId847" xr:uid="{B26A48D7-5A50-2E45-97D5-6A5D1F22C812}"/>
    <hyperlink ref="B425" r:id="rId848" xr:uid="{0BC8651B-0E3C-8F43-A1DF-5BF715A4F145}"/>
    <hyperlink ref="A426" r:id="rId849" xr:uid="{60440D61-522C-D944-81DD-E6FCF6FC7C3F}"/>
    <hyperlink ref="B426" r:id="rId850" xr:uid="{79640E31-EBA9-D748-9867-C95B0B76ECAE}"/>
    <hyperlink ref="A427" r:id="rId851" xr:uid="{91E33AEC-F0C5-3745-98CF-A2C61FA42D9C}"/>
    <hyperlink ref="B427" r:id="rId852" xr:uid="{B4AF4CEE-878B-784D-8CE5-C5A62188BF9A}"/>
    <hyperlink ref="A428" r:id="rId853" xr:uid="{E2589C32-B899-F649-A67C-21568246B650}"/>
    <hyperlink ref="B428" r:id="rId854" xr:uid="{2B25442F-2C4B-6545-B232-C1E186125A8B}"/>
    <hyperlink ref="A429" r:id="rId855" xr:uid="{D66FA3D7-1215-5246-B6AD-D7E70A67E28C}"/>
    <hyperlink ref="B429" r:id="rId856" xr:uid="{2932128E-41C8-5341-8257-B356B5590051}"/>
    <hyperlink ref="A430" r:id="rId857" xr:uid="{0DF3324B-706A-3044-B233-0C69B2A498CD}"/>
    <hyperlink ref="B430" r:id="rId858" xr:uid="{41F730FD-173C-714B-8FB2-50FA69320D5B}"/>
    <hyperlink ref="A431" r:id="rId859" xr:uid="{64C01489-5D4D-F44F-BDF5-CF3A9EA66FAA}"/>
    <hyperlink ref="B431" r:id="rId860" xr:uid="{B1E5A56F-16CF-7B40-891F-C3AAD4951936}"/>
    <hyperlink ref="A432" r:id="rId861" xr:uid="{673DA537-48AD-2E49-ACF1-EEFC5E417376}"/>
    <hyperlink ref="B432" r:id="rId862" xr:uid="{618C7CC8-2C63-904C-A56C-01713BA613E5}"/>
    <hyperlink ref="A433" r:id="rId863" xr:uid="{869C3828-EE3B-CD44-8FC7-71EAF8CD4D12}"/>
    <hyperlink ref="B433" r:id="rId864" xr:uid="{9697905F-550B-1F48-ACBD-22025F8EE508}"/>
    <hyperlink ref="A434" r:id="rId865" xr:uid="{188CDFBA-5823-C04C-8343-6F3D93EFB946}"/>
    <hyperlink ref="B434" r:id="rId866" xr:uid="{7B484F01-D95E-D542-9B9C-433BDE9AE480}"/>
    <hyperlink ref="A435" r:id="rId867" xr:uid="{3C225010-D236-C147-A21E-D227E8A5FA5F}"/>
    <hyperlink ref="B435" r:id="rId868" xr:uid="{4403EC1D-8066-4D4E-942C-E7BCAC637CE1}"/>
    <hyperlink ref="A436" r:id="rId869" xr:uid="{364972FE-95C1-7641-8735-C04A7DADB994}"/>
    <hyperlink ref="B436" r:id="rId870" xr:uid="{477D04B2-43E5-7447-87F1-568175750F47}"/>
    <hyperlink ref="A437" r:id="rId871" xr:uid="{55C0EAB2-5E47-E844-8E14-59961637FF85}"/>
    <hyperlink ref="B437" r:id="rId872" xr:uid="{DF125BC6-49F6-6F40-930A-3FDDBE7F58C2}"/>
    <hyperlink ref="A438" r:id="rId873" xr:uid="{3D8DBF33-032B-144B-8D8D-EBF1E32854FC}"/>
    <hyperlink ref="B438" r:id="rId874" xr:uid="{EA4AEC95-7102-2E43-AFE3-6666EC04AF5B}"/>
    <hyperlink ref="A439" r:id="rId875" xr:uid="{39A54D67-89EB-5140-A747-FD1A078CDDCA}"/>
    <hyperlink ref="B439" r:id="rId876" xr:uid="{8E7A7546-EA9F-9248-874F-B16801108FD5}"/>
    <hyperlink ref="A440" r:id="rId877" xr:uid="{FEF9A3CE-4E8E-1347-8140-C91641720C8B}"/>
    <hyperlink ref="B440" r:id="rId878" xr:uid="{1D9C2123-6656-7A4B-A426-D6F9AF97AFB6}"/>
    <hyperlink ref="A441" r:id="rId879" xr:uid="{39E6BA81-C15C-C64E-8683-4CFC990C57D7}"/>
    <hyperlink ref="B441" r:id="rId880" xr:uid="{8C5CC825-FA0B-5F47-A8E5-2E6991272442}"/>
    <hyperlink ref="A442" r:id="rId881" xr:uid="{9882495D-C5B6-5C4B-9E73-DB5605C7666E}"/>
    <hyperlink ref="B442" r:id="rId882" xr:uid="{137880CC-5150-AE46-B216-E3D9CFFFF2F6}"/>
    <hyperlink ref="A443" r:id="rId883" xr:uid="{D5A8A300-4BBE-D646-BD38-0A15C1C8262B}"/>
    <hyperlink ref="B443" r:id="rId884" xr:uid="{B8BF6677-BA46-B245-8A19-97261A7C0097}"/>
    <hyperlink ref="A444" r:id="rId885" xr:uid="{A4A3AC9D-B6D3-3D44-B952-FFEC841A788F}"/>
    <hyperlink ref="B444" r:id="rId886" xr:uid="{1E94A47A-F171-B24A-9FBC-0FEE53DAD19C}"/>
    <hyperlink ref="A445" r:id="rId887" xr:uid="{00A3B6AC-D63F-6C49-9CF2-DB70E0B1D035}"/>
    <hyperlink ref="B445" r:id="rId888" xr:uid="{652D5E50-B150-6E4F-B241-9C7E4575AC1A}"/>
    <hyperlink ref="A446" r:id="rId889" xr:uid="{E4B52439-B300-7146-864B-A3366E6795FE}"/>
    <hyperlink ref="B446" r:id="rId890" xr:uid="{245BF925-A72D-5D44-8347-30BAF8BA997B}"/>
    <hyperlink ref="A447" r:id="rId891" xr:uid="{F61F74EF-57F9-3441-A408-7CDF7BF67839}"/>
    <hyperlink ref="B447" r:id="rId892" xr:uid="{5D89AA61-366B-F147-96A6-E250CB7C0912}"/>
    <hyperlink ref="A448" r:id="rId893" xr:uid="{DFA0D562-E5A6-F441-865F-8C3ED86173F6}"/>
    <hyperlink ref="B448" r:id="rId894" xr:uid="{57C0D628-6663-B44E-9370-5E4211DA5F28}"/>
    <hyperlink ref="A449" r:id="rId895" xr:uid="{AC4FDB7A-CC1A-6145-9417-67CF4BD479B2}"/>
    <hyperlink ref="B449" r:id="rId896" xr:uid="{D704A321-26C8-4941-974E-273550BE2BC6}"/>
    <hyperlink ref="A450" r:id="rId897" xr:uid="{145476A4-98AF-0946-B88C-33EE11298BE9}"/>
    <hyperlink ref="B450" r:id="rId898" xr:uid="{209E475E-7209-804C-AEF9-0AD3D6232A19}"/>
    <hyperlink ref="A451" r:id="rId899" xr:uid="{8184BF76-57DC-FA4B-A32A-2EFEAEAA4090}"/>
    <hyperlink ref="B451" r:id="rId900" xr:uid="{657E622D-F6A0-9141-B01A-BB6BF1D2500D}"/>
    <hyperlink ref="A452" r:id="rId901" xr:uid="{777FC1F8-875B-7F43-BBA8-A3ED054B1033}"/>
    <hyperlink ref="B452" r:id="rId902" xr:uid="{5F1FE5DF-EE9A-FF4B-80AE-674738059AAA}"/>
    <hyperlink ref="A453" r:id="rId903" xr:uid="{629A90C5-2270-BF41-9A69-4D4D6A64B925}"/>
    <hyperlink ref="B453" r:id="rId904" xr:uid="{7A2A2A17-8B3B-8348-8310-A46BD6D7F38E}"/>
    <hyperlink ref="A454" r:id="rId905" xr:uid="{48FBD590-4CFE-104A-904A-B7DD41EC1D83}"/>
    <hyperlink ref="B454" r:id="rId906" xr:uid="{140C8707-EFD1-844A-AC7F-C42BB4B0BE07}"/>
    <hyperlink ref="A455" r:id="rId907" xr:uid="{40DDF649-3601-694D-B8CD-B46C6606C84F}"/>
    <hyperlink ref="B455" r:id="rId908" xr:uid="{19B2DFC9-8BA3-8B4A-B2B2-CB4C0D359A4F}"/>
    <hyperlink ref="A456" r:id="rId909" xr:uid="{8E9C5490-8698-E846-8F63-D42E1CAA9CD6}"/>
    <hyperlink ref="B456" r:id="rId910" xr:uid="{824D57E8-D98C-9F46-8737-525B8B989F39}"/>
    <hyperlink ref="A457" r:id="rId911" xr:uid="{FF9AA1F8-CF22-054E-8358-1567F102B7D3}"/>
    <hyperlink ref="B457" r:id="rId912" xr:uid="{7D490B7B-F9B9-5346-B53D-5AB93E458072}"/>
    <hyperlink ref="A458" r:id="rId913" xr:uid="{B3798092-AA8A-484F-832C-EE90A8E485B9}"/>
    <hyperlink ref="B458" r:id="rId914" xr:uid="{52021EAF-AEE2-EC4A-8DEE-B74DA295D939}"/>
    <hyperlink ref="A459" r:id="rId915" xr:uid="{A466FFA5-B5B4-2644-A1FB-39538CC50897}"/>
    <hyperlink ref="B459" r:id="rId916" xr:uid="{5E5149CF-2BFC-6E4B-BC15-6EA6830C77DC}"/>
    <hyperlink ref="A460" r:id="rId917" xr:uid="{22D5B85F-AFD8-904A-A0C1-DEC359B93CE7}"/>
    <hyperlink ref="B460" r:id="rId918" xr:uid="{6E4E5AC1-1ECB-D74B-81EC-605691670CEC}"/>
    <hyperlink ref="A461" r:id="rId919" xr:uid="{B2FF4D4A-F4DC-184B-8565-8660FC4301DD}"/>
    <hyperlink ref="B461" r:id="rId920" xr:uid="{F17A2ACB-09AE-1F4D-BFBC-DBC0AB826F49}"/>
    <hyperlink ref="A462" r:id="rId921" xr:uid="{ECB05280-E603-9940-A1CF-BE2F78A81D08}"/>
    <hyperlink ref="B462" r:id="rId922" xr:uid="{865039E6-DDE9-A540-A6C7-B1A90DFB6F34}"/>
    <hyperlink ref="A463" r:id="rId923" xr:uid="{8984B698-6471-184B-B25C-0B0E47E3C4E4}"/>
    <hyperlink ref="B463" r:id="rId924" xr:uid="{48AEE688-3CCF-754E-BB29-64DE4338C866}"/>
    <hyperlink ref="A464" r:id="rId925" xr:uid="{F968F18E-FBD9-8C42-972F-1A5386A84EE2}"/>
    <hyperlink ref="B464" r:id="rId926" xr:uid="{320942FC-F4F2-6C45-8011-011911B400CE}"/>
    <hyperlink ref="A465" r:id="rId927" xr:uid="{E99E0B63-22F4-F140-996A-B0C6394AB072}"/>
    <hyperlink ref="B465" r:id="rId928" xr:uid="{412689D6-CE8C-4B42-A992-12F866E6043C}"/>
    <hyperlink ref="A466" r:id="rId929" xr:uid="{29CC2C92-2CDF-DC4F-A672-C9D21F62A220}"/>
    <hyperlink ref="B466" r:id="rId930" xr:uid="{01EB0826-DE48-A54A-BEB4-5FEA87759F62}"/>
    <hyperlink ref="A467" r:id="rId931" xr:uid="{585E067F-612D-D541-8B03-1541F4B780D9}"/>
    <hyperlink ref="B467" r:id="rId932" xr:uid="{42D8A937-F30C-4041-B46E-798B5EC1A7E2}"/>
    <hyperlink ref="A468" r:id="rId933" xr:uid="{03AAADD8-A180-F646-9A98-853F9DD29CE0}"/>
    <hyperlink ref="B468" r:id="rId934" xr:uid="{73ADEA02-9196-AD40-9564-F5FA1B691FB1}"/>
    <hyperlink ref="A469" r:id="rId935" xr:uid="{91D3CFA3-1FD2-6E4B-BA03-BD022D2D093D}"/>
    <hyperlink ref="B469" r:id="rId936" xr:uid="{5E09723D-CAC1-AA4C-978F-CA4ABBDF2EA0}"/>
    <hyperlink ref="A470" r:id="rId937" xr:uid="{10861972-F3A7-494D-B825-4ED87593210D}"/>
    <hyperlink ref="B470" r:id="rId938" xr:uid="{BDA0D2E8-EA7B-DB44-A330-B5B84B7EE1AE}"/>
    <hyperlink ref="A471" r:id="rId939" xr:uid="{27EBB29D-3282-E144-B55A-3F63E535A27E}"/>
    <hyperlink ref="B471" r:id="rId940" xr:uid="{24E95153-AD1C-1044-94B3-2CFA2AD3920B}"/>
    <hyperlink ref="A472" r:id="rId941" xr:uid="{E49A2063-82E5-9943-8C94-B6204E9217D1}"/>
    <hyperlink ref="B472" r:id="rId942" xr:uid="{350374EA-7AED-3047-9F08-8C29070E1BB5}"/>
    <hyperlink ref="A473" r:id="rId943" xr:uid="{E3E54CB8-3C9A-1B41-87ED-299B0289DCA0}"/>
    <hyperlink ref="B473" r:id="rId944" xr:uid="{6D815044-C5F3-2048-B456-CC1D37F2CCF3}"/>
    <hyperlink ref="A474" r:id="rId945" xr:uid="{95471452-A362-6A4A-B261-50397A9B7C40}"/>
    <hyperlink ref="B474" r:id="rId946" xr:uid="{45BB4CAF-0215-EB45-8A33-E18E2EBBD2A9}"/>
    <hyperlink ref="A475" r:id="rId947" xr:uid="{5E4AA0F3-FFA9-F049-9B19-6C85B5EB3BE2}"/>
    <hyperlink ref="B475" r:id="rId948" xr:uid="{068E27D4-72FC-CB41-B512-37F2D567A88C}"/>
    <hyperlink ref="A476" r:id="rId949" xr:uid="{A96209B3-57D4-C34C-AD3B-E4F9C36C3257}"/>
    <hyperlink ref="B476" r:id="rId950" xr:uid="{B39CEE11-C3A6-D24A-B1ED-4CB98901C290}"/>
    <hyperlink ref="A477" r:id="rId951" xr:uid="{948F6F49-9991-4D46-A4FB-15D5078209DA}"/>
    <hyperlink ref="B477" r:id="rId952" xr:uid="{679F8F36-35CB-DD44-95B4-E550B3A6A121}"/>
    <hyperlink ref="A478" r:id="rId953" xr:uid="{74380DEA-17F4-7C4B-81DB-941F1DC1AF8D}"/>
    <hyperlink ref="B478" r:id="rId954" xr:uid="{7A3DF9C1-2B97-DE4E-9996-649A990D0423}"/>
    <hyperlink ref="A479" r:id="rId955" xr:uid="{CEDD9330-5D17-0F4E-A7C0-55B50124460F}"/>
    <hyperlink ref="B479" r:id="rId956" xr:uid="{E9FF76A7-776E-FA44-86B0-81F376FF6007}"/>
    <hyperlink ref="A480" r:id="rId957" xr:uid="{61097F08-56E0-4544-B077-5DB62EBF0068}"/>
    <hyperlink ref="B480" r:id="rId958" xr:uid="{EAE2A21B-D564-5A4D-9C94-68BB291ADC19}"/>
    <hyperlink ref="A481" r:id="rId959" xr:uid="{13340CE6-2DDD-1540-9739-4F02EACD835F}"/>
    <hyperlink ref="B481" r:id="rId960" xr:uid="{DE5D27E2-AB14-FE4D-A653-5AB424D53F67}"/>
    <hyperlink ref="A482" r:id="rId961" xr:uid="{2A85E8A2-BCE4-564F-A5D6-799EDA15E780}"/>
    <hyperlink ref="B482" r:id="rId962" xr:uid="{A41ADF7D-A1DA-4549-A6F0-E718F26FE106}"/>
    <hyperlink ref="A483" r:id="rId963" xr:uid="{21E76259-2603-504F-B139-7567B7819B78}"/>
    <hyperlink ref="B483" r:id="rId964" xr:uid="{430FE7EF-9BA3-0749-9487-46B5E00BACF4}"/>
    <hyperlink ref="A484" r:id="rId965" xr:uid="{D1497538-3995-4D43-ACA3-8C5CFD6E2010}"/>
    <hyperlink ref="B484" r:id="rId966" xr:uid="{EE10652F-DA96-9D44-A1B5-EA16B8944875}"/>
    <hyperlink ref="A485" r:id="rId967" xr:uid="{1D66A7AB-AA14-0646-9D73-F1AA4976CDAA}"/>
    <hyperlink ref="B485" r:id="rId968" xr:uid="{A2544834-38C0-AB40-BE79-BAAC0CA8CF51}"/>
    <hyperlink ref="A486" r:id="rId969" xr:uid="{D557CBB4-2F7E-364A-97D3-983BC7DB4910}"/>
    <hyperlink ref="B486" r:id="rId970" xr:uid="{B184A11A-D83A-2B43-9715-1A0B2815D206}"/>
    <hyperlink ref="A487" r:id="rId971" xr:uid="{9A87E813-5678-2241-8A88-5498D9873FEC}"/>
    <hyperlink ref="B487" r:id="rId972" xr:uid="{83C2E25F-375F-8D43-9E30-4BA725C9EF9E}"/>
    <hyperlink ref="A488" r:id="rId973" xr:uid="{C57FA998-1541-3E48-87D1-7751B668EE03}"/>
    <hyperlink ref="B488" r:id="rId974" xr:uid="{51E12EC9-6B3F-2B4D-9F30-939914D0D0D0}"/>
    <hyperlink ref="A489" r:id="rId975" xr:uid="{0385F11F-B447-BA4E-88C5-BB50BDB49DCA}"/>
    <hyperlink ref="B489" r:id="rId976" xr:uid="{3D5AF4A8-C9C4-9B4F-AF0B-6ADA24C50990}"/>
    <hyperlink ref="A490" r:id="rId977" xr:uid="{EB955A29-9C34-904F-837A-47AE63118DD6}"/>
    <hyperlink ref="B490" r:id="rId978" xr:uid="{C53B03A4-5BC5-0442-94F7-FE1033342076}"/>
    <hyperlink ref="A491" r:id="rId979" xr:uid="{7E39552A-C8AF-E54A-9B68-649884E268DC}"/>
    <hyperlink ref="B491" r:id="rId980" xr:uid="{6938F6B6-D853-1046-B3C4-E1CF9F6BFAC4}"/>
    <hyperlink ref="A492" r:id="rId981" xr:uid="{58037C71-B082-F346-A856-E4EF926C2EB7}"/>
    <hyperlink ref="B492" r:id="rId982" xr:uid="{7BB5A609-8BF9-B14A-97D2-15612B429EC5}"/>
    <hyperlink ref="A493" r:id="rId983" xr:uid="{3E044F4F-9911-D247-ABCB-829294817F85}"/>
    <hyperlink ref="B493" r:id="rId984" xr:uid="{38646180-09A1-A445-AA36-ED15C5813CFB}"/>
    <hyperlink ref="A494" r:id="rId985" xr:uid="{B724E3F9-89A4-174B-BD23-303DCAE08B76}"/>
    <hyperlink ref="B494" r:id="rId986" xr:uid="{32505128-3C61-F348-9F9A-5FB336A03E76}"/>
    <hyperlink ref="A495" r:id="rId987" xr:uid="{9A7EAF43-ECFD-5D4B-A95C-B276EDB6C6EE}"/>
    <hyperlink ref="B495" r:id="rId988" xr:uid="{9CE5E4CD-7A98-9046-8C22-0C2BC65D5C7D}"/>
    <hyperlink ref="A496" r:id="rId989" xr:uid="{05C13D82-C5D3-F74C-99E2-25FBC0251D50}"/>
    <hyperlink ref="B496" r:id="rId990" xr:uid="{707D34C9-4441-5947-8E59-0DD5A9D1F5CA}"/>
    <hyperlink ref="A497" r:id="rId991" xr:uid="{3A028E7B-0B80-8E48-A181-28178A85F208}"/>
    <hyperlink ref="B497" r:id="rId992" xr:uid="{355F1416-4BC5-1B40-BBC6-2332753A38E2}"/>
    <hyperlink ref="A498" r:id="rId993" xr:uid="{4BC8DF6A-8591-E54F-B7B3-39B6CC158996}"/>
    <hyperlink ref="B498" r:id="rId994" xr:uid="{D54CA701-CC5B-3C4F-8123-F80FA040F647}"/>
    <hyperlink ref="A499" r:id="rId995" xr:uid="{383E4D77-573A-0244-B243-E4CBE631CF24}"/>
    <hyperlink ref="B499" r:id="rId996" xr:uid="{9A3C5B8A-DBE0-0947-AC73-F85585EC59F7}"/>
    <hyperlink ref="A500" r:id="rId997" xr:uid="{85CA73A1-652A-F943-B1F8-3B41ADE65B0B}"/>
    <hyperlink ref="B500" r:id="rId998" xr:uid="{8F123C49-344A-664A-B11E-00FF5A00D0B1}"/>
    <hyperlink ref="A501" r:id="rId999" xr:uid="{6B57E777-A606-294E-86B6-41D6AFAC85B4}"/>
    <hyperlink ref="B501" r:id="rId1000" xr:uid="{0540BA21-871C-1146-A379-F97DC6EEBFE4}"/>
    <hyperlink ref="A502" r:id="rId1001" xr:uid="{B45D6474-B1C8-1B49-B2F3-29560CB6EB30}"/>
    <hyperlink ref="B502" r:id="rId1002" xr:uid="{45F86F84-85C7-CC4F-BE02-00B0E896C653}"/>
    <hyperlink ref="A503" r:id="rId1003" xr:uid="{AF6C202A-CBC8-5F47-BDCA-C992979FF8AA}"/>
    <hyperlink ref="B503" r:id="rId1004" xr:uid="{BE8E4034-BE56-EE40-A3A6-4ADA6B17B615}"/>
    <hyperlink ref="A504" r:id="rId1005" xr:uid="{A5FF37CA-3897-0F42-A04F-C6C19D54F6DC}"/>
    <hyperlink ref="B504" r:id="rId1006" xr:uid="{2D4B9200-8FE1-084F-9C78-2F74F40C5CBC}"/>
    <hyperlink ref="A505" r:id="rId1007" xr:uid="{5CC7D993-5B68-3E42-8A32-1EDBEB4DE71D}"/>
    <hyperlink ref="B505" r:id="rId1008" xr:uid="{79A46B5C-E356-A44F-A813-0BCD17492B54}"/>
    <hyperlink ref="A506" r:id="rId1009" xr:uid="{CA910C6F-14E8-CD44-BD6C-07CAE46D438C}"/>
    <hyperlink ref="B506" r:id="rId1010" xr:uid="{D71CB42D-56CB-3945-8E4A-0CEAF51B11A5}"/>
    <hyperlink ref="A507" r:id="rId1011" xr:uid="{0A6CD43E-A25E-FC4C-A344-33A6AF7909B5}"/>
    <hyperlink ref="B507" r:id="rId1012" xr:uid="{9462F7C1-AADA-1A40-B4C5-691E5AB423F1}"/>
    <hyperlink ref="A508" r:id="rId1013" xr:uid="{D6BC3D78-3C59-D148-A90E-7B042D7E054C}"/>
    <hyperlink ref="B508" r:id="rId1014" xr:uid="{7F1645E7-5FBA-0149-B74E-A53BE6B4AC3B}"/>
    <hyperlink ref="A509" r:id="rId1015" xr:uid="{0DC1C464-5CFA-F245-B62B-BEF63E1E8563}"/>
    <hyperlink ref="B509" r:id="rId1016" xr:uid="{53F1AB97-D8A2-A04C-82D2-68A4494C808D}"/>
    <hyperlink ref="A510" r:id="rId1017" xr:uid="{C8D718EE-62E7-8142-967E-64D6AB3ED3F0}"/>
    <hyperlink ref="B510" r:id="rId1018" xr:uid="{A08FEBB9-16DD-2B4D-BFDF-056445141B7B}"/>
    <hyperlink ref="A511" r:id="rId1019" xr:uid="{312AB6B6-44A7-554F-A321-0ACBE07A4D44}"/>
    <hyperlink ref="B511" r:id="rId1020" xr:uid="{9274AF98-32D0-394F-B819-1293775860C6}"/>
    <hyperlink ref="A512" r:id="rId1021" xr:uid="{EFA14FC9-8E95-2A4F-A4DD-69D786A29468}"/>
    <hyperlink ref="B512" r:id="rId1022" xr:uid="{FEE34E40-9BF9-0A46-A44D-8EEF08B72D5D}"/>
    <hyperlink ref="A513" r:id="rId1023" xr:uid="{0FFEB27B-018E-8F4F-BEE3-B0A5B35BAF9A}"/>
    <hyperlink ref="B513" r:id="rId1024" xr:uid="{0A149650-1EED-FA4B-9982-62ED75E783B1}"/>
    <hyperlink ref="A514" r:id="rId1025" xr:uid="{A0DE383C-1150-3640-8102-DCD7EE9DB981}"/>
    <hyperlink ref="B514" r:id="rId1026" xr:uid="{FC1D2D9F-3DFF-544A-8308-2CDE51376C1D}"/>
    <hyperlink ref="A515" r:id="rId1027" xr:uid="{37409CE0-FF0E-B542-8B43-4A5176B14489}"/>
    <hyperlink ref="B515" r:id="rId1028" xr:uid="{2AB8C5BB-C9C3-9741-BE7E-406160544F88}"/>
    <hyperlink ref="A516" r:id="rId1029" xr:uid="{709754A1-768D-EC47-8579-A37FAB9B1119}"/>
    <hyperlink ref="B516" r:id="rId1030" xr:uid="{32A02532-DE95-A84E-B2F2-BC55CE8ECFA8}"/>
    <hyperlink ref="A517" r:id="rId1031" xr:uid="{5A741C29-3D87-8A44-8991-04EBCF03FD64}"/>
    <hyperlink ref="B517" r:id="rId1032" xr:uid="{99F60306-4578-364C-B2A1-3E4FFA46ED54}"/>
    <hyperlink ref="A518" r:id="rId1033" xr:uid="{499EC2BD-55CC-E840-B0D9-B00DFD07327E}"/>
    <hyperlink ref="B518" r:id="rId1034" xr:uid="{E37D0205-A71F-EA4B-826F-03407433A0E6}"/>
    <hyperlink ref="A519" r:id="rId1035" xr:uid="{42E2A09F-5B2E-1441-8357-B4A12634CCDB}"/>
    <hyperlink ref="B519" r:id="rId1036" xr:uid="{26C4347C-230C-3148-889A-1C8453B03349}"/>
    <hyperlink ref="A520" r:id="rId1037" xr:uid="{DFCB844E-FF55-8A4B-8CD3-9F73E103209B}"/>
    <hyperlink ref="B520" r:id="rId1038" xr:uid="{4139599E-5DB4-3549-9B76-475427AC7351}"/>
    <hyperlink ref="A521" r:id="rId1039" xr:uid="{5CC9600F-1A4F-6E43-94B6-E4A4102AEF33}"/>
    <hyperlink ref="B521" r:id="rId1040" xr:uid="{034C3B59-9B1C-4C43-BA27-6236BCD57DE7}"/>
    <hyperlink ref="A522" r:id="rId1041" xr:uid="{125475DF-F0DC-5D46-8F3F-6DBE1D20198C}"/>
    <hyperlink ref="B522" r:id="rId1042" xr:uid="{5A3A6482-D85D-E849-850C-FC9B02B02133}"/>
    <hyperlink ref="A523" r:id="rId1043" xr:uid="{9E4D7E63-4647-6E4D-AF0A-BF2C32DB2C7D}"/>
    <hyperlink ref="B523" r:id="rId1044" xr:uid="{F1D82FE2-15D1-8B42-8D78-062A5CCC51FF}"/>
    <hyperlink ref="A524" r:id="rId1045" xr:uid="{F5887D95-B3F7-3A44-822C-469B4B23F92A}"/>
    <hyperlink ref="B524" r:id="rId1046" xr:uid="{DF4E6E3F-DF0E-A847-9C78-FE30F9E0B8B2}"/>
    <hyperlink ref="A525" r:id="rId1047" xr:uid="{5EA8013A-C6BE-AF4B-AF03-A89ED0208CA1}"/>
    <hyperlink ref="B525" r:id="rId1048" xr:uid="{73CC55E9-B791-D241-A01B-7F6C032DCC77}"/>
    <hyperlink ref="A526" r:id="rId1049" xr:uid="{5E83DD31-5909-524A-9020-9582A6F9AD08}"/>
    <hyperlink ref="B526" r:id="rId1050" xr:uid="{E195F607-031B-0A4A-90D8-C222882471C6}"/>
    <hyperlink ref="A527" r:id="rId1051" xr:uid="{7E8B910E-F174-C741-BF2C-2D19947CAAA4}"/>
    <hyperlink ref="B527" r:id="rId1052" xr:uid="{3E279598-1FE2-2749-A566-33593A911D77}"/>
    <hyperlink ref="A528" r:id="rId1053" xr:uid="{9E0F32C5-83A5-D043-9371-0E62F3C1B157}"/>
    <hyperlink ref="B528" r:id="rId1054" xr:uid="{309F69F0-3118-034F-8061-74D12243E129}"/>
    <hyperlink ref="A529" r:id="rId1055" xr:uid="{F484E006-324C-514C-84B3-BF8EB5F412F7}"/>
    <hyperlink ref="B529" r:id="rId1056" xr:uid="{41D889B7-412E-8D41-B65C-47C9384D3BBC}"/>
    <hyperlink ref="A530" r:id="rId1057" xr:uid="{9CE61900-28BF-8C47-A0F1-0C60FBE6205E}"/>
    <hyperlink ref="B530" r:id="rId1058" xr:uid="{38FD0A7F-F5EE-BA4E-B6F8-9E6EF7A29B42}"/>
    <hyperlink ref="A531" r:id="rId1059" xr:uid="{D62C6196-4E57-8F4C-9A15-C8676C763444}"/>
    <hyperlink ref="B531" r:id="rId1060" xr:uid="{558D4E81-8B3B-E646-A75B-CE8F3EFEA744}"/>
    <hyperlink ref="A532" r:id="rId1061" xr:uid="{F0418421-D1CB-2F47-9D90-8C7A98542E4B}"/>
    <hyperlink ref="B532" r:id="rId1062" xr:uid="{9C5993D3-25E8-0E46-94BE-78E43A73E4EA}"/>
    <hyperlink ref="A533" r:id="rId1063" xr:uid="{07CC238A-4106-C94E-981E-6FF5A094A92F}"/>
    <hyperlink ref="B533" r:id="rId1064" xr:uid="{AE899154-0205-3845-A86C-D0943742921A}"/>
    <hyperlink ref="A534" r:id="rId1065" xr:uid="{2602511C-6365-A24B-9931-FCB5EE483834}"/>
    <hyperlink ref="B534" r:id="rId1066" xr:uid="{69569AF5-BCDB-CA4A-A406-39A51284EA88}"/>
    <hyperlink ref="A535" r:id="rId1067" xr:uid="{40AA44E8-9296-3F48-9DA9-4B07DC59206E}"/>
    <hyperlink ref="B535" r:id="rId1068" xr:uid="{8A2A64F9-2EC0-7842-9FF3-2B517449D646}"/>
    <hyperlink ref="A536" r:id="rId1069" xr:uid="{CFD1ECC0-4C49-9D43-AC4C-4DA6606A9308}"/>
    <hyperlink ref="B536" r:id="rId1070" xr:uid="{C192EAD6-357B-AC42-B51B-38A8C2DE81F5}"/>
    <hyperlink ref="A537" r:id="rId1071" xr:uid="{81DE2D91-B30E-7E45-AC8D-4F7AABC5E9DD}"/>
    <hyperlink ref="B537" r:id="rId1072" xr:uid="{27271A45-1607-8E4B-B057-116D3A5E4C6D}"/>
    <hyperlink ref="A538" r:id="rId1073" xr:uid="{948CEB1A-EB45-704D-A71C-212D515CCA39}"/>
    <hyperlink ref="B538" r:id="rId1074" xr:uid="{15424A87-D343-AA4B-9586-8998E8172FAF}"/>
    <hyperlink ref="A539" r:id="rId1075" xr:uid="{E8E3A178-5097-F145-B8C3-5ABBD705ECD6}"/>
    <hyperlink ref="B539" r:id="rId1076" xr:uid="{3264F6A9-0A61-B140-95C6-F8C5573740E9}"/>
    <hyperlink ref="A540" r:id="rId1077" xr:uid="{A0431DDB-65AB-EC42-B25D-2DB919EDD98D}"/>
    <hyperlink ref="B540" r:id="rId1078" xr:uid="{9DEE7BC9-D0D9-5942-84D1-906C951BF70D}"/>
    <hyperlink ref="A541" r:id="rId1079" xr:uid="{7C5D0C33-04C9-534E-9374-F11A8487671A}"/>
    <hyperlink ref="B541" r:id="rId1080" xr:uid="{DDE5BD1E-5680-A647-A023-45DAEA363174}"/>
    <hyperlink ref="A542" r:id="rId1081" xr:uid="{C994FC81-6B09-BA40-8E5C-BAE3C8A59D4A}"/>
    <hyperlink ref="B542" r:id="rId1082" xr:uid="{D083EF8D-6C71-E644-9769-585A262F8722}"/>
    <hyperlink ref="A543" r:id="rId1083" xr:uid="{317D9D0E-6A7B-7C4C-AC81-E7678A301C38}"/>
    <hyperlink ref="B543" r:id="rId1084" xr:uid="{97618621-336F-6642-9783-0A98D6F54267}"/>
    <hyperlink ref="A544" r:id="rId1085" xr:uid="{1177164D-6EDE-A24C-8625-779D9F8BC8DD}"/>
    <hyperlink ref="B544" r:id="rId1086" xr:uid="{3676BDDB-D0DB-7A48-8130-27CC667468B2}"/>
    <hyperlink ref="A545" r:id="rId1087" xr:uid="{58A64224-526D-2243-9BFC-804E1D2B7CE2}"/>
    <hyperlink ref="B545" r:id="rId1088" xr:uid="{368707B5-FC30-CE49-98E0-F5A00C348B33}"/>
    <hyperlink ref="A546" r:id="rId1089" xr:uid="{F3BA53C0-DB97-CF4C-862D-F0734AD678B7}"/>
    <hyperlink ref="B546" r:id="rId1090" xr:uid="{62C9C1FD-E107-E547-B8E8-C7CCA83B6A5A}"/>
    <hyperlink ref="A547" r:id="rId1091" xr:uid="{CE07100E-0293-734A-BDAD-66137DA83A8E}"/>
    <hyperlink ref="B547" r:id="rId1092" xr:uid="{2E585E96-6198-884D-9006-83F939F398F5}"/>
    <hyperlink ref="A548" r:id="rId1093" xr:uid="{98E7A2B3-EA37-B446-9A9A-076879A765CC}"/>
    <hyperlink ref="B548" r:id="rId1094" xr:uid="{DE577E03-D099-614E-B0BE-91BE362CC4D1}"/>
    <hyperlink ref="A549" r:id="rId1095" xr:uid="{FB00A851-9115-5C4F-8AB7-DCA83391A735}"/>
    <hyperlink ref="B549" r:id="rId1096" xr:uid="{56B8552F-9CDF-AE47-8C96-4098FDA9F4B4}"/>
    <hyperlink ref="A550" r:id="rId1097" xr:uid="{5C5D734A-B685-6F4B-844F-2884343AB8DA}"/>
    <hyperlink ref="B550" r:id="rId1098" xr:uid="{C99FF6E7-CD3D-324B-B6DD-1C96025BE400}"/>
    <hyperlink ref="A551" r:id="rId1099" xr:uid="{D8A331B0-BC34-934D-BD9B-474ADBA740C3}"/>
    <hyperlink ref="B551" r:id="rId1100" xr:uid="{6B3EB8BC-826E-0D42-B62D-A55102765673}"/>
    <hyperlink ref="A552" r:id="rId1101" xr:uid="{2F02AB11-260C-BB42-ADE6-C49FB6CA62C0}"/>
    <hyperlink ref="B552" r:id="rId1102" xr:uid="{44BDA2FA-602E-7C41-AB1E-D902C374549D}"/>
    <hyperlink ref="A553" r:id="rId1103" xr:uid="{3CF42BCD-3C24-5949-A410-93CD716BF3B8}"/>
    <hyperlink ref="B553" r:id="rId1104" xr:uid="{5634B890-6B54-294E-BECD-4CD441C3C85C}"/>
    <hyperlink ref="A554" r:id="rId1105" xr:uid="{D2D3E0F9-F09A-7043-A8EE-70E97ECFA9D7}"/>
    <hyperlink ref="B554" r:id="rId1106" xr:uid="{82553A66-68D0-8A43-BCEC-96886DAD16AF}"/>
    <hyperlink ref="A555" r:id="rId1107" xr:uid="{6E131EE9-CBFE-F249-B308-08475D335591}"/>
    <hyperlink ref="B555" r:id="rId1108" xr:uid="{E1F9E523-1CA4-FB46-B393-43E5C54A0335}"/>
    <hyperlink ref="A556" r:id="rId1109" xr:uid="{CAF5015C-EB2F-5148-B309-E86CC7CD8C1C}"/>
    <hyperlink ref="B556" r:id="rId1110" xr:uid="{5D0819D7-03BE-A14A-B9FA-B478DF430E6E}"/>
    <hyperlink ref="A557" r:id="rId1111" xr:uid="{3909DC0B-CC2A-DC49-A000-AB6295E46FEF}"/>
    <hyperlink ref="B557" r:id="rId1112" xr:uid="{07496C36-3042-A641-9C22-D3F77EDF11D6}"/>
    <hyperlink ref="A558" r:id="rId1113" xr:uid="{B959C9F5-799E-874F-A3E2-87333D21708A}"/>
    <hyperlink ref="B558" r:id="rId1114" xr:uid="{7F6F2C0A-7A19-7146-8485-6DCAFCB958C3}"/>
    <hyperlink ref="A559" r:id="rId1115" xr:uid="{98B4CE6D-9838-1941-AE63-24C7EC99D585}"/>
    <hyperlink ref="B559" r:id="rId1116" xr:uid="{79A45D88-D5BA-0B44-8C35-B536F24E2C06}"/>
    <hyperlink ref="A560" r:id="rId1117" xr:uid="{9C9D3AD9-03B0-3F44-8723-DF223B1E4CFC}"/>
    <hyperlink ref="B560" r:id="rId1118" xr:uid="{7FF0DD38-7854-1D40-BFF4-89B5686B0F37}"/>
    <hyperlink ref="A561" r:id="rId1119" xr:uid="{AAF4F3E9-8CEA-054D-8E02-42931F869EC9}"/>
    <hyperlink ref="B561" r:id="rId1120" xr:uid="{A55B3CA9-D67B-D544-96D1-77C2494A95B9}"/>
    <hyperlink ref="A562" r:id="rId1121" xr:uid="{CC7549F3-E8E5-F44F-8C3F-0D5EB96975E1}"/>
    <hyperlink ref="B562" r:id="rId1122" xr:uid="{4374782E-71E4-8A46-8597-F88B041DB5EA}"/>
    <hyperlink ref="A563" r:id="rId1123" xr:uid="{3FD9700F-237F-6943-9E6B-977451C5AB2F}"/>
    <hyperlink ref="B563" r:id="rId1124" xr:uid="{234E48C9-E468-ED48-9686-B22799D80922}"/>
    <hyperlink ref="A564" r:id="rId1125" xr:uid="{9BB5D89E-F3FF-FC40-8E3D-46143D269570}"/>
    <hyperlink ref="B564" r:id="rId1126" xr:uid="{633EF637-D7DA-BF4E-9F0C-FE913AFB0CC7}"/>
    <hyperlink ref="A565" r:id="rId1127" xr:uid="{2A6B1F95-E83F-024B-BEE4-941EFCC6F406}"/>
    <hyperlink ref="B565" r:id="rId1128" xr:uid="{52E4B838-CCBA-D145-9A7B-BFFC8A3BDA94}"/>
    <hyperlink ref="A566" r:id="rId1129" xr:uid="{941A1A72-C222-1E42-A149-A2177FB46563}"/>
    <hyperlink ref="B566" r:id="rId1130" xr:uid="{C5E22F2B-22B4-AC4D-97FB-BE2AEC10388F}"/>
    <hyperlink ref="A567" r:id="rId1131" xr:uid="{5236CCC4-3C52-D543-B220-EADE3E41A8AB}"/>
    <hyperlink ref="B567" r:id="rId1132" xr:uid="{43C586EA-1CCA-8148-A936-848D244E121C}"/>
    <hyperlink ref="A568" r:id="rId1133" xr:uid="{53417410-01B7-8A46-9058-0ECEEFBA22BB}"/>
    <hyperlink ref="B568" r:id="rId1134" xr:uid="{A4F63057-1FF8-0E47-AB2C-9AE02E3A7EB4}"/>
    <hyperlink ref="A569" r:id="rId1135" xr:uid="{460DB592-1E3F-1147-8203-5A14A5F00984}"/>
    <hyperlink ref="B569" r:id="rId1136" xr:uid="{88177EFA-B8C2-174E-9C99-1F8F0ED56B4E}"/>
    <hyperlink ref="A570" r:id="rId1137" xr:uid="{EFF0D4FD-F9DC-5644-A283-207A62B23FE5}"/>
    <hyperlink ref="B570" r:id="rId1138" xr:uid="{119F1D55-5B42-1243-B265-8852E79FAEE6}"/>
  </hyperlinks>
  <pageMargins left="0.7" right="0.7" top="0.75" bottom="0.75" header="0.3" footer="0.3"/>
  <drawing r:id="rId113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B38C-B784-FD43-903B-41D6208136C2}">
  <dimension ref="A1:H610"/>
  <sheetViews>
    <sheetView topLeftCell="A21" zoomScale="75" workbookViewId="0">
      <selection activeCell="C56" sqref="C56"/>
    </sheetView>
  </sheetViews>
  <sheetFormatPr baseColWidth="10" defaultRowHeight="13"/>
  <cols>
    <col min="1" max="1" width="21.6640625" bestFit="1" customWidth="1"/>
    <col min="2" max="2" width="26.1640625" bestFit="1" customWidth="1"/>
    <col min="3" max="3" width="30" bestFit="1" customWidth="1"/>
  </cols>
  <sheetData>
    <row r="1" spans="1:5">
      <c r="A1" s="23" t="s">
        <v>1869</v>
      </c>
      <c r="D1" s="23"/>
    </row>
    <row r="3" spans="1:5">
      <c r="A3" s="19" t="s">
        <v>1289</v>
      </c>
      <c r="B3" t="s">
        <v>1870</v>
      </c>
      <c r="D3" s="22" t="s">
        <v>1289</v>
      </c>
      <c r="E3" s="22" t="s">
        <v>1870</v>
      </c>
    </row>
    <row r="4" spans="1:5">
      <c r="A4" s="20" t="s">
        <v>1223</v>
      </c>
      <c r="B4">
        <v>767</v>
      </c>
      <c r="D4" s="20" t="s">
        <v>1223</v>
      </c>
      <c r="E4">
        <v>767</v>
      </c>
    </row>
    <row r="5" spans="1:5">
      <c r="A5" s="20" t="s">
        <v>1193</v>
      </c>
      <c r="B5">
        <v>671</v>
      </c>
      <c r="D5" s="20" t="s">
        <v>1193</v>
      </c>
      <c r="E5">
        <v>671</v>
      </c>
    </row>
    <row r="6" spans="1:5">
      <c r="A6" s="20" t="s">
        <v>1187</v>
      </c>
      <c r="B6">
        <v>628</v>
      </c>
      <c r="D6" s="20" t="s">
        <v>1187</v>
      </c>
      <c r="E6">
        <v>628</v>
      </c>
    </row>
    <row r="7" spans="1:5">
      <c r="A7" s="20" t="s">
        <v>1203</v>
      </c>
      <c r="B7">
        <v>562</v>
      </c>
      <c r="D7" s="20" t="s">
        <v>1203</v>
      </c>
      <c r="E7">
        <v>562</v>
      </c>
    </row>
    <row r="8" spans="1:5">
      <c r="A8" s="20" t="s">
        <v>1205</v>
      </c>
      <c r="B8">
        <v>556</v>
      </c>
      <c r="D8" s="20" t="s">
        <v>1205</v>
      </c>
      <c r="E8">
        <v>556</v>
      </c>
    </row>
    <row r="9" spans="1:5">
      <c r="A9" s="20" t="s">
        <v>1217</v>
      </c>
      <c r="B9">
        <v>548</v>
      </c>
      <c r="D9" s="20" t="s">
        <v>1217</v>
      </c>
      <c r="E9">
        <v>548</v>
      </c>
    </row>
    <row r="10" spans="1:5">
      <c r="A10" s="20" t="s">
        <v>1215</v>
      </c>
      <c r="B10">
        <v>535</v>
      </c>
      <c r="D10" s="20" t="s">
        <v>1215</v>
      </c>
      <c r="E10">
        <v>535</v>
      </c>
    </row>
    <row r="11" spans="1:5">
      <c r="A11" s="20" t="s">
        <v>1197</v>
      </c>
      <c r="B11">
        <v>521</v>
      </c>
      <c r="D11" s="20" t="s">
        <v>1197</v>
      </c>
      <c r="E11">
        <v>521</v>
      </c>
    </row>
    <row r="12" spans="1:5">
      <c r="A12" s="20" t="s">
        <v>1209</v>
      </c>
      <c r="B12">
        <v>520</v>
      </c>
      <c r="D12" s="20" t="s">
        <v>1209</v>
      </c>
      <c r="E12">
        <v>520</v>
      </c>
    </row>
    <row r="13" spans="1:5">
      <c r="A13" s="20" t="s">
        <v>1221</v>
      </c>
      <c r="B13">
        <v>514</v>
      </c>
      <c r="D13" s="20" t="s">
        <v>1221</v>
      </c>
      <c r="E13">
        <v>514</v>
      </c>
    </row>
    <row r="14" spans="1:5">
      <c r="A14" s="20" t="s">
        <v>1207</v>
      </c>
      <c r="B14">
        <v>505</v>
      </c>
      <c r="D14" s="20" t="s">
        <v>1207</v>
      </c>
      <c r="E14">
        <v>505</v>
      </c>
    </row>
    <row r="15" spans="1:5">
      <c r="A15" s="20" t="s">
        <v>1201</v>
      </c>
      <c r="B15">
        <v>498</v>
      </c>
      <c r="D15" s="20" t="s">
        <v>1201</v>
      </c>
      <c r="E15">
        <v>498</v>
      </c>
    </row>
    <row r="16" spans="1:5">
      <c r="A16" s="20" t="s">
        <v>1199</v>
      </c>
      <c r="B16">
        <v>497</v>
      </c>
      <c r="D16" s="20" t="s">
        <v>1199</v>
      </c>
      <c r="E16">
        <v>497</v>
      </c>
    </row>
    <row r="17" spans="1:5">
      <c r="A17" s="20" t="s">
        <v>1211</v>
      </c>
      <c r="B17">
        <v>491</v>
      </c>
      <c r="D17" s="20" t="s">
        <v>1211</v>
      </c>
      <c r="E17">
        <v>491</v>
      </c>
    </row>
    <row r="18" spans="1:5">
      <c r="A18" s="20" t="s">
        <v>1225</v>
      </c>
      <c r="B18">
        <v>471</v>
      </c>
      <c r="D18" s="20" t="s">
        <v>1225</v>
      </c>
      <c r="E18">
        <v>471</v>
      </c>
    </row>
    <row r="19" spans="1:5">
      <c r="A19" s="20" t="s">
        <v>1191</v>
      </c>
      <c r="B19">
        <v>456</v>
      </c>
      <c r="D19" s="20" t="s">
        <v>1191</v>
      </c>
      <c r="E19">
        <v>456</v>
      </c>
    </row>
    <row r="20" spans="1:5">
      <c r="A20" s="20" t="s">
        <v>1183</v>
      </c>
      <c r="B20">
        <v>453</v>
      </c>
      <c r="D20" s="20" t="s">
        <v>1183</v>
      </c>
      <c r="E20">
        <v>453</v>
      </c>
    </row>
    <row r="21" spans="1:5">
      <c r="A21" s="20" t="s">
        <v>1195</v>
      </c>
      <c r="B21">
        <v>451</v>
      </c>
      <c r="D21" s="20" t="s">
        <v>1195</v>
      </c>
      <c r="E21">
        <v>451</v>
      </c>
    </row>
    <row r="22" spans="1:5">
      <c r="A22" s="20" t="s">
        <v>1213</v>
      </c>
      <c r="B22">
        <v>425</v>
      </c>
      <c r="D22" s="20" t="s">
        <v>1213</v>
      </c>
      <c r="E22">
        <v>425</v>
      </c>
    </row>
    <row r="23" spans="1:5">
      <c r="A23" s="20" t="s">
        <v>1233</v>
      </c>
      <c r="B23">
        <v>399</v>
      </c>
      <c r="D23" s="20" t="s">
        <v>1233</v>
      </c>
      <c r="E23">
        <v>399</v>
      </c>
    </row>
    <row r="24" spans="1:5">
      <c r="A24" s="20" t="s">
        <v>1231</v>
      </c>
      <c r="B24">
        <v>390</v>
      </c>
      <c r="D24" s="20" t="s">
        <v>1231</v>
      </c>
      <c r="E24">
        <v>390</v>
      </c>
    </row>
    <row r="25" spans="1:5">
      <c r="A25" s="20" t="s">
        <v>1229</v>
      </c>
      <c r="B25">
        <v>373</v>
      </c>
      <c r="D25" s="20" t="s">
        <v>1229</v>
      </c>
      <c r="E25">
        <v>373</v>
      </c>
    </row>
    <row r="26" spans="1:5">
      <c r="A26" s="20" t="s">
        <v>1235</v>
      </c>
      <c r="B26">
        <v>364</v>
      </c>
      <c r="D26" s="20" t="s">
        <v>1235</v>
      </c>
      <c r="E26">
        <v>364</v>
      </c>
    </row>
    <row r="27" spans="1:5">
      <c r="A27" s="20" t="s">
        <v>1237</v>
      </c>
      <c r="B27">
        <v>307</v>
      </c>
      <c r="D27" s="20" t="s">
        <v>1237</v>
      </c>
      <c r="E27">
        <v>307</v>
      </c>
    </row>
    <row r="28" spans="1:5">
      <c r="A28" s="20" t="s">
        <v>1185</v>
      </c>
      <c r="B28">
        <v>251</v>
      </c>
      <c r="D28" s="20" t="s">
        <v>1185</v>
      </c>
      <c r="E28">
        <v>251</v>
      </c>
    </row>
    <row r="29" spans="1:5">
      <c r="A29" s="20" t="s">
        <v>1227</v>
      </c>
      <c r="B29">
        <v>239</v>
      </c>
      <c r="D29" s="20" t="s">
        <v>1227</v>
      </c>
      <c r="E29">
        <v>239</v>
      </c>
    </row>
    <row r="30" spans="1:5">
      <c r="A30" s="20" t="s">
        <v>1219</v>
      </c>
      <c r="B30">
        <v>228</v>
      </c>
      <c r="D30" s="20" t="s">
        <v>1219</v>
      </c>
      <c r="E30">
        <v>228</v>
      </c>
    </row>
    <row r="31" spans="1:5">
      <c r="A31" s="20" t="s">
        <v>1241</v>
      </c>
      <c r="B31">
        <v>207</v>
      </c>
      <c r="D31" s="20" t="s">
        <v>1241</v>
      </c>
      <c r="E31">
        <v>207</v>
      </c>
    </row>
    <row r="32" spans="1:5">
      <c r="A32" s="20" t="s">
        <v>1189</v>
      </c>
      <c r="B32">
        <v>204</v>
      </c>
      <c r="D32" s="20" t="s">
        <v>1189</v>
      </c>
      <c r="E32">
        <v>204</v>
      </c>
    </row>
    <row r="33" spans="1:8">
      <c r="A33" s="20" t="s">
        <v>1239</v>
      </c>
      <c r="B33">
        <v>190</v>
      </c>
      <c r="D33" s="20" t="s">
        <v>1239</v>
      </c>
      <c r="E33">
        <v>190</v>
      </c>
    </row>
    <row r="34" spans="1:8">
      <c r="A34" s="20" t="s">
        <v>1858</v>
      </c>
      <c r="B34">
        <v>13221</v>
      </c>
    </row>
    <row r="38" spans="1:8">
      <c r="A38" s="23" t="s">
        <v>1873</v>
      </c>
    </row>
    <row r="39" spans="1:8">
      <c r="A39" s="19" t="s">
        <v>1</v>
      </c>
      <c r="B39" t="s">
        <v>1874</v>
      </c>
    </row>
    <row r="41" spans="1:8">
      <c r="A41" s="19" t="s">
        <v>1289</v>
      </c>
      <c r="B41" t="s">
        <v>1875</v>
      </c>
      <c r="C41" t="s">
        <v>1876</v>
      </c>
      <c r="F41" s="22" t="s">
        <v>1289</v>
      </c>
      <c r="G41" s="22" t="s">
        <v>1875</v>
      </c>
      <c r="H41" s="22" t="s">
        <v>1876</v>
      </c>
    </row>
    <row r="42" spans="1:8">
      <c r="A42" s="20" t="s">
        <v>1507</v>
      </c>
      <c r="B42" s="44">
        <v>0.93537414965986398</v>
      </c>
      <c r="C42" s="45">
        <v>6</v>
      </c>
      <c r="F42" s="20" t="s">
        <v>1507</v>
      </c>
      <c r="G42" s="44">
        <v>0.93537414965986398</v>
      </c>
      <c r="H42" s="45">
        <v>6</v>
      </c>
    </row>
    <row r="43" spans="1:8">
      <c r="A43" s="20" t="s">
        <v>1395</v>
      </c>
      <c r="B43" s="44">
        <v>0.83075734157650694</v>
      </c>
      <c r="C43" s="45">
        <v>0.5</v>
      </c>
      <c r="F43" s="20" t="s">
        <v>1395</v>
      </c>
      <c r="G43" s="44">
        <v>0.83075734157650694</v>
      </c>
      <c r="H43" s="45">
        <v>0.5</v>
      </c>
    </row>
    <row r="44" spans="1:8">
      <c r="A44" s="20" t="s">
        <v>1600</v>
      </c>
      <c r="B44" s="44">
        <v>0.81913499344692009</v>
      </c>
      <c r="C44" s="45">
        <v>1.2</v>
      </c>
      <c r="F44" s="20" t="s">
        <v>1600</v>
      </c>
      <c r="G44" s="44">
        <v>0.81913499344692009</v>
      </c>
      <c r="H44" s="45">
        <v>1.2</v>
      </c>
    </row>
    <row r="45" spans="1:8">
      <c r="A45" s="20" t="s">
        <v>1706</v>
      </c>
      <c r="B45" s="44">
        <v>0.78947368421052633</v>
      </c>
      <c r="C45" s="45">
        <v>1</v>
      </c>
      <c r="F45" s="20" t="s">
        <v>1706</v>
      </c>
      <c r="G45" s="44">
        <v>0.78947368421052633</v>
      </c>
      <c r="H45" s="45">
        <v>1</v>
      </c>
    </row>
    <row r="46" spans="1:8">
      <c r="A46" s="20" t="s">
        <v>1538</v>
      </c>
      <c r="B46" s="44">
        <v>0.72565420315695628</v>
      </c>
      <c r="C46" s="45">
        <v>1.5918367346938775</v>
      </c>
      <c r="F46" s="20" t="s">
        <v>1538</v>
      </c>
      <c r="G46" s="44">
        <v>0.72565420315695628</v>
      </c>
      <c r="H46" s="45">
        <v>1.5918367346938775</v>
      </c>
    </row>
    <row r="47" spans="1:8">
      <c r="A47" s="20" t="s">
        <v>1449</v>
      </c>
      <c r="B47" s="44">
        <v>0.72175211548033846</v>
      </c>
      <c r="C47" s="45">
        <v>3.2352941176470589</v>
      </c>
      <c r="F47" s="20" t="s">
        <v>1449</v>
      </c>
      <c r="G47" s="44">
        <v>0.72175211548033846</v>
      </c>
      <c r="H47" s="45">
        <v>3.2352941176470589</v>
      </c>
    </row>
    <row r="48" spans="1:8">
      <c r="A48" s="20" t="s">
        <v>1297</v>
      </c>
      <c r="B48" s="44">
        <v>0.71623465211459758</v>
      </c>
      <c r="C48" s="45">
        <v>0.453125</v>
      </c>
      <c r="F48" s="20" t="s">
        <v>1297</v>
      </c>
      <c r="G48" s="44">
        <v>0.71623465211459758</v>
      </c>
      <c r="H48" s="45">
        <v>0.453125</v>
      </c>
    </row>
    <row r="49" spans="1:8">
      <c r="A49" s="20" t="s">
        <v>1404</v>
      </c>
      <c r="B49" s="44">
        <v>0.71478097724121048</v>
      </c>
      <c r="C49" s="45">
        <v>1.1764705882352942</v>
      </c>
      <c r="F49" s="20" t="s">
        <v>1404</v>
      </c>
      <c r="G49" s="44">
        <v>0.71478097724121048</v>
      </c>
      <c r="H49" s="45">
        <v>1.1764705882352942</v>
      </c>
    </row>
    <row r="50" spans="1:8">
      <c r="A50" s="20" t="s">
        <v>1540</v>
      </c>
      <c r="B50" s="44">
        <v>0.7096557890031292</v>
      </c>
      <c r="C50" s="45">
        <v>1.2444444444444445</v>
      </c>
      <c r="F50" s="20" t="s">
        <v>1540</v>
      </c>
      <c r="G50" s="44">
        <v>0.7096557890031292</v>
      </c>
      <c r="H50" s="45">
        <v>1.2444444444444445</v>
      </c>
    </row>
    <row r="51" spans="1:8">
      <c r="A51" s="20" t="s">
        <v>1615</v>
      </c>
      <c r="B51" s="44">
        <v>0.70723684210526316</v>
      </c>
      <c r="C51" s="45">
        <v>1</v>
      </c>
      <c r="F51" s="20" t="s">
        <v>1615</v>
      </c>
      <c r="G51" s="44">
        <v>0.70723684210526316</v>
      </c>
      <c r="H51" s="45">
        <v>1</v>
      </c>
    </row>
    <row r="52" spans="1:8">
      <c r="A52" s="20" t="s">
        <v>1514</v>
      </c>
      <c r="B52" s="44">
        <v>0.7050024521824424</v>
      </c>
      <c r="C52" s="45">
        <v>1.5864661654135339</v>
      </c>
      <c r="F52" s="20" t="s">
        <v>1514</v>
      </c>
      <c r="G52" s="44">
        <v>0.7050024521824424</v>
      </c>
      <c r="H52" s="45">
        <v>1.5864661654135339</v>
      </c>
    </row>
    <row r="53" spans="1:8">
      <c r="A53" s="20" t="s">
        <v>1427</v>
      </c>
      <c r="B53" s="44">
        <v>0.7028022274115322</v>
      </c>
      <c r="C53" s="45">
        <v>2.15</v>
      </c>
      <c r="F53" s="20" t="s">
        <v>1427</v>
      </c>
      <c r="G53" s="44">
        <v>0.7028022274115322</v>
      </c>
      <c r="H53" s="45">
        <v>2.15</v>
      </c>
    </row>
    <row r="54" spans="1:8">
      <c r="A54" s="20" t="s">
        <v>1696</v>
      </c>
      <c r="B54" s="44">
        <v>0.702247191011236</v>
      </c>
      <c r="C54" s="45">
        <v>0.3</v>
      </c>
      <c r="F54" s="20" t="s">
        <v>1696</v>
      </c>
      <c r="G54" s="44">
        <v>0.702247191011236</v>
      </c>
      <c r="H54" s="45">
        <v>0.3</v>
      </c>
    </row>
    <row r="55" spans="1:8">
      <c r="A55" s="20" t="s">
        <v>1734</v>
      </c>
      <c r="B55" s="44">
        <v>0.69371727748691092</v>
      </c>
      <c r="C55" s="45">
        <v>0.4</v>
      </c>
      <c r="F55" s="20" t="s">
        <v>1734</v>
      </c>
      <c r="G55" s="44">
        <v>0.69371727748691092</v>
      </c>
      <c r="H55" s="45">
        <v>0.4</v>
      </c>
    </row>
    <row r="56" spans="1:8">
      <c r="A56" s="20" t="s">
        <v>1756</v>
      </c>
      <c r="B56" s="44">
        <v>0.68992528320077129</v>
      </c>
      <c r="C56" s="45">
        <v>1.9545454545454546</v>
      </c>
      <c r="F56" s="20" t="s">
        <v>1756</v>
      </c>
      <c r="G56" s="44">
        <v>0.68992528320077129</v>
      </c>
      <c r="H56" s="45">
        <v>1.9545454545454546</v>
      </c>
    </row>
    <row r="57" spans="1:8">
      <c r="A57" s="20" t="s">
        <v>1337</v>
      </c>
      <c r="B57" s="44">
        <v>0.68933823529411764</v>
      </c>
      <c r="C57" s="45">
        <v>7</v>
      </c>
    </row>
    <row r="58" spans="1:8">
      <c r="A58" s="20" t="s">
        <v>1658</v>
      </c>
      <c r="B58" s="44">
        <v>0.68695106649937265</v>
      </c>
      <c r="C58" s="45">
        <v>4.0344827586206895</v>
      </c>
    </row>
    <row r="59" spans="1:8">
      <c r="A59" s="20" t="s">
        <v>1765</v>
      </c>
      <c r="B59" s="44">
        <v>0.68402052061561858</v>
      </c>
      <c r="C59" s="45">
        <v>1.5116279069767442</v>
      </c>
    </row>
    <row r="60" spans="1:8">
      <c r="A60" s="20" t="s">
        <v>1482</v>
      </c>
      <c r="B60" s="44">
        <v>0.68108974358974361</v>
      </c>
      <c r="C60" s="45">
        <v>0.75</v>
      </c>
    </row>
    <row r="61" spans="1:8">
      <c r="A61" s="20" t="s">
        <v>1807</v>
      </c>
      <c r="B61" s="44">
        <v>0.67829457364341084</v>
      </c>
      <c r="C61" s="45">
        <v>0</v>
      </c>
    </row>
    <row r="62" spans="1:8">
      <c r="A62" s="20" t="s">
        <v>1692</v>
      </c>
      <c r="B62" s="44">
        <v>0.67588564325668121</v>
      </c>
      <c r="C62" s="45">
        <v>1.4</v>
      </c>
    </row>
    <row r="63" spans="1:8">
      <c r="A63" s="20" t="s">
        <v>1761</v>
      </c>
      <c r="B63" s="44">
        <v>0.67504655493482313</v>
      </c>
      <c r="C63" s="45">
        <v>1.2222222222222223</v>
      </c>
    </row>
    <row r="64" spans="1:8">
      <c r="A64" s="20" t="s">
        <v>1323</v>
      </c>
      <c r="B64" s="44">
        <v>0.67189249720044797</v>
      </c>
      <c r="C64" s="45">
        <v>0.5</v>
      </c>
    </row>
    <row r="65" spans="1:3">
      <c r="A65" s="20" t="s">
        <v>1705</v>
      </c>
      <c r="B65" s="44">
        <v>0.66729808851386263</v>
      </c>
      <c r="C65" s="45">
        <v>1.1621621621621621</v>
      </c>
    </row>
    <row r="66" spans="1:3">
      <c r="A66" s="20" t="s">
        <v>1843</v>
      </c>
      <c r="B66" s="44">
        <v>0.66468499711006523</v>
      </c>
      <c r="C66" s="45">
        <v>1.1379310344827587</v>
      </c>
    </row>
    <row r="67" spans="1:3">
      <c r="A67" s="20" t="s">
        <v>1541</v>
      </c>
      <c r="B67" s="44">
        <v>0.66462167689161555</v>
      </c>
      <c r="C67" s="45">
        <v>1.1875</v>
      </c>
    </row>
    <row r="68" spans="1:3">
      <c r="A68" s="20" t="s">
        <v>1376</v>
      </c>
      <c r="B68" s="44">
        <v>0.66450443366968071</v>
      </c>
      <c r="C68" s="45">
        <v>2.5949367088607596</v>
      </c>
    </row>
    <row r="69" spans="1:3">
      <c r="A69" s="20" t="s">
        <v>1712</v>
      </c>
      <c r="B69" s="44">
        <v>0.66320129055386279</v>
      </c>
      <c r="C69" s="45">
        <v>3.0909090909090908</v>
      </c>
    </row>
    <row r="70" spans="1:3">
      <c r="A70" s="20" t="s">
        <v>1613</v>
      </c>
      <c r="B70" s="44">
        <v>0.66040738383195419</v>
      </c>
      <c r="C70" s="45">
        <v>1.6666666666666667</v>
      </c>
    </row>
    <row r="71" spans="1:3">
      <c r="A71" s="20" t="s">
        <v>1841</v>
      </c>
      <c r="B71" s="44">
        <v>0.65865569978151906</v>
      </c>
      <c r="C71" s="45">
        <v>2.9019607843137254</v>
      </c>
    </row>
    <row r="72" spans="1:3">
      <c r="A72" s="20" t="s">
        <v>1476</v>
      </c>
      <c r="B72" s="44">
        <v>0.65717486452688612</v>
      </c>
      <c r="C72" s="45">
        <v>2.8367346938775508</v>
      </c>
    </row>
    <row r="73" spans="1:3">
      <c r="A73" s="20" t="s">
        <v>1435</v>
      </c>
      <c r="B73" s="44">
        <v>0.65393043001917284</v>
      </c>
      <c r="C73" s="45">
        <v>2.0689655172413794</v>
      </c>
    </row>
    <row r="74" spans="1:3">
      <c r="A74" s="20" t="s">
        <v>1291</v>
      </c>
      <c r="B74" s="44">
        <v>0.65358337981037373</v>
      </c>
      <c r="C74" s="45">
        <v>2.295774647887324</v>
      </c>
    </row>
    <row r="75" spans="1:3">
      <c r="A75" s="20" t="s">
        <v>1293</v>
      </c>
      <c r="B75" s="44">
        <v>0.65274151436031336</v>
      </c>
      <c r="C75" s="45">
        <v>1.5</v>
      </c>
    </row>
    <row r="76" spans="1:3">
      <c r="A76" s="20" t="s">
        <v>1677</v>
      </c>
      <c r="B76" s="44">
        <v>0.6518164735358597</v>
      </c>
      <c r="C76" s="45">
        <v>2.2542372881355934</v>
      </c>
    </row>
    <row r="77" spans="1:3">
      <c r="A77" s="20" t="s">
        <v>1451</v>
      </c>
      <c r="B77" s="44">
        <v>0.65165876777251186</v>
      </c>
      <c r="C77" s="45">
        <v>2</v>
      </c>
    </row>
    <row r="78" spans="1:3">
      <c r="A78" s="20" t="s">
        <v>1808</v>
      </c>
      <c r="B78" s="44">
        <v>0.65071368597816959</v>
      </c>
      <c r="C78" s="45">
        <v>1</v>
      </c>
    </row>
    <row r="79" spans="1:3">
      <c r="A79" s="20" t="s">
        <v>1695</v>
      </c>
      <c r="B79" s="44">
        <v>0.64967767929089437</v>
      </c>
      <c r="C79" s="45">
        <v>0.875</v>
      </c>
    </row>
    <row r="80" spans="1:3">
      <c r="A80" s="20" t="s">
        <v>1306</v>
      </c>
      <c r="B80" s="44">
        <v>0.64946018893387314</v>
      </c>
      <c r="C80" s="45">
        <v>0.83333333333333337</v>
      </c>
    </row>
    <row r="81" spans="1:3">
      <c r="A81" s="20" t="s">
        <v>1554</v>
      </c>
      <c r="B81" s="44">
        <v>0.64823141486810554</v>
      </c>
      <c r="C81" s="45">
        <v>1.9</v>
      </c>
    </row>
    <row r="82" spans="1:3">
      <c r="A82" s="20" t="s">
        <v>1672</v>
      </c>
      <c r="B82" s="44">
        <v>0.64622061760639116</v>
      </c>
      <c r="C82" s="45">
        <v>1.5714285714285714</v>
      </c>
    </row>
    <row r="83" spans="1:3">
      <c r="A83" s="20" t="s">
        <v>1617</v>
      </c>
      <c r="B83" s="44">
        <v>0.64393939393939392</v>
      </c>
      <c r="C83" s="45">
        <v>1.3541666666666667</v>
      </c>
    </row>
    <row r="84" spans="1:3">
      <c r="A84" s="20" t="s">
        <v>1639</v>
      </c>
      <c r="B84" s="44">
        <v>0.64393939393939392</v>
      </c>
      <c r="C84" s="45">
        <v>1.5</v>
      </c>
    </row>
    <row r="85" spans="1:3">
      <c r="A85" s="20" t="s">
        <v>1558</v>
      </c>
      <c r="B85" s="44">
        <v>0.64328277356446373</v>
      </c>
      <c r="C85" s="45">
        <v>1</v>
      </c>
    </row>
    <row r="86" spans="1:3">
      <c r="A86" s="20" t="s">
        <v>1727</v>
      </c>
      <c r="B86" s="44">
        <v>0.6428571428571429</v>
      </c>
      <c r="C86" s="45">
        <v>0</v>
      </c>
    </row>
    <row r="87" spans="1:3">
      <c r="A87" s="20" t="s">
        <v>1827</v>
      </c>
      <c r="B87" s="44">
        <v>0.64273961332784857</v>
      </c>
      <c r="C87" s="45">
        <v>2.6153846153846154</v>
      </c>
    </row>
    <row r="88" spans="1:3">
      <c r="A88" s="20" t="s">
        <v>1446</v>
      </c>
      <c r="B88" s="44">
        <v>0.64235085646780865</v>
      </c>
      <c r="C88" s="45">
        <v>1.2941176470588236</v>
      </c>
    </row>
    <row r="89" spans="1:3">
      <c r="A89" s="20" t="s">
        <v>1510</v>
      </c>
      <c r="B89" s="44">
        <v>0.64216051683438946</v>
      </c>
      <c r="C89" s="45">
        <v>1.4814814814814814</v>
      </c>
    </row>
    <row r="90" spans="1:3">
      <c r="A90" s="20" t="s">
        <v>1378</v>
      </c>
      <c r="B90" s="44">
        <v>0.64133591481122942</v>
      </c>
      <c r="C90" s="45">
        <v>5</v>
      </c>
    </row>
    <row r="91" spans="1:3">
      <c r="A91" s="20" t="s">
        <v>1465</v>
      </c>
      <c r="B91" s="44">
        <v>0.64114802087310685</v>
      </c>
      <c r="C91" s="45">
        <v>2.189189189189189</v>
      </c>
    </row>
    <row r="92" spans="1:3">
      <c r="A92" s="20" t="s">
        <v>1493</v>
      </c>
      <c r="B92" s="44">
        <v>0.6402439024390244</v>
      </c>
      <c r="C92" s="45">
        <v>1.6875</v>
      </c>
    </row>
    <row r="93" spans="1:3">
      <c r="A93" s="20" t="s">
        <v>1717</v>
      </c>
      <c r="B93" s="44">
        <v>0.63960298378644964</v>
      </c>
      <c r="C93" s="45">
        <v>1.7746478873239437</v>
      </c>
    </row>
    <row r="94" spans="1:3">
      <c r="A94" s="20" t="s">
        <v>1721</v>
      </c>
      <c r="B94" s="44">
        <v>0.63950489943269728</v>
      </c>
      <c r="C94" s="45">
        <v>1.9101123595505618</v>
      </c>
    </row>
    <row r="95" spans="1:3">
      <c r="A95" s="20" t="s">
        <v>1853</v>
      </c>
      <c r="B95" s="44">
        <v>0.63938998338476138</v>
      </c>
      <c r="C95" s="45">
        <v>1.5024154589371981</v>
      </c>
    </row>
    <row r="96" spans="1:3">
      <c r="A96" s="20" t="s">
        <v>1470</v>
      </c>
      <c r="B96" s="44">
        <v>0.63875088715400996</v>
      </c>
      <c r="C96" s="45">
        <v>2</v>
      </c>
    </row>
    <row r="97" spans="1:3">
      <c r="A97" s="20" t="s">
        <v>1602</v>
      </c>
      <c r="B97" s="44">
        <v>0.63713113460628057</v>
      </c>
      <c r="C97" s="45">
        <v>1.0952380952380953</v>
      </c>
    </row>
    <row r="98" spans="1:3">
      <c r="A98" s="20" t="s">
        <v>1779</v>
      </c>
      <c r="B98" s="44">
        <v>0.63673540505083626</v>
      </c>
      <c r="C98" s="45">
        <v>2.6703296703296702</v>
      </c>
    </row>
    <row r="99" spans="1:3">
      <c r="A99" s="20" t="s">
        <v>1657</v>
      </c>
      <c r="B99" s="44">
        <v>0.63631967645507304</v>
      </c>
      <c r="C99" s="45">
        <v>2.9861111111111112</v>
      </c>
    </row>
    <row r="100" spans="1:3">
      <c r="A100" s="20" t="s">
        <v>1345</v>
      </c>
      <c r="B100" s="44">
        <v>0.63577586206896552</v>
      </c>
      <c r="C100" s="45">
        <v>1.6842105263157894</v>
      </c>
    </row>
    <row r="101" spans="1:3">
      <c r="A101" s="20" t="s">
        <v>1366</v>
      </c>
      <c r="B101" s="44">
        <v>0.63455983330965571</v>
      </c>
      <c r="C101" s="45">
        <v>2</v>
      </c>
    </row>
    <row r="102" spans="1:3">
      <c r="A102" s="20" t="s">
        <v>1723</v>
      </c>
      <c r="B102" s="44">
        <v>0.63366810138689622</v>
      </c>
      <c r="C102" s="45">
        <v>0.8</v>
      </c>
    </row>
    <row r="103" spans="1:3">
      <c r="A103" s="20" t="s">
        <v>1739</v>
      </c>
      <c r="B103" s="44">
        <v>0.63364055299539168</v>
      </c>
      <c r="C103" s="45">
        <v>3.5</v>
      </c>
    </row>
    <row r="104" spans="1:3">
      <c r="A104" s="20" t="s">
        <v>1708</v>
      </c>
      <c r="B104" s="44">
        <v>0.63336520076481839</v>
      </c>
      <c r="C104" s="45">
        <v>0.63749999999999996</v>
      </c>
    </row>
    <row r="105" spans="1:3">
      <c r="A105" s="20" t="s">
        <v>1645</v>
      </c>
      <c r="B105" s="44">
        <v>0.63244047619047616</v>
      </c>
      <c r="C105" s="45">
        <v>2.2352941176470589</v>
      </c>
    </row>
    <row r="106" spans="1:3">
      <c r="A106" s="20" t="s">
        <v>1473</v>
      </c>
      <c r="B106" s="44">
        <v>0.63175549757733873</v>
      </c>
      <c r="C106" s="45">
        <v>1.7402597402597402</v>
      </c>
    </row>
    <row r="107" spans="1:3">
      <c r="A107" s="20" t="s">
        <v>1348</v>
      </c>
      <c r="B107" s="44">
        <v>0.63122005160339112</v>
      </c>
      <c r="C107" s="45">
        <v>1.9</v>
      </c>
    </row>
    <row r="108" spans="1:3">
      <c r="A108" s="20" t="s">
        <v>1458</v>
      </c>
      <c r="B108" s="44">
        <v>0.62979294478527603</v>
      </c>
      <c r="C108" s="45">
        <v>1.5985915492957747</v>
      </c>
    </row>
    <row r="109" spans="1:3">
      <c r="A109" s="20" t="s">
        <v>1566</v>
      </c>
      <c r="B109" s="44">
        <v>0.62897245762711873</v>
      </c>
      <c r="C109" s="45">
        <v>0.76923076923076927</v>
      </c>
    </row>
    <row r="110" spans="1:3">
      <c r="A110" s="20" t="s">
        <v>1601</v>
      </c>
      <c r="B110" s="44">
        <v>0.62866752540432225</v>
      </c>
      <c r="C110" s="45">
        <v>1.1494845360824741</v>
      </c>
    </row>
    <row r="111" spans="1:3">
      <c r="A111" s="20" t="s">
        <v>1339</v>
      </c>
      <c r="B111" s="44">
        <v>0.62820512820512819</v>
      </c>
      <c r="C111" s="45">
        <v>1</v>
      </c>
    </row>
    <row r="112" spans="1:3">
      <c r="A112" s="20" t="s">
        <v>1770</v>
      </c>
      <c r="B112" s="44">
        <v>0.62634810021569598</v>
      </c>
      <c r="C112" s="45">
        <v>3.0476190476190474</v>
      </c>
    </row>
    <row r="113" spans="1:3">
      <c r="A113" s="20" t="s">
        <v>1783</v>
      </c>
      <c r="B113" s="44">
        <v>0.625</v>
      </c>
      <c r="C113" s="45" t="e">
        <v>#DIV/0!</v>
      </c>
    </row>
    <row r="114" spans="1:3">
      <c r="A114" s="20" t="s">
        <v>1469</v>
      </c>
      <c r="B114" s="44">
        <v>0.62392795883361918</v>
      </c>
      <c r="C114" s="45">
        <v>2.0961538461538463</v>
      </c>
    </row>
    <row r="115" spans="1:3">
      <c r="A115" s="20" t="s">
        <v>1772</v>
      </c>
      <c r="B115" s="44">
        <v>0.62370062370062374</v>
      </c>
      <c r="C115" s="45">
        <v>2.0416666666666665</v>
      </c>
    </row>
    <row r="116" spans="1:3">
      <c r="A116" s="20" t="s">
        <v>1562</v>
      </c>
      <c r="B116" s="44">
        <v>0.62367234858297504</v>
      </c>
      <c r="C116" s="45">
        <v>4.125</v>
      </c>
    </row>
    <row r="117" spans="1:3">
      <c r="A117" s="20" t="s">
        <v>1392</v>
      </c>
      <c r="B117" s="44">
        <v>0.62318649432867324</v>
      </c>
      <c r="C117" s="45">
        <v>1.9722222222222223</v>
      </c>
    </row>
    <row r="118" spans="1:3">
      <c r="A118" s="20" t="s">
        <v>1352</v>
      </c>
      <c r="B118" s="44">
        <v>0.62212863705972432</v>
      </c>
      <c r="C118" s="45">
        <v>1.6363636363636365</v>
      </c>
    </row>
    <row r="119" spans="1:3">
      <c r="A119" s="20" t="s">
        <v>1419</v>
      </c>
      <c r="B119" s="44">
        <v>0.62197018201774446</v>
      </c>
      <c r="C119" s="45">
        <v>1.0843373493975903</v>
      </c>
    </row>
    <row r="120" spans="1:3">
      <c r="A120" s="20" t="s">
        <v>1744</v>
      </c>
      <c r="B120" s="44">
        <v>0.62056737588652477</v>
      </c>
      <c r="C120" s="45">
        <v>5</v>
      </c>
    </row>
    <row r="121" spans="1:3">
      <c r="A121" s="20" t="s">
        <v>1298</v>
      </c>
      <c r="B121" s="44">
        <v>0.61960712318707545</v>
      </c>
      <c r="C121" s="45">
        <v>2.9729729729729728</v>
      </c>
    </row>
    <row r="122" spans="1:3">
      <c r="A122" s="20" t="s">
        <v>1400</v>
      </c>
      <c r="B122" s="44">
        <v>0.61955104002196737</v>
      </c>
      <c r="C122" s="45">
        <v>2.5432098765432101</v>
      </c>
    </row>
    <row r="123" spans="1:3">
      <c r="A123" s="20" t="s">
        <v>1830</v>
      </c>
      <c r="B123" s="44">
        <v>0.61945266272189348</v>
      </c>
      <c r="C123" s="45">
        <v>0.7142857142857143</v>
      </c>
    </row>
    <row r="124" spans="1:3">
      <c r="A124" s="20" t="s">
        <v>1474</v>
      </c>
      <c r="B124" s="44">
        <v>0.61936936936936937</v>
      </c>
      <c r="C124" s="45">
        <v>1.75</v>
      </c>
    </row>
    <row r="125" spans="1:3">
      <c r="A125" s="20" t="s">
        <v>1444</v>
      </c>
      <c r="B125" s="44">
        <v>0.61936936936936937</v>
      </c>
      <c r="C125" s="45">
        <v>1.625</v>
      </c>
    </row>
    <row r="126" spans="1:3">
      <c r="A126" s="20" t="s">
        <v>1699</v>
      </c>
      <c r="B126" s="44">
        <v>0.61896319843501646</v>
      </c>
      <c r="C126" s="45">
        <v>0.890625</v>
      </c>
    </row>
    <row r="127" spans="1:3">
      <c r="A127" s="20" t="s">
        <v>1634</v>
      </c>
      <c r="B127" s="44">
        <v>0.618879216539717</v>
      </c>
      <c r="C127" s="45">
        <v>1.6</v>
      </c>
    </row>
    <row r="128" spans="1:3">
      <c r="A128" s="20" t="s">
        <v>1686</v>
      </c>
      <c r="B128" s="44">
        <v>0.61885999010530779</v>
      </c>
      <c r="C128" s="45">
        <v>1.5</v>
      </c>
    </row>
    <row r="129" spans="1:3">
      <c r="A129" s="20" t="s">
        <v>1711</v>
      </c>
      <c r="B129" s="44">
        <v>0.61875297477391722</v>
      </c>
      <c r="C129" s="45">
        <v>2.774193548387097</v>
      </c>
    </row>
    <row r="130" spans="1:3">
      <c r="A130" s="20" t="s">
        <v>1420</v>
      </c>
      <c r="B130" s="44">
        <v>0.61872309899569589</v>
      </c>
      <c r="C130" s="45">
        <v>1.2820512820512822</v>
      </c>
    </row>
    <row r="131" spans="1:3">
      <c r="A131" s="20" t="s">
        <v>1443</v>
      </c>
      <c r="B131" s="44">
        <v>0.61861570975695668</v>
      </c>
      <c r="C131" s="45">
        <v>1.2790697674418605</v>
      </c>
    </row>
    <row r="132" spans="1:3">
      <c r="A132" s="20" t="s">
        <v>1596</v>
      </c>
      <c r="B132" s="44">
        <v>0.61826252377932789</v>
      </c>
      <c r="C132" s="45">
        <v>1.1071428571428572</v>
      </c>
    </row>
    <row r="133" spans="1:3">
      <c r="A133" s="20" t="s">
        <v>1852</v>
      </c>
      <c r="B133" s="44">
        <v>0.61812627291242361</v>
      </c>
      <c r="C133" s="45">
        <v>0.76744186046511631</v>
      </c>
    </row>
    <row r="134" spans="1:3">
      <c r="A134" s="20" t="s">
        <v>1488</v>
      </c>
      <c r="B134" s="44">
        <v>0.61788005761424636</v>
      </c>
      <c r="C134" s="45">
        <v>3.189189189189189</v>
      </c>
    </row>
    <row r="135" spans="1:3">
      <c r="A135" s="20" t="s">
        <v>1627</v>
      </c>
      <c r="B135" s="44">
        <v>0.617477995329621</v>
      </c>
      <c r="C135" s="45">
        <v>1.8076923076923077</v>
      </c>
    </row>
    <row r="136" spans="1:3">
      <c r="A136" s="20" t="s">
        <v>1777</v>
      </c>
      <c r="B136" s="44">
        <v>0.61724946933303537</v>
      </c>
      <c r="C136" s="45">
        <v>1.7941176470588236</v>
      </c>
    </row>
    <row r="137" spans="1:3">
      <c r="A137" s="20" t="s">
        <v>1350</v>
      </c>
      <c r="B137" s="44">
        <v>0.61698871245456288</v>
      </c>
      <c r="C137" s="45">
        <v>1</v>
      </c>
    </row>
    <row r="138" spans="1:3">
      <c r="A138" s="20" t="s">
        <v>1766</v>
      </c>
      <c r="B138" s="44">
        <v>0.61615227649534499</v>
      </c>
      <c r="C138" s="45">
        <v>1.7659574468085106</v>
      </c>
    </row>
    <row r="139" spans="1:3">
      <c r="A139" s="20" t="s">
        <v>1787</v>
      </c>
      <c r="B139" s="44">
        <v>0.61582545747033979</v>
      </c>
      <c r="C139" s="45">
        <v>2.0689655172413794</v>
      </c>
    </row>
    <row r="140" spans="1:3">
      <c r="A140" s="20" t="s">
        <v>1326</v>
      </c>
      <c r="B140" s="44">
        <v>0.61581496325985308</v>
      </c>
      <c r="C140" s="45">
        <v>2.4171428571428573</v>
      </c>
    </row>
    <row r="141" spans="1:3">
      <c r="A141" s="20" t="s">
        <v>1831</v>
      </c>
      <c r="B141" s="44">
        <v>0.61539298143851517</v>
      </c>
      <c r="C141" s="45">
        <v>5.7435897435897436</v>
      </c>
    </row>
    <row r="142" spans="1:3">
      <c r="A142" s="20" t="s">
        <v>1795</v>
      </c>
      <c r="B142" s="44">
        <v>0.61524609843937572</v>
      </c>
      <c r="C142" s="45">
        <v>1.9</v>
      </c>
    </row>
    <row r="143" spans="1:3">
      <c r="A143" s="20" t="s">
        <v>1530</v>
      </c>
      <c r="B143" s="44">
        <v>0.61475409836065575</v>
      </c>
      <c r="C143" s="45" t="e">
        <v>#DIV/0!</v>
      </c>
    </row>
    <row r="144" spans="1:3">
      <c r="A144" s="20" t="s">
        <v>1716</v>
      </c>
      <c r="B144" s="44">
        <v>0.61456923770861516</v>
      </c>
      <c r="C144" s="45">
        <v>1.1666666666666667</v>
      </c>
    </row>
    <row r="145" spans="1:3">
      <c r="A145" s="20" t="s">
        <v>1814</v>
      </c>
      <c r="B145" s="44">
        <v>0.6144193644193644</v>
      </c>
      <c r="C145" s="45">
        <v>5.2162162162162158</v>
      </c>
    </row>
    <row r="146" spans="1:3">
      <c r="A146" s="20" t="s">
        <v>1311</v>
      </c>
      <c r="B146" s="44">
        <v>0.61422034494896161</v>
      </c>
      <c r="C146" s="45">
        <v>1.8372093023255813</v>
      </c>
    </row>
    <row r="147" spans="1:3">
      <c r="A147" s="20" t="s">
        <v>1302</v>
      </c>
      <c r="B147" s="44">
        <v>0.61393881190835509</v>
      </c>
      <c r="C147" s="45">
        <v>1.8620689655172413</v>
      </c>
    </row>
    <row r="148" spans="1:3">
      <c r="A148" s="20" t="s">
        <v>1441</v>
      </c>
      <c r="B148" s="44">
        <v>0.61372745490981961</v>
      </c>
      <c r="C148" s="45">
        <v>2</v>
      </c>
    </row>
    <row r="149" spans="1:3">
      <c r="A149" s="20" t="s">
        <v>1372</v>
      </c>
      <c r="B149" s="44">
        <v>0.61364752086401575</v>
      </c>
      <c r="C149" s="45">
        <v>1.1666666666666667</v>
      </c>
    </row>
    <row r="150" spans="1:3">
      <c r="A150" s="20" t="s">
        <v>1714</v>
      </c>
      <c r="B150" s="44">
        <v>0.61339944063056195</v>
      </c>
      <c r="C150" s="45">
        <v>2.1880341880341883</v>
      </c>
    </row>
    <row r="151" spans="1:3">
      <c r="A151" s="20" t="s">
        <v>1851</v>
      </c>
      <c r="B151" s="44">
        <v>0.61215957955088396</v>
      </c>
      <c r="C151" s="45">
        <v>1.8793103448275863</v>
      </c>
    </row>
    <row r="152" spans="1:3">
      <c r="A152" s="20" t="s">
        <v>1428</v>
      </c>
      <c r="B152" s="44">
        <v>0.61159675492107413</v>
      </c>
      <c r="C152" s="45">
        <v>0.89855072463768115</v>
      </c>
    </row>
    <row r="153" spans="1:3">
      <c r="A153" s="20" t="s">
        <v>1700</v>
      </c>
      <c r="B153" s="44">
        <v>0.61117641936607447</v>
      </c>
      <c r="C153" s="45">
        <v>0.88524590163934425</v>
      </c>
    </row>
    <row r="154" spans="1:3">
      <c r="A154" s="20" t="s">
        <v>1467</v>
      </c>
      <c r="B154" s="44">
        <v>0.61074664167447668</v>
      </c>
      <c r="C154" s="45">
        <v>1.4050632911392404</v>
      </c>
    </row>
    <row r="155" spans="1:3">
      <c r="A155" s="20" t="s">
        <v>1803</v>
      </c>
      <c r="B155" s="44">
        <v>0.60930576070901032</v>
      </c>
      <c r="C155" s="45">
        <v>1.606060606060606</v>
      </c>
    </row>
    <row r="156" spans="1:3">
      <c r="A156" s="20" t="s">
        <v>1491</v>
      </c>
      <c r="B156" s="44">
        <v>0.60872505918160291</v>
      </c>
      <c r="C156" s="45">
        <v>1.8769230769230769</v>
      </c>
    </row>
    <row r="157" spans="1:3">
      <c r="A157" s="20" t="s">
        <v>1725</v>
      </c>
      <c r="B157" s="44">
        <v>0.60790273556231</v>
      </c>
      <c r="C157" s="45">
        <v>1.972972972972973</v>
      </c>
    </row>
    <row r="158" spans="1:3">
      <c r="A158" s="20" t="s">
        <v>1586</v>
      </c>
      <c r="B158" s="44">
        <v>0.60764694957749099</v>
      </c>
      <c r="C158" s="45">
        <v>2.8024691358024691</v>
      </c>
    </row>
    <row r="159" spans="1:3">
      <c r="A159" s="20" t="s">
        <v>1546</v>
      </c>
      <c r="B159" s="44">
        <v>0.60693641618497107</v>
      </c>
      <c r="C159" s="45">
        <v>1.5</v>
      </c>
    </row>
    <row r="160" spans="1:3">
      <c r="A160" s="20" t="s">
        <v>1825</v>
      </c>
      <c r="B160" s="44">
        <v>0.60593782230735227</v>
      </c>
      <c r="C160" s="45">
        <v>0.9285714285714286</v>
      </c>
    </row>
    <row r="161" spans="1:3">
      <c r="A161" s="20" t="s">
        <v>1429</v>
      </c>
      <c r="B161" s="44">
        <v>0.60579541034616879</v>
      </c>
      <c r="C161" s="45">
        <v>2.8294573643410854</v>
      </c>
    </row>
    <row r="162" spans="1:3">
      <c r="A162" s="20" t="s">
        <v>1571</v>
      </c>
      <c r="B162" s="44">
        <v>0.60551144862501438</v>
      </c>
      <c r="C162" s="45">
        <v>1.3278688524590163</v>
      </c>
    </row>
    <row r="163" spans="1:3">
      <c r="A163" s="20" t="s">
        <v>1609</v>
      </c>
      <c r="B163" s="44">
        <v>0.60524652338811635</v>
      </c>
      <c r="C163" s="45">
        <v>1.7066666666666668</v>
      </c>
    </row>
    <row r="164" spans="1:3">
      <c r="A164" s="20" t="s">
        <v>1828</v>
      </c>
      <c r="B164" s="44">
        <v>0.60521537773333689</v>
      </c>
      <c r="C164" s="45">
        <v>2.12</v>
      </c>
    </row>
    <row r="165" spans="1:3">
      <c r="A165" s="20" t="s">
        <v>1647</v>
      </c>
      <c r="B165" s="44">
        <v>0.60491868306227692</v>
      </c>
      <c r="C165" s="45">
        <v>2.2162162162162162</v>
      </c>
    </row>
    <row r="166" spans="1:3">
      <c r="A166" s="20" t="s">
        <v>1377</v>
      </c>
      <c r="B166" s="44">
        <v>0.60461956521739135</v>
      </c>
      <c r="C166" s="45">
        <v>1.3636363636363635</v>
      </c>
    </row>
    <row r="167" spans="1:3">
      <c r="A167" s="20" t="s">
        <v>1425</v>
      </c>
      <c r="B167" s="44">
        <v>0.60453425528532823</v>
      </c>
      <c r="C167" s="45">
        <v>1.4484536082474226</v>
      </c>
    </row>
    <row r="168" spans="1:3">
      <c r="A168" s="20" t="s">
        <v>1381</v>
      </c>
      <c r="B168" s="44">
        <v>0.60384541557361315</v>
      </c>
      <c r="C168" s="45">
        <v>1.8707865168539326</v>
      </c>
    </row>
    <row r="169" spans="1:3">
      <c r="A169" s="20" t="s">
        <v>1543</v>
      </c>
      <c r="B169" s="44">
        <v>0.60365135453474672</v>
      </c>
      <c r="C169" s="45">
        <v>3.5</v>
      </c>
    </row>
    <row r="170" spans="1:3">
      <c r="A170" s="20" t="s">
        <v>1310</v>
      </c>
      <c r="B170" s="44">
        <v>0.60350816255644324</v>
      </c>
      <c r="C170" s="45">
        <v>1.8985507246376812</v>
      </c>
    </row>
    <row r="171" spans="1:3">
      <c r="A171" s="20" t="s">
        <v>1513</v>
      </c>
      <c r="B171" s="44">
        <v>0.60333009653281544</v>
      </c>
      <c r="C171" s="45">
        <v>2.9141104294478528</v>
      </c>
    </row>
    <row r="172" spans="1:3">
      <c r="A172" s="20" t="s">
        <v>1440</v>
      </c>
      <c r="B172" s="44">
        <v>0.60304604278545648</v>
      </c>
      <c r="C172" s="45">
        <v>1.5438596491228069</v>
      </c>
    </row>
    <row r="173" spans="1:3">
      <c r="A173" s="20" t="s">
        <v>1304</v>
      </c>
      <c r="B173" s="44">
        <v>0.60240963855421692</v>
      </c>
      <c r="C173" s="45">
        <v>1</v>
      </c>
    </row>
    <row r="174" spans="1:3">
      <c r="A174" s="20" t="s">
        <v>1856</v>
      </c>
      <c r="B174" s="44">
        <v>0.60235063663075417</v>
      </c>
      <c r="C174" s="45">
        <v>1.7666666666666666</v>
      </c>
    </row>
    <row r="175" spans="1:3">
      <c r="A175" s="20" t="s">
        <v>1535</v>
      </c>
      <c r="B175" s="44">
        <v>0.60204081632653061</v>
      </c>
      <c r="C175" s="45">
        <v>1.875</v>
      </c>
    </row>
    <row r="176" spans="1:3">
      <c r="A176" s="20" t="s">
        <v>1682</v>
      </c>
      <c r="B176" s="44">
        <v>0.60194672131147542</v>
      </c>
      <c r="C176" s="45">
        <v>2.9090909090909092</v>
      </c>
    </row>
    <row r="177" spans="1:3">
      <c r="A177" s="20" t="s">
        <v>1718</v>
      </c>
      <c r="B177" s="44">
        <v>0.6016912402428447</v>
      </c>
      <c r="C177" s="45">
        <v>1.8823529411764706</v>
      </c>
    </row>
    <row r="178" spans="1:3">
      <c r="A178" s="20" t="s">
        <v>1608</v>
      </c>
      <c r="B178" s="44">
        <v>0.60081589789159051</v>
      </c>
      <c r="C178" s="45">
        <v>1</v>
      </c>
    </row>
    <row r="179" spans="1:3">
      <c r="A179" s="20" t="s">
        <v>1373</v>
      </c>
      <c r="B179" s="44">
        <v>0.6008010680907877</v>
      </c>
      <c r="C179" s="45">
        <v>4.5</v>
      </c>
    </row>
    <row r="180" spans="1:3">
      <c r="A180" s="20" t="s">
        <v>1769</v>
      </c>
      <c r="B180" s="44">
        <v>0.60076177285318555</v>
      </c>
      <c r="C180" s="45">
        <v>2.12</v>
      </c>
    </row>
    <row r="181" spans="1:3">
      <c r="A181" s="20" t="s">
        <v>1496</v>
      </c>
      <c r="B181" s="44">
        <v>0.60073937153419588</v>
      </c>
      <c r="C181" s="45">
        <v>1</v>
      </c>
    </row>
    <row r="182" spans="1:3">
      <c r="A182" s="20" t="s">
        <v>1587</v>
      </c>
      <c r="B182" s="44">
        <v>0.60048038430744599</v>
      </c>
      <c r="C182" s="45">
        <v>2</v>
      </c>
    </row>
    <row r="183" spans="1:3">
      <c r="A183" s="20" t="s">
        <v>1487</v>
      </c>
      <c r="B183" s="44">
        <v>0.60013717421124824</v>
      </c>
      <c r="C183" s="45">
        <v>1</v>
      </c>
    </row>
    <row r="184" spans="1:3">
      <c r="A184" s="20" t="s">
        <v>1463</v>
      </c>
      <c r="B184" s="44">
        <v>0.59993201903467031</v>
      </c>
      <c r="C184" s="45">
        <v>1.8484848484848484</v>
      </c>
    </row>
    <row r="185" spans="1:3">
      <c r="A185" s="20" t="s">
        <v>1486</v>
      </c>
      <c r="B185" s="44">
        <v>0.59984956750658147</v>
      </c>
      <c r="C185" s="45">
        <v>2.2371134020618557</v>
      </c>
    </row>
    <row r="186" spans="1:3">
      <c r="A186" s="20" t="s">
        <v>1399</v>
      </c>
      <c r="B186" s="44">
        <v>0.59982427683157602</v>
      </c>
      <c r="C186" s="45">
        <v>1.5897435897435896</v>
      </c>
    </row>
    <row r="187" spans="1:3">
      <c r="A187" s="20" t="s">
        <v>1822</v>
      </c>
      <c r="B187" s="44">
        <v>0.59958178636964965</v>
      </c>
      <c r="C187" s="45">
        <v>1.8415841584158417</v>
      </c>
    </row>
    <row r="188" spans="1:3">
      <c r="A188" s="20" t="s">
        <v>1359</v>
      </c>
      <c r="B188" s="44">
        <v>0.5995566303909714</v>
      </c>
      <c r="C188" s="45">
        <v>2.9166666666666665</v>
      </c>
    </row>
    <row r="189" spans="1:3">
      <c r="A189" s="20" t="s">
        <v>1411</v>
      </c>
      <c r="B189" s="44">
        <v>0.59874438071616798</v>
      </c>
      <c r="C189" s="45">
        <v>2.6755319148936172</v>
      </c>
    </row>
    <row r="190" spans="1:3">
      <c r="A190" s="20" t="s">
        <v>1750</v>
      </c>
      <c r="B190" s="44">
        <v>0.59859154929577463</v>
      </c>
      <c r="C190" s="45">
        <v>1.6176470588235294</v>
      </c>
    </row>
    <row r="191" spans="1:3">
      <c r="A191" s="20" t="s">
        <v>1371</v>
      </c>
      <c r="B191" s="44">
        <v>0.59856344772545889</v>
      </c>
      <c r="C191" s="45">
        <v>1.103448275862069</v>
      </c>
    </row>
    <row r="192" spans="1:3">
      <c r="A192" s="20" t="s">
        <v>1745</v>
      </c>
      <c r="B192" s="44">
        <v>0.59790732436472338</v>
      </c>
      <c r="C192" s="45">
        <v>2</v>
      </c>
    </row>
    <row r="193" spans="1:3">
      <c r="A193" s="20" t="s">
        <v>1430</v>
      </c>
      <c r="B193" s="44">
        <v>0.59738503155996392</v>
      </c>
      <c r="C193" s="45">
        <v>2.2048192771084336</v>
      </c>
    </row>
    <row r="194" spans="1:3">
      <c r="A194" s="20" t="s">
        <v>1731</v>
      </c>
      <c r="B194" s="44">
        <v>0.59707825665272474</v>
      </c>
      <c r="C194" s="45">
        <v>2.4311926605504586</v>
      </c>
    </row>
    <row r="195" spans="1:3">
      <c r="A195" s="20" t="s">
        <v>1341</v>
      </c>
      <c r="B195" s="44">
        <v>0.59691011235955049</v>
      </c>
      <c r="C195" s="45">
        <v>1.9405940594059405</v>
      </c>
    </row>
    <row r="196" spans="1:3">
      <c r="A196" s="20" t="s">
        <v>1644</v>
      </c>
      <c r="B196" s="44">
        <v>0.59673366834170849</v>
      </c>
      <c r="C196" s="45">
        <v>1.25</v>
      </c>
    </row>
    <row r="197" spans="1:3">
      <c r="A197" s="20" t="s">
        <v>1292</v>
      </c>
      <c r="B197" s="44">
        <v>0.5963206491326245</v>
      </c>
      <c r="C197" s="45">
        <v>2.189189189189189</v>
      </c>
    </row>
    <row r="198" spans="1:3">
      <c r="A198" s="20" t="s">
        <v>1563</v>
      </c>
      <c r="B198" s="44">
        <v>0.59594052395562902</v>
      </c>
      <c r="C198" s="45">
        <v>1.8095238095238095</v>
      </c>
    </row>
    <row r="199" spans="1:3">
      <c r="A199" s="20" t="s">
        <v>1472</v>
      </c>
      <c r="B199" s="44">
        <v>0.59592188397472712</v>
      </c>
      <c r="C199" s="45">
        <v>1.2758620689655173</v>
      </c>
    </row>
    <row r="200" spans="1:3">
      <c r="A200" s="20" t="s">
        <v>1319</v>
      </c>
      <c r="B200" s="44">
        <v>0.59526410065970559</v>
      </c>
      <c r="C200" s="45">
        <v>1.4071146245059289</v>
      </c>
    </row>
    <row r="201" spans="1:3">
      <c r="A201" s="20" t="s">
        <v>1839</v>
      </c>
      <c r="B201" s="44">
        <v>0.59521274330252572</v>
      </c>
      <c r="C201" s="45">
        <v>1.1564625850340136</v>
      </c>
    </row>
    <row r="202" spans="1:3">
      <c r="A202" s="20" t="s">
        <v>1616</v>
      </c>
      <c r="B202" s="44">
        <v>0.59456398640996599</v>
      </c>
      <c r="C202" s="45">
        <v>2.75</v>
      </c>
    </row>
    <row r="203" spans="1:3">
      <c r="A203" s="20" t="s">
        <v>1747</v>
      </c>
      <c r="B203" s="44">
        <v>0.59451418147070323</v>
      </c>
      <c r="C203" s="45">
        <v>1.5734265734265733</v>
      </c>
    </row>
    <row r="204" spans="1:3">
      <c r="A204" s="20" t="s">
        <v>1636</v>
      </c>
      <c r="B204" s="44">
        <v>0.59429613320489882</v>
      </c>
      <c r="C204" s="45">
        <v>1.3564356435643565</v>
      </c>
    </row>
    <row r="205" spans="1:3">
      <c r="A205" s="20" t="s">
        <v>1640</v>
      </c>
      <c r="B205" s="44">
        <v>0.59397845325125054</v>
      </c>
      <c r="C205" s="45">
        <v>2.0909090909090908</v>
      </c>
    </row>
    <row r="206" spans="1:3">
      <c r="A206" s="20" t="s">
        <v>1580</v>
      </c>
      <c r="B206" s="44">
        <v>0.59385863267670913</v>
      </c>
      <c r="C206" s="45">
        <v>1.5</v>
      </c>
    </row>
    <row r="207" spans="1:3">
      <c r="A207" s="20" t="s">
        <v>1370</v>
      </c>
      <c r="B207" s="44">
        <v>0.59362789299669361</v>
      </c>
      <c r="C207" s="45">
        <v>0.81818181818181823</v>
      </c>
    </row>
    <row r="208" spans="1:3">
      <c r="A208" s="20" t="s">
        <v>1548</v>
      </c>
      <c r="B208" s="44">
        <v>0.59360534887707872</v>
      </c>
      <c r="C208" s="45">
        <v>3.6969696969696968</v>
      </c>
    </row>
    <row r="209" spans="1:3">
      <c r="A209" s="20" t="s">
        <v>1595</v>
      </c>
      <c r="B209" s="44">
        <v>0.5935291519434629</v>
      </c>
      <c r="C209" s="45">
        <v>1.6787564766839378</v>
      </c>
    </row>
    <row r="210" spans="1:3">
      <c r="A210" s="20" t="s">
        <v>1713</v>
      </c>
      <c r="B210" s="44">
        <v>0.59237141205933352</v>
      </c>
      <c r="C210" s="45">
        <v>2.15</v>
      </c>
    </row>
    <row r="211" spans="1:3">
      <c r="A211" s="20" t="s">
        <v>1457</v>
      </c>
      <c r="B211" s="44">
        <v>0.59236409155937053</v>
      </c>
      <c r="C211" s="45">
        <v>2.4444444444444446</v>
      </c>
    </row>
    <row r="212" spans="1:3">
      <c r="A212" s="20" t="s">
        <v>1294</v>
      </c>
      <c r="B212" s="44">
        <v>0.59217702976468756</v>
      </c>
      <c r="C212" s="45">
        <v>2.0147058823529411</v>
      </c>
    </row>
    <row r="213" spans="1:3">
      <c r="A213" s="20" t="s">
        <v>1389</v>
      </c>
      <c r="B213" s="44">
        <v>0.59139894680981342</v>
      </c>
      <c r="C213" s="45">
        <v>1.6772151898734178</v>
      </c>
    </row>
    <row r="214" spans="1:3">
      <c r="A214" s="20" t="s">
        <v>1536</v>
      </c>
      <c r="B214" s="44">
        <v>0.59100719424460435</v>
      </c>
      <c r="C214" s="45">
        <v>0.95483870967741935</v>
      </c>
    </row>
    <row r="215" spans="1:3">
      <c r="A215" s="20" t="s">
        <v>1679</v>
      </c>
      <c r="B215" s="44">
        <v>0.59100418410041844</v>
      </c>
      <c r="C215" s="45">
        <v>2.0714285714285716</v>
      </c>
    </row>
    <row r="216" spans="1:3">
      <c r="A216" s="20" t="s">
        <v>1447</v>
      </c>
      <c r="B216" s="44">
        <v>0.59081407502032279</v>
      </c>
      <c r="C216" s="45">
        <v>2</v>
      </c>
    </row>
    <row r="217" spans="1:3">
      <c r="A217" s="20" t="s">
        <v>1669</v>
      </c>
      <c r="B217" s="44">
        <v>0.59037809320437129</v>
      </c>
      <c r="C217" s="45">
        <v>2.5686274509803924</v>
      </c>
    </row>
    <row r="218" spans="1:3">
      <c r="A218" s="20" t="s">
        <v>1534</v>
      </c>
      <c r="B218" s="44">
        <v>0.59020791415157614</v>
      </c>
      <c r="C218" s="45">
        <v>1.6216216216216217</v>
      </c>
    </row>
    <row r="219" spans="1:3">
      <c r="A219" s="20" t="s">
        <v>1719</v>
      </c>
      <c r="B219" s="44">
        <v>0.58950573573148279</v>
      </c>
      <c r="C219" s="45">
        <v>1.5673076923076923</v>
      </c>
    </row>
    <row r="220" spans="1:3">
      <c r="A220" s="20" t="s">
        <v>53</v>
      </c>
      <c r="B220" s="44">
        <v>0.5892462558310827</v>
      </c>
      <c r="C220" s="45">
        <v>2.4449541284403669</v>
      </c>
    </row>
    <row r="221" spans="1:3">
      <c r="A221" s="20" t="s">
        <v>1773</v>
      </c>
      <c r="B221" s="44">
        <v>0.58909628427337546</v>
      </c>
      <c r="C221" s="45">
        <v>2.625</v>
      </c>
    </row>
    <row r="222" spans="1:3">
      <c r="A222" s="20" t="s">
        <v>1318</v>
      </c>
      <c r="B222" s="44">
        <v>0.58907132438194265</v>
      </c>
      <c r="C222" s="45">
        <v>1.5982142857142858</v>
      </c>
    </row>
    <row r="223" spans="1:3">
      <c r="A223" s="20" t="s">
        <v>1603</v>
      </c>
      <c r="B223" s="44">
        <v>0.58903623016812701</v>
      </c>
      <c r="C223" s="45">
        <v>1.6428571428571428</v>
      </c>
    </row>
    <row r="224" spans="1:3">
      <c r="A224" s="20" t="s">
        <v>1509</v>
      </c>
      <c r="B224" s="44">
        <v>0.58895101998550281</v>
      </c>
      <c r="C224" s="45">
        <v>1.8372093023255813</v>
      </c>
    </row>
    <row r="225" spans="1:3">
      <c r="A225" s="20" t="s">
        <v>1665</v>
      </c>
      <c r="B225" s="44">
        <v>0.58890376686986856</v>
      </c>
      <c r="C225" s="45">
        <v>1.6951219512195121</v>
      </c>
    </row>
    <row r="226" spans="1:3">
      <c r="A226" s="20" t="s">
        <v>1764</v>
      </c>
      <c r="B226" s="44">
        <v>0.58867130938426537</v>
      </c>
      <c r="C226" s="45">
        <v>2.4264705882352939</v>
      </c>
    </row>
    <row r="227" spans="1:3">
      <c r="A227" s="20" t="s">
        <v>1531</v>
      </c>
      <c r="B227" s="44">
        <v>0.58861541919532478</v>
      </c>
      <c r="C227" s="45">
        <v>1.7666666666666666</v>
      </c>
    </row>
    <row r="228" spans="1:3">
      <c r="A228" s="20" t="s">
        <v>1813</v>
      </c>
      <c r="B228" s="44">
        <v>0.58838761652664284</v>
      </c>
      <c r="C228" s="45">
        <v>2.441860465116279</v>
      </c>
    </row>
    <row r="229" spans="1:3">
      <c r="A229" s="20" t="s">
        <v>1655</v>
      </c>
      <c r="B229" s="44">
        <v>0.5880880880880881</v>
      </c>
      <c r="C229" s="45">
        <v>2.1388888888888888</v>
      </c>
    </row>
    <row r="230" spans="1:3">
      <c r="A230" s="20" t="s">
        <v>1466</v>
      </c>
      <c r="B230" s="44">
        <v>0.58797410335739664</v>
      </c>
      <c r="C230" s="45">
        <v>2.0227272727272729</v>
      </c>
    </row>
    <row r="231" spans="1:3">
      <c r="A231" s="20" t="s">
        <v>1611</v>
      </c>
      <c r="B231" s="44">
        <v>0.58777429467084641</v>
      </c>
      <c r="C231" s="45">
        <v>2.3658536585365852</v>
      </c>
    </row>
    <row r="232" spans="1:3">
      <c r="A232" s="20" t="s">
        <v>1625</v>
      </c>
      <c r="B232" s="44">
        <v>0.58760683760683763</v>
      </c>
      <c r="C232" s="45">
        <v>2.7142857142857144</v>
      </c>
    </row>
    <row r="233" spans="1:3">
      <c r="A233" s="20" t="s">
        <v>1407</v>
      </c>
      <c r="B233" s="44">
        <v>0.58752025931928686</v>
      </c>
      <c r="C233" s="45">
        <v>2.5454545454545454</v>
      </c>
    </row>
    <row r="234" spans="1:3">
      <c r="A234" s="20" t="s">
        <v>1532</v>
      </c>
      <c r="B234" s="44">
        <v>0.58729995896594167</v>
      </c>
      <c r="C234" s="45">
        <v>1.5066666666666666</v>
      </c>
    </row>
    <row r="235" spans="1:3">
      <c r="A235" s="20" t="s">
        <v>1557</v>
      </c>
      <c r="B235" s="44">
        <v>0.58715876162879377</v>
      </c>
      <c r="C235" s="45">
        <v>1.5116279069767442</v>
      </c>
    </row>
    <row r="236" spans="1:3">
      <c r="A236" s="20" t="s">
        <v>1687</v>
      </c>
      <c r="B236" s="44">
        <v>0.58582331925949993</v>
      </c>
      <c r="C236" s="45">
        <v>2.3129770992366412</v>
      </c>
    </row>
    <row r="237" spans="1:3">
      <c r="A237" s="20" t="s">
        <v>1836</v>
      </c>
      <c r="B237" s="44">
        <v>0.58574913484994606</v>
      </c>
      <c r="C237" s="45">
        <v>4.8202247191011232</v>
      </c>
    </row>
    <row r="238" spans="1:3">
      <c r="A238" s="20" t="s">
        <v>1390</v>
      </c>
      <c r="B238" s="44">
        <v>0.58570483123759098</v>
      </c>
      <c r="C238" s="45">
        <v>1.7049180327868851</v>
      </c>
    </row>
    <row r="239" spans="1:3">
      <c r="A239" s="20" t="s">
        <v>1300</v>
      </c>
      <c r="B239" s="44">
        <v>0.58546837469975976</v>
      </c>
      <c r="C239" s="45">
        <v>2.2413793103448274</v>
      </c>
    </row>
    <row r="240" spans="1:3">
      <c r="A240" s="20" t="s">
        <v>1320</v>
      </c>
      <c r="B240" s="44">
        <v>0.58479532163742687</v>
      </c>
      <c r="C240" s="45">
        <v>1.5</v>
      </c>
    </row>
    <row r="241" spans="1:3">
      <c r="A241" s="20" t="s">
        <v>1478</v>
      </c>
      <c r="B241" s="44">
        <v>0.5846460521197977</v>
      </c>
      <c r="C241" s="45">
        <v>2.1346153846153846</v>
      </c>
    </row>
    <row r="242" spans="1:3">
      <c r="A242" s="20" t="s">
        <v>1342</v>
      </c>
      <c r="B242" s="44">
        <v>0.58451513990034498</v>
      </c>
      <c r="C242" s="45">
        <v>2.1666666666666665</v>
      </c>
    </row>
    <row r="243" spans="1:3">
      <c r="A243" s="20" t="s">
        <v>1776</v>
      </c>
      <c r="B243" s="44">
        <v>0.58396558934225462</v>
      </c>
      <c r="C243" s="45">
        <v>2.5970149253731343</v>
      </c>
    </row>
    <row r="244" spans="1:3">
      <c r="A244" s="20" t="s">
        <v>1520</v>
      </c>
      <c r="B244" s="44">
        <v>0.58385231316725972</v>
      </c>
      <c r="C244" s="45">
        <v>1.6842105263157894</v>
      </c>
    </row>
    <row r="245" spans="1:3">
      <c r="A245" s="20" t="s">
        <v>1525</v>
      </c>
      <c r="B245" s="44">
        <v>0.58381917076507184</v>
      </c>
      <c r="C245" s="45">
        <v>2.8510638297872339</v>
      </c>
    </row>
    <row r="246" spans="1:3">
      <c r="A246" s="20" t="s">
        <v>1702</v>
      </c>
      <c r="B246" s="44">
        <v>0.58325650481458713</v>
      </c>
      <c r="C246" s="45">
        <v>1.8818181818181818</v>
      </c>
    </row>
    <row r="247" spans="1:3">
      <c r="A247" s="20" t="s">
        <v>1327</v>
      </c>
      <c r="B247" s="44">
        <v>0.58312041539602733</v>
      </c>
      <c r="C247" s="45">
        <v>3</v>
      </c>
    </row>
    <row r="248" spans="1:3">
      <c r="A248" s="20" t="s">
        <v>1550</v>
      </c>
      <c r="B248" s="44">
        <v>0.58302520602237851</v>
      </c>
      <c r="C248" s="45">
        <v>2.0669856459330145</v>
      </c>
    </row>
    <row r="249" spans="1:3">
      <c r="A249" s="20" t="s">
        <v>1654</v>
      </c>
      <c r="B249" s="44">
        <v>0.58300266701359527</v>
      </c>
      <c r="C249" s="45">
        <v>2.2799999999999998</v>
      </c>
    </row>
    <row r="250" spans="1:3">
      <c r="A250" s="20" t="s">
        <v>1436</v>
      </c>
      <c r="B250" s="44">
        <v>0.5829631979695431</v>
      </c>
      <c r="C250" s="45">
        <v>4.5</v>
      </c>
    </row>
    <row r="251" spans="1:3">
      <c r="A251" s="20" t="s">
        <v>1771</v>
      </c>
      <c r="B251" s="44">
        <v>0.58290746486585143</v>
      </c>
      <c r="C251" s="45">
        <v>2.9722222222222223</v>
      </c>
    </row>
    <row r="252" spans="1:3">
      <c r="A252" s="20" t="s">
        <v>1439</v>
      </c>
      <c r="B252" s="44">
        <v>0.58253519316063507</v>
      </c>
      <c r="C252" s="45">
        <v>2.2525252525252526</v>
      </c>
    </row>
    <row r="253" spans="1:3">
      <c r="A253" s="20" t="s">
        <v>1418</v>
      </c>
      <c r="B253" s="44">
        <v>0.58252427184466027</v>
      </c>
      <c r="C253" s="45">
        <v>0.94117647058823528</v>
      </c>
    </row>
    <row r="254" spans="1:3">
      <c r="A254" s="20" t="s">
        <v>1332</v>
      </c>
      <c r="B254" s="44">
        <v>0.58203768430356351</v>
      </c>
      <c r="C254" s="45">
        <v>1</v>
      </c>
    </row>
    <row r="255" spans="1:3">
      <c r="A255" s="20" t="s">
        <v>1619</v>
      </c>
      <c r="B255" s="44">
        <v>0.58198380566801611</v>
      </c>
      <c r="C255" s="45">
        <v>1.5</v>
      </c>
    </row>
    <row r="256" spans="1:3">
      <c r="A256" s="20" t="s">
        <v>1322</v>
      </c>
      <c r="B256" s="44">
        <v>0.58148431522570776</v>
      </c>
      <c r="C256" s="45">
        <v>1.2903225806451613</v>
      </c>
    </row>
    <row r="257" spans="1:3">
      <c r="A257" s="20" t="s">
        <v>1528</v>
      </c>
      <c r="B257" s="44">
        <v>0.58101272356569533</v>
      </c>
      <c r="C257" s="45">
        <v>2.0205882352941176</v>
      </c>
    </row>
    <row r="258" spans="1:3">
      <c r="A258" s="20" t="s">
        <v>1375</v>
      </c>
      <c r="B258" s="44">
        <v>0.58075933075933073</v>
      </c>
      <c r="C258" s="45">
        <v>4.6335877862595423</v>
      </c>
    </row>
    <row r="259" spans="1:3">
      <c r="A259" s="20" t="s">
        <v>1527</v>
      </c>
      <c r="B259" s="44">
        <v>0.58060109289617479</v>
      </c>
      <c r="C259" s="45">
        <v>1.25</v>
      </c>
    </row>
    <row r="260" spans="1:3">
      <c r="A260" s="20" t="s">
        <v>1483</v>
      </c>
      <c r="B260" s="44">
        <v>0.58059165053912076</v>
      </c>
      <c r="C260" s="45">
        <v>3</v>
      </c>
    </row>
    <row r="261" spans="1:3">
      <c r="A261" s="20" t="s">
        <v>1798</v>
      </c>
      <c r="B261" s="44">
        <v>0.58045356371490275</v>
      </c>
      <c r="C261" s="45">
        <v>2.5744680851063828</v>
      </c>
    </row>
    <row r="262" spans="1:3">
      <c r="A262" s="20" t="s">
        <v>1565</v>
      </c>
      <c r="B262" s="44">
        <v>0.5804396959112389</v>
      </c>
      <c r="C262" s="45">
        <v>1.3650793650793651</v>
      </c>
    </row>
    <row r="263" spans="1:3">
      <c r="A263" s="20" t="s">
        <v>1662</v>
      </c>
      <c r="B263" s="44">
        <v>0.58018961090262688</v>
      </c>
      <c r="C263" s="45">
        <v>1.1515151515151516</v>
      </c>
    </row>
    <row r="264" spans="1:3">
      <c r="A264" s="20" t="s">
        <v>1388</v>
      </c>
      <c r="B264" s="44">
        <v>0.57994289793004994</v>
      </c>
      <c r="C264" s="45">
        <v>4.6470588235294121</v>
      </c>
    </row>
    <row r="265" spans="1:3">
      <c r="A265" s="20" t="s">
        <v>1710</v>
      </c>
      <c r="B265" s="44">
        <v>0.57917668269230771</v>
      </c>
      <c r="C265" s="45">
        <v>2.2551020408163267</v>
      </c>
    </row>
    <row r="266" spans="1:3">
      <c r="A266" s="20" t="s">
        <v>1606</v>
      </c>
      <c r="B266" s="44">
        <v>0.57900788436268069</v>
      </c>
      <c r="C266" s="45">
        <v>1</v>
      </c>
    </row>
    <row r="267" spans="1:3">
      <c r="A267" s="20" t="s">
        <v>1475</v>
      </c>
      <c r="B267" s="44">
        <v>0.57847082494969815</v>
      </c>
      <c r="C267" s="45">
        <v>1.7333333333333334</v>
      </c>
    </row>
    <row r="268" spans="1:3">
      <c r="A268" s="20" t="s">
        <v>1748</v>
      </c>
      <c r="B268" s="44">
        <v>0.5779109589041096</v>
      </c>
      <c r="C268" s="45">
        <v>3.1176470588235294</v>
      </c>
    </row>
    <row r="269" spans="1:3">
      <c r="A269" s="20" t="s">
        <v>1410</v>
      </c>
      <c r="B269" s="44">
        <v>0.57785888077858882</v>
      </c>
      <c r="C269" s="45">
        <v>0.75</v>
      </c>
    </row>
    <row r="270" spans="1:3">
      <c r="A270" s="20" t="s">
        <v>1368</v>
      </c>
      <c r="B270" s="44">
        <v>0.57781892021022452</v>
      </c>
      <c r="C270" s="45">
        <v>2.831168831168831</v>
      </c>
    </row>
    <row r="271" spans="1:3">
      <c r="A271" s="20" t="s">
        <v>1704</v>
      </c>
      <c r="B271" s="44">
        <v>0.57761145460462093</v>
      </c>
      <c r="C271" s="45">
        <v>1.6428571428571428</v>
      </c>
    </row>
    <row r="272" spans="1:3">
      <c r="A272" s="20" t="s">
        <v>1592</v>
      </c>
      <c r="B272" s="44">
        <v>0.5770324047754406</v>
      </c>
      <c r="C272" s="45">
        <v>1.5540540540540539</v>
      </c>
    </row>
    <row r="273" spans="1:3">
      <c r="A273" s="20" t="s">
        <v>1697</v>
      </c>
      <c r="B273" s="44">
        <v>0.57675173423280091</v>
      </c>
      <c r="C273" s="45">
        <v>1.8461538461538463</v>
      </c>
    </row>
    <row r="274" spans="1:3">
      <c r="A274" s="20" t="s">
        <v>1578</v>
      </c>
      <c r="B274" s="44">
        <v>0.57655729909652875</v>
      </c>
      <c r="C274" s="45">
        <v>3.6428571428571428</v>
      </c>
    </row>
    <row r="275" spans="1:3">
      <c r="A275" s="20" t="s">
        <v>1364</v>
      </c>
      <c r="B275" s="44">
        <v>0.57581573896353166</v>
      </c>
      <c r="C275" s="45">
        <v>1.5079365079365079</v>
      </c>
    </row>
    <row r="276" spans="1:3">
      <c r="A276" s="20" t="s">
        <v>1724</v>
      </c>
      <c r="B276" s="44">
        <v>0.57573073516386186</v>
      </c>
      <c r="C276" s="45">
        <v>0.5</v>
      </c>
    </row>
    <row r="277" spans="1:3">
      <c r="A277" s="20" t="s">
        <v>1438</v>
      </c>
      <c r="B277" s="44">
        <v>0.57556678466236122</v>
      </c>
      <c r="C277" s="45">
        <v>2.3825503355704698</v>
      </c>
    </row>
    <row r="278" spans="1:3">
      <c r="A278" s="20" t="s">
        <v>1340</v>
      </c>
      <c r="B278" s="44">
        <v>0.57555624227441282</v>
      </c>
      <c r="C278" s="45">
        <v>1.2916666666666667</v>
      </c>
    </row>
    <row r="279" spans="1:3">
      <c r="A279" s="20" t="s">
        <v>1522</v>
      </c>
      <c r="B279" s="44">
        <v>0.57454422062498067</v>
      </c>
      <c r="C279" s="45">
        <v>2.3157894736842106</v>
      </c>
    </row>
    <row r="280" spans="1:3">
      <c r="A280" s="20" t="s">
        <v>1553</v>
      </c>
      <c r="B280" s="44">
        <v>0.57445956765412332</v>
      </c>
      <c r="C280" s="45">
        <v>4.875</v>
      </c>
    </row>
    <row r="281" spans="1:3">
      <c r="A281" s="20" t="s">
        <v>1570</v>
      </c>
      <c r="B281" s="44">
        <v>0.57408750302151312</v>
      </c>
      <c r="C281" s="45">
        <v>1.8421052631578947</v>
      </c>
    </row>
    <row r="282" spans="1:3">
      <c r="A282" s="20" t="s">
        <v>1414</v>
      </c>
      <c r="B282" s="44">
        <v>0.57393454202966798</v>
      </c>
      <c r="C282" s="45">
        <v>2.8809523809523809</v>
      </c>
    </row>
    <row r="283" spans="1:3">
      <c r="A283" s="20" t="s">
        <v>1849</v>
      </c>
      <c r="B283" s="44">
        <v>0.57364019628170571</v>
      </c>
      <c r="C283" s="45">
        <v>1.2749999999999999</v>
      </c>
    </row>
    <row r="284" spans="1:3">
      <c r="A284" s="20" t="s">
        <v>1567</v>
      </c>
      <c r="B284" s="44">
        <v>0.57315548145060446</v>
      </c>
      <c r="C284" s="45">
        <v>2.9285714285714284</v>
      </c>
    </row>
    <row r="285" spans="1:3">
      <c r="A285" s="20" t="s">
        <v>1303</v>
      </c>
      <c r="B285" s="44">
        <v>0.57239359158297465</v>
      </c>
      <c r="C285" s="45">
        <v>3.5526315789473686</v>
      </c>
    </row>
    <row r="286" spans="1:3">
      <c r="A286" s="20" t="s">
        <v>1678</v>
      </c>
      <c r="B286" s="44">
        <v>0.57211282597126134</v>
      </c>
      <c r="C286" s="45">
        <v>1.1111111111111112</v>
      </c>
    </row>
    <row r="287" spans="1:3">
      <c r="A287" s="20" t="s">
        <v>1646</v>
      </c>
      <c r="B287" s="44">
        <v>0.57205452775073029</v>
      </c>
      <c r="C287" s="45">
        <v>1.0757575757575757</v>
      </c>
    </row>
    <row r="288" spans="1:3">
      <c r="A288" s="20" t="s">
        <v>1607</v>
      </c>
      <c r="B288" s="44">
        <v>0.5719833434707341</v>
      </c>
      <c r="C288" s="45">
        <v>1.5974025974025974</v>
      </c>
    </row>
    <row r="289" spans="1:3">
      <c r="A289" s="20" t="s">
        <v>1363</v>
      </c>
      <c r="B289" s="44">
        <v>0.57189542483660127</v>
      </c>
      <c r="C289" s="45">
        <v>7</v>
      </c>
    </row>
    <row r="290" spans="1:3">
      <c r="A290" s="20" t="s">
        <v>1296</v>
      </c>
      <c r="B290" s="44">
        <v>0.5714285714285714</v>
      </c>
      <c r="C290" s="45">
        <v>1</v>
      </c>
    </row>
    <row r="291" spans="1:3">
      <c r="A291" s="20" t="s">
        <v>1688</v>
      </c>
      <c r="B291" s="44">
        <v>0.57117060532307451</v>
      </c>
      <c r="C291" s="45">
        <v>4.1025641025641022</v>
      </c>
    </row>
    <row r="292" spans="1:3">
      <c r="A292" s="20" t="s">
        <v>1590</v>
      </c>
      <c r="B292" s="44">
        <v>0.57089750398300587</v>
      </c>
      <c r="C292" s="45">
        <v>3.2702702702702702</v>
      </c>
    </row>
    <row r="293" spans="1:3">
      <c r="A293" s="20" t="s">
        <v>1738</v>
      </c>
      <c r="B293" s="44">
        <v>0.57084670451740316</v>
      </c>
      <c r="C293" s="45">
        <v>1.6666666666666667</v>
      </c>
    </row>
    <row r="294" spans="1:3">
      <c r="A294" s="20" t="s">
        <v>1805</v>
      </c>
      <c r="B294" s="44">
        <v>0.57057016598404831</v>
      </c>
      <c r="C294" s="45">
        <v>2.6739130434782608</v>
      </c>
    </row>
    <row r="295" spans="1:3">
      <c r="A295" s="20" t="s">
        <v>1437</v>
      </c>
      <c r="B295" s="44">
        <v>0.57056113902847572</v>
      </c>
      <c r="C295" s="45">
        <v>1</v>
      </c>
    </row>
    <row r="296" spans="1:3">
      <c r="A296" s="20" t="s">
        <v>1588</v>
      </c>
      <c r="B296" s="44">
        <v>0.57037275064267345</v>
      </c>
      <c r="C296" s="45">
        <v>1</v>
      </c>
    </row>
    <row r="297" spans="1:3">
      <c r="A297" s="20" t="s">
        <v>1325</v>
      </c>
      <c r="B297" s="44">
        <v>0.57035676006737102</v>
      </c>
      <c r="C297" s="45">
        <v>1.6385542168674698</v>
      </c>
    </row>
    <row r="298" spans="1:3">
      <c r="A298" s="20" t="s">
        <v>1612</v>
      </c>
      <c r="B298" s="44">
        <v>0.57023217811670179</v>
      </c>
      <c r="C298" s="45">
        <v>2.2419354838709675</v>
      </c>
    </row>
    <row r="299" spans="1:3">
      <c r="A299" s="20" t="s">
        <v>1806</v>
      </c>
      <c r="B299" s="44">
        <v>0.57017743921908504</v>
      </c>
      <c r="C299" s="45">
        <v>1.8295454545454546</v>
      </c>
    </row>
    <row r="300" spans="1:3">
      <c r="A300" s="20" t="s">
        <v>1584</v>
      </c>
      <c r="B300" s="44">
        <v>0.56995627732667087</v>
      </c>
      <c r="C300" s="45">
        <v>2.4827586206896552</v>
      </c>
    </row>
    <row r="301" spans="1:3">
      <c r="A301" s="20" t="s">
        <v>1811</v>
      </c>
      <c r="B301" s="44">
        <v>0.56985769728331181</v>
      </c>
      <c r="C301" s="45">
        <v>1.5779816513761469</v>
      </c>
    </row>
    <row r="302" spans="1:3">
      <c r="A302" s="20" t="s">
        <v>1732</v>
      </c>
      <c r="B302" s="44">
        <v>0.56949401637623343</v>
      </c>
      <c r="C302" s="45">
        <v>2.8</v>
      </c>
    </row>
    <row r="303" spans="1:3">
      <c r="A303" s="20" t="s">
        <v>1593</v>
      </c>
      <c r="B303" s="44">
        <v>0.56939390136780021</v>
      </c>
      <c r="C303" s="45">
        <v>1.6666666666666667</v>
      </c>
    </row>
    <row r="304" spans="1:3">
      <c r="A304" s="20" t="s">
        <v>1676</v>
      </c>
      <c r="B304" s="44">
        <v>0.56930693069306937</v>
      </c>
      <c r="C304" s="45">
        <v>11</v>
      </c>
    </row>
    <row r="305" spans="1:3">
      <c r="A305" s="20" t="s">
        <v>1681</v>
      </c>
      <c r="B305" s="44">
        <v>0.56904515893757979</v>
      </c>
      <c r="C305" s="45">
        <v>1.7209302325581395</v>
      </c>
    </row>
    <row r="306" spans="1:3">
      <c r="A306" s="20" t="s">
        <v>1656</v>
      </c>
      <c r="B306" s="44">
        <v>0.56893687707641194</v>
      </c>
      <c r="C306" s="45">
        <v>1</v>
      </c>
    </row>
    <row r="307" spans="1:3">
      <c r="A307" s="20" t="s">
        <v>1424</v>
      </c>
      <c r="B307" s="44">
        <v>0.568847526228897</v>
      </c>
      <c r="C307" s="45">
        <v>3.1388888888888888</v>
      </c>
    </row>
    <row r="308" spans="1:3">
      <c r="A308" s="20" t="s">
        <v>1481</v>
      </c>
      <c r="B308" s="44">
        <v>0.56882362433435529</v>
      </c>
      <c r="C308" s="45">
        <v>3.2372881355932202</v>
      </c>
    </row>
    <row r="309" spans="1:3">
      <c r="A309" s="20" t="s">
        <v>1707</v>
      </c>
      <c r="B309" s="44">
        <v>0.56793118659020736</v>
      </c>
      <c r="C309" s="45">
        <v>1.8333333333333333</v>
      </c>
    </row>
    <row r="310" spans="1:3">
      <c r="A310" s="20" t="s">
        <v>1415</v>
      </c>
      <c r="B310" s="44">
        <v>0.56752873563218387</v>
      </c>
      <c r="C310" s="45">
        <v>1.3846153846153846</v>
      </c>
    </row>
    <row r="311" spans="1:3">
      <c r="A311" s="20" t="s">
        <v>1334</v>
      </c>
      <c r="B311" s="44">
        <v>0.56746031746031744</v>
      </c>
      <c r="C311" s="45">
        <v>1.1071428571428572</v>
      </c>
    </row>
    <row r="312" spans="1:3">
      <c r="A312" s="20" t="s">
        <v>1517</v>
      </c>
      <c r="B312" s="44">
        <v>0.56719604964633652</v>
      </c>
      <c r="C312" s="45">
        <v>1.7307692307692308</v>
      </c>
    </row>
    <row r="313" spans="1:3">
      <c r="A313" s="20" t="s">
        <v>1501</v>
      </c>
      <c r="B313" s="44">
        <v>0.56715648362980142</v>
      </c>
      <c r="C313" s="45">
        <v>1.3333333333333333</v>
      </c>
    </row>
    <row r="314" spans="1:3">
      <c r="A314" s="20" t="s">
        <v>1675</v>
      </c>
      <c r="B314" s="44">
        <v>0.56685561853951316</v>
      </c>
      <c r="C314" s="45">
        <v>1</v>
      </c>
    </row>
    <row r="315" spans="1:3">
      <c r="A315" s="20" t="s">
        <v>1812</v>
      </c>
      <c r="B315" s="44">
        <v>0.56644571484894779</v>
      </c>
      <c r="C315" s="45">
        <v>2.4705882352941178</v>
      </c>
    </row>
    <row r="316" spans="1:3">
      <c r="A316" s="20" t="s">
        <v>1315</v>
      </c>
      <c r="B316" s="44">
        <v>0.56632267807701986</v>
      </c>
      <c r="C316" s="45">
        <v>1.5294117647058822</v>
      </c>
    </row>
    <row r="317" spans="1:3">
      <c r="A317" s="20" t="s">
        <v>1794</v>
      </c>
      <c r="B317" s="44">
        <v>0.56592533756949959</v>
      </c>
      <c r="C317" s="45">
        <v>1.3650793650793651</v>
      </c>
    </row>
    <row r="318" spans="1:3">
      <c r="A318" s="20" t="s">
        <v>1369</v>
      </c>
      <c r="B318" s="44">
        <v>0.56539131812420784</v>
      </c>
      <c r="C318" s="45">
        <v>2.7868852459016393</v>
      </c>
    </row>
    <row r="319" spans="1:3">
      <c r="A319" s="20" t="s">
        <v>1793</v>
      </c>
      <c r="B319" s="44">
        <v>0.56511572130950949</v>
      </c>
      <c r="C319" s="45">
        <v>1.975609756097561</v>
      </c>
    </row>
    <row r="320" spans="1:3">
      <c r="A320" s="20" t="s">
        <v>1301</v>
      </c>
      <c r="B320" s="44">
        <v>0.5650426921145153</v>
      </c>
      <c r="C320" s="45">
        <v>2.625</v>
      </c>
    </row>
    <row r="321" spans="1:3">
      <c r="A321" s="20" t="s">
        <v>1742</v>
      </c>
      <c r="B321" s="44">
        <v>0.56473433912758275</v>
      </c>
      <c r="C321" s="45">
        <v>1.7592592592592593</v>
      </c>
    </row>
    <row r="322" spans="1:3">
      <c r="A322" s="20" t="s">
        <v>1358</v>
      </c>
      <c r="B322" s="44">
        <v>0.56415355351893481</v>
      </c>
      <c r="C322" s="45">
        <v>2.0681818181818183</v>
      </c>
    </row>
    <row r="323" spans="1:3">
      <c r="A323" s="20" t="s">
        <v>1380</v>
      </c>
      <c r="B323" s="44">
        <v>0.56378865979381443</v>
      </c>
      <c r="C323" s="45">
        <v>1.22</v>
      </c>
    </row>
    <row r="324" spans="1:3">
      <c r="A324" s="20" t="s">
        <v>1809</v>
      </c>
      <c r="B324" s="44">
        <v>0.56348221670802312</v>
      </c>
      <c r="C324" s="45">
        <v>2.25</v>
      </c>
    </row>
    <row r="325" spans="1:3">
      <c r="A325" s="20" t="s">
        <v>1454</v>
      </c>
      <c r="B325" s="44">
        <v>0.56306306306306297</v>
      </c>
      <c r="C325" s="45" t="e">
        <v>#DIV/0!</v>
      </c>
    </row>
    <row r="326" spans="1:3">
      <c r="A326" s="20" t="s">
        <v>1494</v>
      </c>
      <c r="B326" s="44">
        <v>0.56266977105161042</v>
      </c>
      <c r="C326" s="45">
        <v>1.972972972972973</v>
      </c>
    </row>
    <row r="327" spans="1:3">
      <c r="A327" s="20" t="s">
        <v>1495</v>
      </c>
      <c r="B327" s="44">
        <v>0.56138933764135701</v>
      </c>
      <c r="C327" s="45">
        <v>1</v>
      </c>
    </row>
    <row r="328" spans="1:3">
      <c r="A328" s="20" t="s">
        <v>1417</v>
      </c>
      <c r="B328" s="44">
        <v>0.56122448979591844</v>
      </c>
      <c r="C328" s="45">
        <v>3.2083333333333335</v>
      </c>
    </row>
    <row r="329" spans="1:3">
      <c r="A329" s="20" t="s">
        <v>1338</v>
      </c>
      <c r="B329" s="44">
        <v>0.56100846805234794</v>
      </c>
      <c r="C329" s="45">
        <v>1.9210526315789473</v>
      </c>
    </row>
    <row r="330" spans="1:3">
      <c r="A330" s="20" t="s">
        <v>1505</v>
      </c>
      <c r="B330" s="44">
        <v>0.56095512359011279</v>
      </c>
      <c r="C330" s="45">
        <v>2.2380952380952381</v>
      </c>
    </row>
    <row r="331" spans="1:3">
      <c r="A331" s="20" t="s">
        <v>1685</v>
      </c>
      <c r="B331" s="44">
        <v>0.5606769400110071</v>
      </c>
      <c r="C331" s="45">
        <v>1</v>
      </c>
    </row>
    <row r="332" spans="1:3">
      <c r="A332" s="20" t="s">
        <v>1833</v>
      </c>
      <c r="B332" s="44">
        <v>0.56063735615225729</v>
      </c>
      <c r="C332" s="45">
        <v>2.536</v>
      </c>
    </row>
    <row r="333" spans="1:3">
      <c r="A333" s="20" t="s">
        <v>1328</v>
      </c>
      <c r="B333" s="44">
        <v>0.56062001715211385</v>
      </c>
      <c r="C333" s="45">
        <v>2.0426829268292681</v>
      </c>
    </row>
    <row r="334" spans="1:3">
      <c r="A334" s="20" t="s">
        <v>1498</v>
      </c>
      <c r="B334" s="44">
        <v>0.56008146639511203</v>
      </c>
      <c r="C334" s="45">
        <v>4</v>
      </c>
    </row>
    <row r="335" spans="1:3">
      <c r="A335" s="20" t="s">
        <v>1343</v>
      </c>
      <c r="B335" s="44">
        <v>0.55958998266690574</v>
      </c>
      <c r="C335" s="45">
        <v>2.831168831168831</v>
      </c>
    </row>
    <row r="336" spans="1:3">
      <c r="A336" s="20" t="s">
        <v>1502</v>
      </c>
      <c r="B336" s="44">
        <v>0.55950942213866883</v>
      </c>
      <c r="C336" s="45">
        <v>1.6734693877551021</v>
      </c>
    </row>
    <row r="337" spans="1:3">
      <c r="A337" s="20" t="s">
        <v>1405</v>
      </c>
      <c r="B337" s="44">
        <v>0.55929179247872629</v>
      </c>
      <c r="C337" s="45">
        <v>2.2592592592592591</v>
      </c>
    </row>
    <row r="338" spans="1:3">
      <c r="A338" s="20" t="s">
        <v>1626</v>
      </c>
      <c r="B338" s="44">
        <v>0.55923777961888976</v>
      </c>
      <c r="C338" s="45">
        <v>3.4444444444444446</v>
      </c>
    </row>
    <row r="339" spans="1:3">
      <c r="A339" s="20" t="s">
        <v>1346</v>
      </c>
      <c r="B339" s="44">
        <v>0.55922156358349184</v>
      </c>
      <c r="C339" s="45">
        <v>1.3823529411764706</v>
      </c>
    </row>
    <row r="340" spans="1:3">
      <c r="A340" s="20" t="s">
        <v>1693</v>
      </c>
      <c r="B340" s="44">
        <v>0.55897602073882047</v>
      </c>
      <c r="C340" s="45">
        <v>1</v>
      </c>
    </row>
    <row r="341" spans="1:3">
      <c r="A341" s="20" t="s">
        <v>1597</v>
      </c>
      <c r="B341" s="44">
        <v>0.55868733642037449</v>
      </c>
      <c r="C341" s="45">
        <v>1.4583333333333333</v>
      </c>
    </row>
    <row r="342" spans="1:3">
      <c r="A342" s="20" t="s">
        <v>1850</v>
      </c>
      <c r="B342" s="44">
        <v>0.55851063829787229</v>
      </c>
      <c r="C342" s="45">
        <v>1</v>
      </c>
    </row>
    <row r="343" spans="1:3">
      <c r="A343" s="20" t="s">
        <v>1416</v>
      </c>
      <c r="B343" s="44">
        <v>0.55822043768773377</v>
      </c>
      <c r="C343" s="45">
        <v>2.2471264367816093</v>
      </c>
    </row>
    <row r="344" spans="1:3">
      <c r="A344" s="20" t="s">
        <v>1459</v>
      </c>
      <c r="B344" s="44">
        <v>0.55791220951678344</v>
      </c>
      <c r="C344" s="45">
        <v>2.0434782608695654</v>
      </c>
    </row>
    <row r="345" spans="1:3">
      <c r="A345" s="20" t="s">
        <v>1357</v>
      </c>
      <c r="B345" s="44">
        <v>0.55757070731826874</v>
      </c>
      <c r="C345" s="45">
        <v>1.4555555555555555</v>
      </c>
    </row>
    <row r="346" spans="1:3">
      <c r="A346" s="20" t="s">
        <v>1854</v>
      </c>
      <c r="B346" s="44">
        <v>0.55746140651801024</v>
      </c>
      <c r="C346" s="45">
        <v>2.0909090909090908</v>
      </c>
    </row>
    <row r="347" spans="1:3">
      <c r="A347" s="20" t="s">
        <v>1556</v>
      </c>
      <c r="B347" s="44">
        <v>0.55716275581270758</v>
      </c>
      <c r="C347" s="45">
        <v>1.6226415094339623</v>
      </c>
    </row>
    <row r="348" spans="1:3">
      <c r="A348" s="20" t="s">
        <v>1413</v>
      </c>
      <c r="B348" s="44">
        <v>0.55702140134857814</v>
      </c>
      <c r="C348" s="45">
        <v>1.5652173913043479</v>
      </c>
    </row>
    <row r="349" spans="1:3">
      <c r="A349" s="20" t="s">
        <v>1547</v>
      </c>
      <c r="B349" s="44">
        <v>0.55694075559650924</v>
      </c>
      <c r="C349" s="45">
        <v>1.8873239436619718</v>
      </c>
    </row>
    <row r="350" spans="1:3">
      <c r="A350" s="20" t="s">
        <v>1542</v>
      </c>
      <c r="B350" s="44">
        <v>0.55682035279882824</v>
      </c>
      <c r="C350" s="45">
        <v>1.7317073170731707</v>
      </c>
    </row>
    <row r="351" spans="1:3">
      <c r="A351" s="20" t="s">
        <v>1316</v>
      </c>
      <c r="B351" s="44">
        <v>0.55677359796907455</v>
      </c>
      <c r="C351" s="45">
        <v>2.4</v>
      </c>
    </row>
    <row r="352" spans="1:3">
      <c r="A352" s="20" t="s">
        <v>1780</v>
      </c>
      <c r="B352" s="44">
        <v>0.5565796937039138</v>
      </c>
      <c r="C352" s="45">
        <v>2.5750000000000002</v>
      </c>
    </row>
    <row r="353" spans="1:3">
      <c r="A353" s="20" t="s">
        <v>1845</v>
      </c>
      <c r="B353" s="44">
        <v>0.55645636792452824</v>
      </c>
      <c r="C353" s="45">
        <v>1.4827586206896552</v>
      </c>
    </row>
    <row r="354" spans="1:3">
      <c r="A354" s="20" t="s">
        <v>1642</v>
      </c>
      <c r="B354" s="44">
        <v>0.55637982195845692</v>
      </c>
      <c r="C354" s="45">
        <v>0.9</v>
      </c>
    </row>
    <row r="355" spans="1:3">
      <c r="A355" s="20" t="s">
        <v>1599</v>
      </c>
      <c r="B355" s="44">
        <v>0.55593652037617558</v>
      </c>
      <c r="C355" s="45">
        <v>1.2061855670103092</v>
      </c>
    </row>
    <row r="356" spans="1:3">
      <c r="A356" s="20" t="s">
        <v>1433</v>
      </c>
      <c r="B356" s="44">
        <v>0.55508564178473252</v>
      </c>
      <c r="C356" s="45">
        <v>1.7066666666666668</v>
      </c>
    </row>
    <row r="357" spans="1:3">
      <c r="A357" s="20" t="s">
        <v>1763</v>
      </c>
      <c r="B357" s="44">
        <v>0.55498414331019108</v>
      </c>
      <c r="C357" s="45">
        <v>1.1095890410958904</v>
      </c>
    </row>
    <row r="358" spans="1:3">
      <c r="A358" s="20" t="s">
        <v>1728</v>
      </c>
      <c r="B358" s="44">
        <v>0.55496688741721856</v>
      </c>
      <c r="C358" s="45">
        <v>1.0916666666666666</v>
      </c>
    </row>
    <row r="359" spans="1:3">
      <c r="A359" s="20" t="s">
        <v>1330</v>
      </c>
      <c r="B359" s="44">
        <v>0.55481727574750828</v>
      </c>
      <c r="C359" s="45">
        <v>4.3157894736842106</v>
      </c>
    </row>
    <row r="360" spans="1:3">
      <c r="A360" s="20" t="s">
        <v>1629</v>
      </c>
      <c r="B360" s="44">
        <v>0.55404098144402425</v>
      </c>
      <c r="C360" s="45">
        <v>1.6744186046511629</v>
      </c>
    </row>
    <row r="361" spans="1:3">
      <c r="A361" s="20" t="s">
        <v>1594</v>
      </c>
      <c r="B361" s="44">
        <v>0.55393530793121737</v>
      </c>
      <c r="C361" s="45">
        <v>1.4406779661016949</v>
      </c>
    </row>
    <row r="362" spans="1:3">
      <c r="A362" s="20" t="s">
        <v>1313</v>
      </c>
      <c r="B362" s="44">
        <v>0.55372061394987371</v>
      </c>
      <c r="C362" s="45">
        <v>1.3333333333333333</v>
      </c>
    </row>
    <row r="363" spans="1:3">
      <c r="A363" s="20" t="s">
        <v>1741</v>
      </c>
      <c r="B363" s="44">
        <v>0.55361305361305357</v>
      </c>
      <c r="C363" s="45">
        <v>2.5</v>
      </c>
    </row>
    <row r="364" spans="1:3">
      <c r="A364" s="20" t="s">
        <v>1605</v>
      </c>
      <c r="B364" s="44">
        <v>0.55351854463404315</v>
      </c>
      <c r="C364" s="45">
        <v>1.7377049180327868</v>
      </c>
    </row>
    <row r="365" spans="1:3">
      <c r="A365" s="20" t="s">
        <v>1800</v>
      </c>
      <c r="B365" s="44">
        <v>0.55341674687199227</v>
      </c>
      <c r="C365" s="45">
        <v>2</v>
      </c>
    </row>
    <row r="366" spans="1:3">
      <c r="A366" s="20" t="s">
        <v>1816</v>
      </c>
      <c r="B366" s="44">
        <v>0.5527922781443908</v>
      </c>
      <c r="C366" s="45">
        <v>1.3571428571428572</v>
      </c>
    </row>
    <row r="367" spans="1:3">
      <c r="A367" s="20" t="s">
        <v>1585</v>
      </c>
      <c r="B367" s="44">
        <v>0.55274725274725278</v>
      </c>
      <c r="C367" s="45">
        <v>1.6029411764705883</v>
      </c>
    </row>
    <row r="368" spans="1:3">
      <c r="A368" s="20" t="s">
        <v>1432</v>
      </c>
      <c r="B368" s="44">
        <v>0.55262377076975244</v>
      </c>
      <c r="C368" s="45">
        <v>2.0666666666666669</v>
      </c>
    </row>
    <row r="369" spans="1:3">
      <c r="A369" s="20" t="s">
        <v>1784</v>
      </c>
      <c r="B369" s="44">
        <v>0.55223690899847488</v>
      </c>
      <c r="C369" s="45">
        <v>3.378640776699029</v>
      </c>
    </row>
    <row r="370" spans="1:3">
      <c r="A370" s="20" t="s">
        <v>1694</v>
      </c>
      <c r="B370" s="44">
        <v>0.55178268251273344</v>
      </c>
      <c r="C370" s="45">
        <v>3.1304347826086958</v>
      </c>
    </row>
    <row r="371" spans="1:3">
      <c r="A371" s="20" t="s">
        <v>1666</v>
      </c>
      <c r="B371" s="44">
        <v>0.5515866750868329</v>
      </c>
      <c r="C371" s="45">
        <v>2.3333333333333335</v>
      </c>
    </row>
    <row r="372" spans="1:3">
      <c r="A372" s="20" t="s">
        <v>1365</v>
      </c>
      <c r="B372" s="44">
        <v>0.55153831982313928</v>
      </c>
      <c r="C372" s="45">
        <v>1.1086956521739131</v>
      </c>
    </row>
    <row r="373" spans="1:3">
      <c r="A373" s="20" t="s">
        <v>1730</v>
      </c>
      <c r="B373" s="44">
        <v>0.55096036416120797</v>
      </c>
      <c r="C373" s="45">
        <v>1.6014492753623188</v>
      </c>
    </row>
    <row r="374" spans="1:3">
      <c r="A374" s="20" t="s">
        <v>1652</v>
      </c>
      <c r="B374" s="44">
        <v>0.55062166962699821</v>
      </c>
      <c r="C374" s="45">
        <v>1.9230769230769231</v>
      </c>
    </row>
    <row r="375" spans="1:3">
      <c r="A375" s="20" t="s">
        <v>1778</v>
      </c>
      <c r="B375" s="44">
        <v>0.55050421557282192</v>
      </c>
      <c r="C375" s="45">
        <v>1.3377483443708609</v>
      </c>
    </row>
    <row r="376" spans="1:3">
      <c r="A376" s="20" t="s">
        <v>1398</v>
      </c>
      <c r="B376" s="44">
        <v>0.55009363295880143</v>
      </c>
      <c r="C376" s="45">
        <v>1.8627450980392157</v>
      </c>
    </row>
    <row r="377" spans="1:3">
      <c r="A377" s="20" t="s">
        <v>1610</v>
      </c>
      <c r="B377" s="44">
        <v>0.54853240337111298</v>
      </c>
      <c r="C377" s="45">
        <v>1.3846153846153846</v>
      </c>
    </row>
    <row r="378" spans="1:3">
      <c r="A378" s="20" t="s">
        <v>1821</v>
      </c>
      <c r="B378" s="44">
        <v>0.54820277397929285</v>
      </c>
      <c r="C378" s="45">
        <v>2.024390243902439</v>
      </c>
    </row>
    <row r="379" spans="1:3">
      <c r="A379" s="20" t="s">
        <v>1740</v>
      </c>
      <c r="B379" s="44">
        <v>0.54799861375844738</v>
      </c>
      <c r="C379" s="45">
        <v>3</v>
      </c>
    </row>
    <row r="380" spans="1:3">
      <c r="A380" s="20" t="s">
        <v>1379</v>
      </c>
      <c r="B380" s="44">
        <v>0.54795282599020922</v>
      </c>
      <c r="C380" s="45">
        <v>2.1698113207547172</v>
      </c>
    </row>
    <row r="381" spans="1:3">
      <c r="A381" s="20" t="s">
        <v>1448</v>
      </c>
      <c r="B381" s="44">
        <v>0.54792187145128324</v>
      </c>
      <c r="C381" s="45">
        <v>2</v>
      </c>
    </row>
    <row r="382" spans="1:3">
      <c r="A382" s="20" t="s">
        <v>1354</v>
      </c>
      <c r="B382" s="44">
        <v>0.547583081570997</v>
      </c>
      <c r="C382" s="45">
        <v>1.3571428571428572</v>
      </c>
    </row>
    <row r="383" spans="1:3">
      <c r="A383" s="20" t="s">
        <v>1759</v>
      </c>
      <c r="B383" s="44">
        <v>0.54754321296925879</v>
      </c>
      <c r="C383" s="45">
        <v>1.9320987654320987</v>
      </c>
    </row>
    <row r="384" spans="1:3">
      <c r="A384" s="20" t="s">
        <v>1309</v>
      </c>
      <c r="B384" s="44">
        <v>0.54691737479660096</v>
      </c>
      <c r="C384" s="45">
        <v>1.8787878787878789</v>
      </c>
    </row>
    <row r="385" spans="1:3">
      <c r="A385" s="20" t="s">
        <v>1450</v>
      </c>
      <c r="B385" s="44">
        <v>0.5467825519239401</v>
      </c>
      <c r="C385" s="45">
        <v>2.1973684210526314</v>
      </c>
    </row>
    <row r="386" spans="1:3">
      <c r="A386" s="20" t="s">
        <v>1500</v>
      </c>
      <c r="B386" s="44">
        <v>0.54644808743169393</v>
      </c>
      <c r="C386" s="45">
        <v>1</v>
      </c>
    </row>
    <row r="387" spans="1:3">
      <c r="A387" s="20" t="s">
        <v>1820</v>
      </c>
      <c r="B387" s="44">
        <v>0.54622815087396503</v>
      </c>
      <c r="C387" s="45">
        <v>0.65217391304347827</v>
      </c>
    </row>
    <row r="388" spans="1:3">
      <c r="A388" s="20" t="s">
        <v>1791</v>
      </c>
      <c r="B388" s="44">
        <v>0.54572226607565733</v>
      </c>
      <c r="C388" s="45">
        <v>3.1351351351351351</v>
      </c>
    </row>
    <row r="389" spans="1:3">
      <c r="A389" s="20" t="s">
        <v>1499</v>
      </c>
      <c r="B389" s="44">
        <v>0.54545454545454541</v>
      </c>
      <c r="C389" s="45">
        <v>2.3333333333333335</v>
      </c>
    </row>
    <row r="390" spans="1:3">
      <c r="A390" s="20" t="s">
        <v>1290</v>
      </c>
      <c r="B390" s="44">
        <v>0.54537923416789391</v>
      </c>
      <c r="C390" s="45">
        <v>1.9375</v>
      </c>
    </row>
    <row r="391" spans="1:3">
      <c r="A391" s="20" t="s">
        <v>1844</v>
      </c>
      <c r="B391" s="44">
        <v>0.54500950905120804</v>
      </c>
      <c r="C391" s="45">
        <v>1.8133333333333332</v>
      </c>
    </row>
    <row r="392" spans="1:3">
      <c r="A392" s="20" t="s">
        <v>1523</v>
      </c>
      <c r="B392" s="44">
        <v>0.54496110530593289</v>
      </c>
      <c r="C392" s="45">
        <v>1.7974683544303798</v>
      </c>
    </row>
    <row r="393" spans="1:3">
      <c r="A393" s="20" t="s">
        <v>1533</v>
      </c>
      <c r="B393" s="44">
        <v>0.5447941888619855</v>
      </c>
      <c r="C393" s="45">
        <v>2.8461538461538463</v>
      </c>
    </row>
    <row r="394" spans="1:3">
      <c r="A394" s="20" t="s">
        <v>1855</v>
      </c>
      <c r="B394" s="44">
        <v>0.54456814881405158</v>
      </c>
      <c r="C394" s="45">
        <v>1.1884057971014492</v>
      </c>
    </row>
    <row r="395" spans="1:3">
      <c r="A395" s="20" t="s">
        <v>1663</v>
      </c>
      <c r="B395" s="44">
        <v>0.54456506213398082</v>
      </c>
      <c r="C395" s="45">
        <v>2.5789473684210527</v>
      </c>
    </row>
    <row r="396" spans="1:3">
      <c r="A396" s="20" t="s">
        <v>1336</v>
      </c>
      <c r="B396" s="44">
        <v>0.54431229618262045</v>
      </c>
      <c r="C396" s="45">
        <v>1.7457627118644068</v>
      </c>
    </row>
    <row r="397" spans="1:3">
      <c r="A397" s="20" t="s">
        <v>1515</v>
      </c>
      <c r="B397" s="44">
        <v>0.54395895984433051</v>
      </c>
      <c r="C397" s="45">
        <v>1.3609756097560977</v>
      </c>
    </row>
    <row r="398" spans="1:3">
      <c r="A398" s="20" t="s">
        <v>1539</v>
      </c>
      <c r="B398" s="44">
        <v>0.5438871473354232</v>
      </c>
      <c r="C398" s="45">
        <v>1.588235294117647</v>
      </c>
    </row>
    <row r="399" spans="1:3">
      <c r="A399" s="20" t="s">
        <v>1618</v>
      </c>
      <c r="B399" s="44">
        <v>0.54368591988791948</v>
      </c>
      <c r="C399" s="45">
        <v>2.3043478260869565</v>
      </c>
    </row>
    <row r="400" spans="1:3">
      <c r="A400" s="20" t="s">
        <v>1479</v>
      </c>
      <c r="B400" s="44">
        <v>0.5432489451476793</v>
      </c>
      <c r="C400" s="45">
        <v>1.8333333333333333</v>
      </c>
    </row>
    <row r="401" spans="1:3">
      <c r="A401" s="20" t="s">
        <v>1471</v>
      </c>
      <c r="B401" s="44">
        <v>0.54247782674178613</v>
      </c>
      <c r="C401" s="45">
        <v>1.1975308641975309</v>
      </c>
    </row>
    <row r="402" spans="1:3">
      <c r="A402" s="20" t="s">
        <v>1519</v>
      </c>
      <c r="B402" s="44">
        <v>0.54207119741100318</v>
      </c>
      <c r="C402" s="45">
        <v>4.32</v>
      </c>
    </row>
    <row r="403" spans="1:3">
      <c r="A403" s="20" t="s">
        <v>1737</v>
      </c>
      <c r="B403" s="44">
        <v>0.54149269311064718</v>
      </c>
      <c r="C403" s="45">
        <v>1.6448598130841121</v>
      </c>
    </row>
    <row r="404" spans="1:3">
      <c r="A404" s="20" t="s">
        <v>1314</v>
      </c>
      <c r="B404" s="44">
        <v>0.54141400679682816</v>
      </c>
      <c r="C404" s="45">
        <v>2.9279279279279278</v>
      </c>
    </row>
    <row r="405" spans="1:3">
      <c r="A405" s="20" t="s">
        <v>1689</v>
      </c>
      <c r="B405" s="44">
        <v>0.54096148720682302</v>
      </c>
      <c r="C405" s="45">
        <v>1.8656716417910448</v>
      </c>
    </row>
    <row r="406" spans="1:3">
      <c r="A406" s="20" t="s">
        <v>1789</v>
      </c>
      <c r="B406" s="44">
        <v>0.54087689067585676</v>
      </c>
      <c r="C406" s="45">
        <v>1.2307692307692308</v>
      </c>
    </row>
    <row r="407" spans="1:3">
      <c r="A407" s="20" t="s">
        <v>1384</v>
      </c>
      <c r="B407" s="44">
        <v>0.54016620498614953</v>
      </c>
      <c r="C407" s="45">
        <v>1.8695652173913044</v>
      </c>
    </row>
    <row r="408" spans="1:3">
      <c r="A408" s="20" t="s">
        <v>1508</v>
      </c>
      <c r="B408" s="44">
        <v>0.54012932674020542</v>
      </c>
      <c r="C408" s="45">
        <v>1.6666666666666667</v>
      </c>
    </row>
    <row r="409" spans="1:3">
      <c r="A409" s="20" t="s">
        <v>1774</v>
      </c>
      <c r="B409" s="44">
        <v>0.53980932749291421</v>
      </c>
      <c r="C409" s="45">
        <v>1.8932584269662922</v>
      </c>
    </row>
    <row r="410" spans="1:3">
      <c r="A410" s="20" t="s">
        <v>1347</v>
      </c>
      <c r="B410" s="44">
        <v>0.53967105764105683</v>
      </c>
      <c r="C410" s="45">
        <v>1.2763157894736843</v>
      </c>
    </row>
    <row r="411" spans="1:3">
      <c r="A411" s="20" t="s">
        <v>1575</v>
      </c>
      <c r="B411" s="44">
        <v>0.53928983002016706</v>
      </c>
      <c r="C411" s="45">
        <v>1.611764705882353</v>
      </c>
    </row>
    <row r="412" spans="1:3">
      <c r="A412" s="20" t="s">
        <v>1576</v>
      </c>
      <c r="B412" s="44">
        <v>0.53899387809422417</v>
      </c>
      <c r="C412" s="45">
        <v>1.5769230769230769</v>
      </c>
    </row>
    <row r="413" spans="1:3">
      <c r="A413" s="20" t="s">
        <v>1461</v>
      </c>
      <c r="B413" s="44">
        <v>0.53895435839880279</v>
      </c>
      <c r="C413" s="45">
        <v>2.3488372093023258</v>
      </c>
    </row>
    <row r="414" spans="1:3">
      <c r="A414" s="20" t="s">
        <v>1421</v>
      </c>
      <c r="B414" s="44">
        <v>0.53894297635605004</v>
      </c>
      <c r="C414" s="45">
        <v>1.7</v>
      </c>
    </row>
    <row r="415" spans="1:3">
      <c r="A415" s="20" t="s">
        <v>1624</v>
      </c>
      <c r="B415" s="44">
        <v>0.53890037522015466</v>
      </c>
      <c r="C415" s="45">
        <v>2.0718232044198897</v>
      </c>
    </row>
    <row r="416" spans="1:3">
      <c r="A416" s="20" t="s">
        <v>1524</v>
      </c>
      <c r="B416" s="44">
        <v>0.5388168022872224</v>
      </c>
      <c r="C416" s="45">
        <v>1</v>
      </c>
    </row>
    <row r="417" spans="1:3">
      <c r="A417" s="20" t="s">
        <v>1782</v>
      </c>
      <c r="B417" s="44">
        <v>0.53824844479004663</v>
      </c>
      <c r="C417" s="45">
        <v>1.2830188679245282</v>
      </c>
    </row>
    <row r="418" spans="1:3">
      <c r="A418" s="20" t="s">
        <v>1635</v>
      </c>
      <c r="B418" s="44">
        <v>0.53814876823726376</v>
      </c>
      <c r="C418" s="45">
        <v>3.9459459459459461</v>
      </c>
    </row>
    <row r="419" spans="1:3">
      <c r="A419" s="20" t="s">
        <v>1412</v>
      </c>
      <c r="B419" s="44">
        <v>0.5376344086021505</v>
      </c>
      <c r="C419" s="45">
        <v>2</v>
      </c>
    </row>
    <row r="420" spans="1:3">
      <c r="A420" s="20" t="s">
        <v>1815</v>
      </c>
      <c r="B420" s="44">
        <v>0.53747650375939848</v>
      </c>
      <c r="C420" s="45">
        <v>1.56</v>
      </c>
    </row>
    <row r="421" spans="1:3">
      <c r="A421" s="20" t="s">
        <v>1643</v>
      </c>
      <c r="B421" s="44">
        <v>0.53710760297586646</v>
      </c>
      <c r="C421" s="45">
        <v>2.059171597633136</v>
      </c>
    </row>
    <row r="422" spans="1:3">
      <c r="A422" s="20" t="s">
        <v>1521</v>
      </c>
      <c r="B422" s="44">
        <v>0.53697249791650881</v>
      </c>
      <c r="C422" s="45">
        <v>1.2745098039215685</v>
      </c>
    </row>
    <row r="423" spans="1:3">
      <c r="A423" s="20" t="s">
        <v>1537</v>
      </c>
      <c r="B423" s="44">
        <v>0.53685432385374343</v>
      </c>
      <c r="C423" s="45">
        <v>1.3793103448275863</v>
      </c>
    </row>
    <row r="424" spans="1:3">
      <c r="A424" s="20" t="s">
        <v>1331</v>
      </c>
      <c r="B424" s="44">
        <v>0.53652583740111093</v>
      </c>
      <c r="C424" s="45">
        <v>2.8039215686274508</v>
      </c>
    </row>
    <row r="425" spans="1:3">
      <c r="A425" s="20" t="s">
        <v>1736</v>
      </c>
      <c r="B425" s="44">
        <v>0.53606237816764135</v>
      </c>
      <c r="C425" s="45">
        <v>1.5294117647058822</v>
      </c>
    </row>
    <row r="426" spans="1:3">
      <c r="A426" s="20" t="s">
        <v>1344</v>
      </c>
      <c r="B426" s="44">
        <v>0.53585067786900897</v>
      </c>
      <c r="C426" s="45">
        <v>1.84</v>
      </c>
    </row>
    <row r="427" spans="1:3">
      <c r="A427" s="20" t="s">
        <v>1573</v>
      </c>
      <c r="B427" s="44">
        <v>0.53465199286139209</v>
      </c>
      <c r="C427" s="45">
        <v>1.4507042253521127</v>
      </c>
    </row>
    <row r="428" spans="1:3">
      <c r="A428" s="20" t="s">
        <v>1391</v>
      </c>
      <c r="B428" s="44">
        <v>0.53418803418803418</v>
      </c>
      <c r="C428" s="45">
        <v>3.5</v>
      </c>
    </row>
    <row r="429" spans="1:3">
      <c r="A429" s="20" t="s">
        <v>1426</v>
      </c>
      <c r="B429" s="44">
        <v>0.5337054250097728</v>
      </c>
      <c r="C429" s="45">
        <v>2.8321678321678321</v>
      </c>
    </row>
    <row r="430" spans="1:3">
      <c r="A430" s="20" t="s">
        <v>1767</v>
      </c>
      <c r="B430" s="44">
        <v>0.53339319309047373</v>
      </c>
      <c r="C430" s="45">
        <v>1.9083333333333334</v>
      </c>
    </row>
    <row r="431" spans="1:3">
      <c r="A431" s="20" t="s">
        <v>1726</v>
      </c>
      <c r="B431" s="44">
        <v>0.53167420814479638</v>
      </c>
      <c r="C431" s="45">
        <v>1.5789473684210527</v>
      </c>
    </row>
    <row r="432" spans="1:3">
      <c r="A432" s="20" t="s">
        <v>1569</v>
      </c>
      <c r="B432" s="44">
        <v>0.53137651821862353</v>
      </c>
      <c r="C432" s="45">
        <v>2</v>
      </c>
    </row>
    <row r="433" spans="1:3">
      <c r="A433" s="20" t="s">
        <v>1690</v>
      </c>
      <c r="B433" s="44">
        <v>0.53131991051454142</v>
      </c>
      <c r="C433" s="45">
        <v>4.8947368421052628</v>
      </c>
    </row>
    <row r="434" spans="1:3">
      <c r="A434" s="20" t="s">
        <v>1442</v>
      </c>
      <c r="B434" s="44">
        <v>0.53125</v>
      </c>
      <c r="C434" s="45">
        <v>2.152542372881356</v>
      </c>
    </row>
    <row r="435" spans="1:3">
      <c r="A435" s="20" t="s">
        <v>1671</v>
      </c>
      <c r="B435" s="44">
        <v>0.53121720881427081</v>
      </c>
      <c r="C435" s="45">
        <v>0.7857142857142857</v>
      </c>
    </row>
    <row r="436" spans="1:3">
      <c r="A436" s="20" t="s">
        <v>1385</v>
      </c>
      <c r="B436" s="44">
        <v>0.53105401577989075</v>
      </c>
      <c r="C436" s="45">
        <v>1.9207920792079207</v>
      </c>
    </row>
    <row r="437" spans="1:3">
      <c r="A437" s="20" t="s">
        <v>1632</v>
      </c>
      <c r="B437" s="44">
        <v>0.53058117668129312</v>
      </c>
      <c r="C437" s="45">
        <v>2.7972972972972974</v>
      </c>
    </row>
    <row r="438" spans="1:3">
      <c r="A438" s="20" t="s">
        <v>1485</v>
      </c>
      <c r="B438" s="44">
        <v>0.53030303030303028</v>
      </c>
      <c r="C438" s="45">
        <v>1</v>
      </c>
    </row>
    <row r="439" spans="1:3">
      <c r="A439" s="20" t="s">
        <v>1790</v>
      </c>
      <c r="B439" s="44">
        <v>0.53022606045212095</v>
      </c>
      <c r="C439" s="45">
        <v>1.4339622641509433</v>
      </c>
    </row>
    <row r="440" spans="1:3">
      <c r="A440" s="20" t="s">
        <v>1622</v>
      </c>
      <c r="B440" s="44">
        <v>0.53009106868553868</v>
      </c>
      <c r="C440" s="45">
        <v>1.8888888888888888</v>
      </c>
    </row>
    <row r="441" spans="1:3">
      <c r="A441" s="20" t="s">
        <v>1746</v>
      </c>
      <c r="B441" s="44">
        <v>0.52969683308914683</v>
      </c>
      <c r="C441" s="45">
        <v>1.2391304347826086</v>
      </c>
    </row>
    <row r="442" spans="1:3">
      <c r="A442" s="20" t="s">
        <v>1670</v>
      </c>
      <c r="B442" s="44">
        <v>0.52897247960171478</v>
      </c>
      <c r="C442" s="45">
        <v>2.0185185185185186</v>
      </c>
    </row>
    <row r="443" spans="1:3">
      <c r="A443" s="20" t="s">
        <v>1312</v>
      </c>
      <c r="B443" s="44">
        <v>0.52806712962962965</v>
      </c>
      <c r="C443" s="45">
        <v>0.6428571428571429</v>
      </c>
    </row>
    <row r="444" spans="1:3">
      <c r="A444" s="20" t="s">
        <v>1832</v>
      </c>
      <c r="B444" s="44">
        <v>0.52791262135922334</v>
      </c>
      <c r="C444" s="45">
        <v>1.6666666666666667</v>
      </c>
    </row>
    <row r="445" spans="1:3">
      <c r="A445" s="20" t="s">
        <v>1367</v>
      </c>
      <c r="B445" s="44">
        <v>0.52701900237529697</v>
      </c>
      <c r="C445" s="45">
        <v>4.04</v>
      </c>
    </row>
    <row r="446" spans="1:3">
      <c r="A446" s="20" t="s">
        <v>1623</v>
      </c>
      <c r="B446" s="44">
        <v>0.52686714320926797</v>
      </c>
      <c r="C446" s="45">
        <v>3.2105263157894739</v>
      </c>
    </row>
    <row r="447" spans="1:3">
      <c r="A447" s="20" t="s">
        <v>1638</v>
      </c>
      <c r="B447" s="44">
        <v>0.5265990159901599</v>
      </c>
      <c r="C447" s="45">
        <v>4.5238095238095237</v>
      </c>
    </row>
    <row r="448" spans="1:3">
      <c r="A448" s="20" t="s">
        <v>1549</v>
      </c>
      <c r="B448" s="44">
        <v>0.52628300946686601</v>
      </c>
      <c r="C448" s="45">
        <v>1.5</v>
      </c>
    </row>
    <row r="449" spans="1:3">
      <c r="A449" s="20" t="s">
        <v>1810</v>
      </c>
      <c r="B449" s="44">
        <v>0.52544247787610621</v>
      </c>
      <c r="C449" s="45">
        <v>1.4358974358974359</v>
      </c>
    </row>
    <row r="450" spans="1:3">
      <c r="A450" s="20" t="s">
        <v>1387</v>
      </c>
      <c r="B450" s="44">
        <v>0.52513774104683197</v>
      </c>
      <c r="C450" s="45">
        <v>1.2608695652173914</v>
      </c>
    </row>
    <row r="451" spans="1:3">
      <c r="A451" s="20" t="s">
        <v>1555</v>
      </c>
      <c r="B451" s="44">
        <v>0.52431846344485744</v>
      </c>
      <c r="C451" s="45">
        <v>1.5</v>
      </c>
    </row>
    <row r="452" spans="1:3">
      <c r="A452" s="20" t="s">
        <v>1775</v>
      </c>
      <c r="B452" s="44">
        <v>0.52398209693042519</v>
      </c>
      <c r="C452" s="45">
        <v>2.0714285714285716</v>
      </c>
    </row>
    <row r="453" spans="1:3">
      <c r="A453" s="20" t="s">
        <v>1788</v>
      </c>
      <c r="B453" s="44">
        <v>0.52347046413502119</v>
      </c>
      <c r="C453" s="45">
        <v>1.8651685393258426</v>
      </c>
    </row>
    <row r="454" spans="1:3">
      <c r="A454" s="20" t="s">
        <v>1653</v>
      </c>
      <c r="B454" s="44">
        <v>0.52296319597357666</v>
      </c>
      <c r="C454" s="45">
        <v>2.7619047619047619</v>
      </c>
    </row>
    <row r="455" spans="1:3">
      <c r="A455" s="20" t="s">
        <v>1722</v>
      </c>
      <c r="B455" s="44">
        <v>0.52269601100412655</v>
      </c>
      <c r="C455" s="45">
        <v>1.6458333333333333</v>
      </c>
    </row>
    <row r="456" spans="1:3">
      <c r="A456" s="20" t="s">
        <v>1317</v>
      </c>
      <c r="B456" s="44">
        <v>0.52222855514391564</v>
      </c>
      <c r="C456" s="45">
        <v>1.7285714285714286</v>
      </c>
    </row>
    <row r="457" spans="1:3">
      <c r="A457" s="20" t="s">
        <v>1823</v>
      </c>
      <c r="B457" s="44">
        <v>0.52205767121140889</v>
      </c>
      <c r="C457" s="45">
        <v>1.8813559322033899</v>
      </c>
    </row>
    <row r="458" spans="1:3">
      <c r="A458" s="20" t="s">
        <v>1582</v>
      </c>
      <c r="B458" s="44">
        <v>0.52158663581139719</v>
      </c>
      <c r="C458" s="45">
        <v>3.0714285714285716</v>
      </c>
    </row>
    <row r="459" spans="1:3">
      <c r="A459" s="20" t="s">
        <v>1768</v>
      </c>
      <c r="B459" s="44">
        <v>0.5211307824100514</v>
      </c>
      <c r="C459" s="45">
        <v>1.5945945945945945</v>
      </c>
    </row>
    <row r="460" spans="1:3">
      <c r="A460" s="20" t="s">
        <v>1403</v>
      </c>
      <c r="B460" s="44">
        <v>0.52080364776289545</v>
      </c>
      <c r="C460" s="45">
        <v>2.6909090909090909</v>
      </c>
    </row>
    <row r="461" spans="1:3">
      <c r="A461" s="20" t="s">
        <v>1408</v>
      </c>
      <c r="B461" s="44">
        <v>0.51925359356455225</v>
      </c>
      <c r="C461" s="45">
        <v>1.5757575757575757</v>
      </c>
    </row>
    <row r="462" spans="1:3">
      <c r="A462" s="20" t="s">
        <v>1698</v>
      </c>
      <c r="B462" s="44">
        <v>0.51854179761156505</v>
      </c>
      <c r="C462" s="45">
        <v>1.5294117647058822</v>
      </c>
    </row>
    <row r="463" spans="1:3">
      <c r="A463" s="20" t="s">
        <v>1511</v>
      </c>
      <c r="B463" s="44">
        <v>0.51793659621802002</v>
      </c>
      <c r="C463" s="45">
        <v>1.5961538461538463</v>
      </c>
    </row>
    <row r="464" spans="1:3">
      <c r="A464" s="20" t="s">
        <v>1591</v>
      </c>
      <c r="B464" s="44">
        <v>0.51664753157290466</v>
      </c>
      <c r="C464" s="45">
        <v>0.6</v>
      </c>
    </row>
    <row r="465" spans="1:3">
      <c r="A465" s="20" t="s">
        <v>1579</v>
      </c>
      <c r="B465" s="44">
        <v>0.51518438177874182</v>
      </c>
      <c r="C465" s="45">
        <v>1.2692307692307692</v>
      </c>
    </row>
    <row r="466" spans="1:3">
      <c r="A466" s="20" t="s">
        <v>1637</v>
      </c>
      <c r="B466" s="44">
        <v>0.51505546751188591</v>
      </c>
      <c r="C466" s="45">
        <v>1.048951048951049</v>
      </c>
    </row>
    <row r="467" spans="1:3">
      <c r="A467" s="20" t="s">
        <v>1333</v>
      </c>
      <c r="B467" s="44">
        <v>0.51451411724685336</v>
      </c>
      <c r="C467" s="45">
        <v>1.6209677419354838</v>
      </c>
    </row>
    <row r="468" spans="1:3">
      <c r="A468" s="20" t="s">
        <v>1305</v>
      </c>
      <c r="B468" s="44">
        <v>0.51446051167964402</v>
      </c>
      <c r="C468" s="45">
        <v>2.0555555555555554</v>
      </c>
    </row>
    <row r="469" spans="1:3">
      <c r="A469" s="20" t="s">
        <v>1715</v>
      </c>
      <c r="B469" s="44">
        <v>0.51433762152607287</v>
      </c>
      <c r="C469" s="45">
        <v>0.89130434782608692</v>
      </c>
    </row>
    <row r="470" spans="1:3">
      <c r="A470" s="20" t="s">
        <v>1460</v>
      </c>
      <c r="B470" s="44">
        <v>0.51414819136522749</v>
      </c>
      <c r="C470" s="45">
        <v>3.7333333333333334</v>
      </c>
    </row>
    <row r="471" spans="1:3">
      <c r="A471" s="20" t="s">
        <v>1356</v>
      </c>
      <c r="B471" s="44">
        <v>0.51401391162029453</v>
      </c>
      <c r="C471" s="45">
        <v>2.5971223021582732</v>
      </c>
    </row>
    <row r="472" spans="1:3">
      <c r="A472" s="20" t="s">
        <v>1512</v>
      </c>
      <c r="B472" s="44">
        <v>0.51369863013698636</v>
      </c>
      <c r="C472" s="45">
        <v>0</v>
      </c>
    </row>
    <row r="473" spans="1:3">
      <c r="A473" s="20" t="s">
        <v>1464</v>
      </c>
      <c r="B473" s="44">
        <v>0.51369863013698636</v>
      </c>
      <c r="C473" s="45">
        <v>1.5263157894736843</v>
      </c>
    </row>
    <row r="474" spans="1:3">
      <c r="A474" s="20" t="s">
        <v>1649</v>
      </c>
      <c r="B474" s="44">
        <v>0.51361681796464409</v>
      </c>
      <c r="C474" s="45">
        <v>1.6428571428571428</v>
      </c>
    </row>
    <row r="475" spans="1:3">
      <c r="A475" s="20" t="s">
        <v>1792</v>
      </c>
      <c r="B475" s="44">
        <v>0.51264852433882713</v>
      </c>
      <c r="C475" s="45">
        <v>0.84615384615384615</v>
      </c>
    </row>
    <row r="476" spans="1:3">
      <c r="A476" s="20" t="s">
        <v>1382</v>
      </c>
      <c r="B476" s="44">
        <v>0.51258685499487411</v>
      </c>
      <c r="C476" s="45">
        <v>2</v>
      </c>
    </row>
    <row r="477" spans="1:3">
      <c r="A477" s="20" t="s">
        <v>1735</v>
      </c>
      <c r="B477" s="44">
        <v>0.51258407463658051</v>
      </c>
      <c r="C477" s="45">
        <v>1.4318181818181819</v>
      </c>
    </row>
    <row r="478" spans="1:3">
      <c r="A478" s="20" t="s">
        <v>1362</v>
      </c>
      <c r="B478" s="44">
        <v>0.51237432327919563</v>
      </c>
      <c r="C478" s="45">
        <v>1.7692307692307692</v>
      </c>
    </row>
    <row r="479" spans="1:3">
      <c r="A479" s="20" t="s">
        <v>1648</v>
      </c>
      <c r="B479" s="44">
        <v>0.51229508196721307</v>
      </c>
      <c r="C479" s="45">
        <v>0</v>
      </c>
    </row>
    <row r="480" spans="1:3">
      <c r="A480" s="20" t="s">
        <v>1572</v>
      </c>
      <c r="B480" s="44">
        <v>0.51192258340461938</v>
      </c>
      <c r="C480" s="45">
        <v>1.1944444444444444</v>
      </c>
    </row>
    <row r="481" spans="1:3">
      <c r="A481" s="20" t="s">
        <v>1661</v>
      </c>
      <c r="B481" s="44">
        <v>0.51150895140664965</v>
      </c>
      <c r="C481" s="45">
        <v>1.75</v>
      </c>
    </row>
    <row r="482" spans="1:3">
      <c r="A482" s="20" t="s">
        <v>1360</v>
      </c>
      <c r="B482" s="44">
        <v>0.50921158027234237</v>
      </c>
      <c r="C482" s="45">
        <v>1.7592592592592593</v>
      </c>
    </row>
    <row r="483" spans="1:3">
      <c r="A483" s="20" t="s">
        <v>1760</v>
      </c>
      <c r="B483" s="44">
        <v>0.5078125</v>
      </c>
      <c r="C483" s="45">
        <v>1.8148148148148149</v>
      </c>
    </row>
    <row r="484" spans="1:3">
      <c r="A484" s="20" t="s">
        <v>1751</v>
      </c>
      <c r="B484" s="44">
        <v>0.50768029159073158</v>
      </c>
      <c r="C484" s="45">
        <v>0.83870967741935487</v>
      </c>
    </row>
    <row r="485" spans="1:3">
      <c r="A485" s="20" t="s">
        <v>1561</v>
      </c>
      <c r="B485" s="44">
        <v>0.5070662130332374</v>
      </c>
      <c r="C485" s="45">
        <v>3.6363636363636362</v>
      </c>
    </row>
    <row r="486" spans="1:3">
      <c r="A486" s="20" t="s">
        <v>1577</v>
      </c>
      <c r="B486" s="44">
        <v>0.50548091705099918</v>
      </c>
      <c r="C486" s="45">
        <v>1.1964285714285714</v>
      </c>
    </row>
    <row r="487" spans="1:3">
      <c r="A487" s="20" t="s">
        <v>1757</v>
      </c>
      <c r="B487" s="44">
        <v>0.50538572403853443</v>
      </c>
      <c r="C487" s="45">
        <v>1.8627450980392157</v>
      </c>
    </row>
    <row r="488" spans="1:3">
      <c r="A488" s="20" t="s">
        <v>1641</v>
      </c>
      <c r="B488" s="44">
        <v>0.50529190850119499</v>
      </c>
      <c r="C488" s="45">
        <v>1.7894736842105263</v>
      </c>
    </row>
    <row r="489" spans="1:3">
      <c r="A489" s="20" t="s">
        <v>1684</v>
      </c>
      <c r="B489" s="44">
        <v>0.50509486999297259</v>
      </c>
      <c r="C489" s="45">
        <v>1.4285714285714286</v>
      </c>
    </row>
    <row r="490" spans="1:3">
      <c r="A490" s="20" t="s">
        <v>1353</v>
      </c>
      <c r="B490" s="44">
        <v>0.50439117018751478</v>
      </c>
      <c r="C490" s="45">
        <v>2</v>
      </c>
    </row>
    <row r="491" spans="1:3">
      <c r="A491" s="20" t="s">
        <v>1503</v>
      </c>
      <c r="B491" s="44">
        <v>0.50391937290033595</v>
      </c>
      <c r="C491" s="45">
        <v>2</v>
      </c>
    </row>
    <row r="492" spans="1:3">
      <c r="A492" s="20" t="s">
        <v>1703</v>
      </c>
      <c r="B492" s="44">
        <v>0.50366300366300365</v>
      </c>
      <c r="C492" s="45">
        <v>0.7142857142857143</v>
      </c>
    </row>
    <row r="493" spans="1:3">
      <c r="A493" s="20" t="s">
        <v>1630</v>
      </c>
      <c r="B493" s="44">
        <v>0.50317796610169496</v>
      </c>
      <c r="C493" s="45">
        <v>2</v>
      </c>
    </row>
    <row r="494" spans="1:3">
      <c r="A494" s="20" t="s">
        <v>1709</v>
      </c>
      <c r="B494" s="44">
        <v>0.502436053593179</v>
      </c>
      <c r="C494" s="45">
        <v>1.7142857142857142</v>
      </c>
    </row>
    <row r="495" spans="1:3">
      <c r="A495" s="20" t="s">
        <v>1456</v>
      </c>
      <c r="B495" s="44">
        <v>0.50218340611353718</v>
      </c>
      <c r="C495" s="45">
        <v>1.2857142857142858</v>
      </c>
    </row>
    <row r="496" spans="1:3">
      <c r="A496" s="20" t="s">
        <v>1604</v>
      </c>
      <c r="B496" s="44">
        <v>0.50216502285301901</v>
      </c>
      <c r="C496" s="45">
        <v>2.3823529411764706</v>
      </c>
    </row>
    <row r="497" spans="1:3">
      <c r="A497" s="20" t="s">
        <v>1335</v>
      </c>
      <c r="B497" s="44">
        <v>0.50196115054165114</v>
      </c>
      <c r="C497" s="45">
        <v>2.2307692307692308</v>
      </c>
    </row>
    <row r="498" spans="1:3">
      <c r="A498" s="20" t="s">
        <v>1840</v>
      </c>
      <c r="B498" s="44">
        <v>0.50123901779680102</v>
      </c>
      <c r="C498" s="45">
        <v>1.6875</v>
      </c>
    </row>
    <row r="499" spans="1:3">
      <c r="A499" s="20" t="s">
        <v>1651</v>
      </c>
      <c r="B499" s="44">
        <v>0.50117924528301883</v>
      </c>
      <c r="C499" s="45">
        <v>2.4761904761904763</v>
      </c>
    </row>
    <row r="500" spans="1:3">
      <c r="A500" s="20" t="s">
        <v>1847</v>
      </c>
      <c r="B500" s="44">
        <v>0.50057208237986273</v>
      </c>
      <c r="C500" s="45">
        <v>5</v>
      </c>
    </row>
    <row r="501" spans="1:3">
      <c r="A501" s="20" t="s">
        <v>1526</v>
      </c>
      <c r="B501" s="44">
        <v>0.5000750581700818</v>
      </c>
      <c r="C501" s="45">
        <v>2.625</v>
      </c>
    </row>
    <row r="502" spans="1:3">
      <c r="A502" s="20" t="s">
        <v>1477</v>
      </c>
      <c r="B502" s="44">
        <v>0.5</v>
      </c>
      <c r="C502" s="45">
        <v>3</v>
      </c>
    </row>
    <row r="503" spans="1:3">
      <c r="A503" s="20" t="s">
        <v>1445</v>
      </c>
      <c r="B503" s="44">
        <v>0.4998165810711665</v>
      </c>
      <c r="C503" s="45">
        <v>1.3333333333333333</v>
      </c>
    </row>
    <row r="504" spans="1:3">
      <c r="A504" s="20" t="s">
        <v>1516</v>
      </c>
      <c r="B504" s="44">
        <v>0.49888101454681094</v>
      </c>
      <c r="C504" s="45">
        <v>2.1111111111111112</v>
      </c>
    </row>
    <row r="505" spans="1:3">
      <c r="A505" s="20" t="s">
        <v>1480</v>
      </c>
      <c r="B505" s="44">
        <v>0.49835131894484413</v>
      </c>
      <c r="C505" s="45">
        <v>1.3333333333333333</v>
      </c>
    </row>
    <row r="506" spans="1:3">
      <c r="A506" s="20" t="s">
        <v>1544</v>
      </c>
      <c r="B506" s="44">
        <v>0.4974489795918367</v>
      </c>
      <c r="C506" s="45">
        <v>1.3846153846153846</v>
      </c>
    </row>
    <row r="507" spans="1:3">
      <c r="A507" s="20" t="s">
        <v>1801</v>
      </c>
      <c r="B507" s="44">
        <v>0.49709660390638744</v>
      </c>
      <c r="C507" s="45">
        <v>2.1558441558441559</v>
      </c>
    </row>
    <row r="508" spans="1:3">
      <c r="A508" s="20" t="s">
        <v>1755</v>
      </c>
      <c r="B508" s="44">
        <v>0.4964953271028037</v>
      </c>
      <c r="C508" s="45">
        <v>2.9375</v>
      </c>
    </row>
    <row r="509" spans="1:3">
      <c r="A509" s="20" t="s">
        <v>1484</v>
      </c>
      <c r="B509" s="44">
        <v>0.49627393036104334</v>
      </c>
      <c r="C509" s="45">
        <v>2.1699029126213594</v>
      </c>
    </row>
    <row r="510" spans="1:3">
      <c r="A510" s="20" t="s">
        <v>1492</v>
      </c>
      <c r="B510" s="44">
        <v>0.49603174603174599</v>
      </c>
      <c r="C510" s="45">
        <v>1.5555555555555556</v>
      </c>
    </row>
    <row r="511" spans="1:3">
      <c r="A511" s="20" t="s">
        <v>1551</v>
      </c>
      <c r="B511" s="44">
        <v>0.49586776859504134</v>
      </c>
      <c r="C511" s="45">
        <v>1.2</v>
      </c>
    </row>
    <row r="512" spans="1:3">
      <c r="A512" s="20" t="s">
        <v>1422</v>
      </c>
      <c r="B512" s="44">
        <v>0.4958360727591497</v>
      </c>
      <c r="C512" s="45">
        <v>2.1809523809523808</v>
      </c>
    </row>
    <row r="513" spans="1:3">
      <c r="A513" s="20" t="s">
        <v>1614</v>
      </c>
      <c r="B513" s="44">
        <v>0.49557123910572187</v>
      </c>
      <c r="C513" s="45">
        <v>1.4621848739495797</v>
      </c>
    </row>
    <row r="514" spans="1:3">
      <c r="A514" s="20" t="s">
        <v>1402</v>
      </c>
      <c r="B514" s="44">
        <v>0.49522673031026254</v>
      </c>
      <c r="C514" s="45">
        <v>1</v>
      </c>
    </row>
    <row r="515" spans="1:3">
      <c r="A515" s="20" t="s">
        <v>1574</v>
      </c>
      <c r="B515" s="44">
        <v>0.49483648881239245</v>
      </c>
      <c r="C515" s="45">
        <v>2.1014492753623188</v>
      </c>
    </row>
    <row r="516" spans="1:3">
      <c r="A516" s="20" t="s">
        <v>1397</v>
      </c>
      <c r="B516" s="44">
        <v>0.49213992352358021</v>
      </c>
      <c r="C516" s="45">
        <v>1.8505747126436782</v>
      </c>
    </row>
    <row r="517" spans="1:3">
      <c r="A517" s="20" t="s">
        <v>1720</v>
      </c>
      <c r="B517" s="44">
        <v>0.49195424583171776</v>
      </c>
      <c r="C517" s="45">
        <v>2.625</v>
      </c>
    </row>
    <row r="518" spans="1:3">
      <c r="A518" s="20" t="s">
        <v>1560</v>
      </c>
      <c r="B518" s="44">
        <v>0.49169580419580416</v>
      </c>
      <c r="C518" s="45">
        <v>1.1666666666666667</v>
      </c>
    </row>
    <row r="519" spans="1:3">
      <c r="A519" s="20" t="s">
        <v>1683</v>
      </c>
      <c r="B519" s="44">
        <v>0.49132947976878616</v>
      </c>
      <c r="C519" s="45">
        <v>1.8333333333333333</v>
      </c>
    </row>
    <row r="520" spans="1:3">
      <c r="A520" s="20" t="s">
        <v>1329</v>
      </c>
      <c r="B520" s="44">
        <v>0.49002450122506125</v>
      </c>
      <c r="C520" s="45">
        <v>2.8333333333333335</v>
      </c>
    </row>
    <row r="521" spans="1:3">
      <c r="A521" s="20" t="s">
        <v>1701</v>
      </c>
      <c r="B521" s="44">
        <v>0.48859934853420189</v>
      </c>
      <c r="C521" s="45">
        <v>1</v>
      </c>
    </row>
    <row r="522" spans="1:3">
      <c r="A522" s="20" t="s">
        <v>1818</v>
      </c>
      <c r="B522" s="44">
        <v>0.48818088386433706</v>
      </c>
      <c r="C522" s="45">
        <v>1.6818181818181819</v>
      </c>
    </row>
    <row r="523" spans="1:3">
      <c r="A523" s="20" t="s">
        <v>1834</v>
      </c>
      <c r="B523" s="44">
        <v>0.48758865248226951</v>
      </c>
      <c r="C523" s="45">
        <v>1.5</v>
      </c>
    </row>
    <row r="524" spans="1:3">
      <c r="A524" s="20" t="s">
        <v>1620</v>
      </c>
      <c r="B524" s="44">
        <v>0.48753196930946291</v>
      </c>
      <c r="C524" s="45">
        <v>1.6428571428571428</v>
      </c>
    </row>
    <row r="525" spans="1:3">
      <c r="A525" s="20" t="s">
        <v>1568</v>
      </c>
      <c r="B525" s="44">
        <v>0.48716730038022815</v>
      </c>
      <c r="C525" s="45">
        <v>1.4285714285714286</v>
      </c>
    </row>
    <row r="526" spans="1:3">
      <c r="A526" s="20" t="s">
        <v>1455</v>
      </c>
      <c r="B526" s="44">
        <v>0.48684210526315791</v>
      </c>
      <c r="C526" s="45">
        <v>4</v>
      </c>
    </row>
    <row r="527" spans="1:3">
      <c r="A527" s="20" t="s">
        <v>1668</v>
      </c>
      <c r="B527" s="44">
        <v>0.48678720445062584</v>
      </c>
      <c r="C527" s="45">
        <v>2.1666666666666665</v>
      </c>
    </row>
    <row r="528" spans="1:3">
      <c r="A528" s="20" t="s">
        <v>1633</v>
      </c>
      <c r="B528" s="44">
        <v>0.48301132578281147</v>
      </c>
      <c r="C528" s="45">
        <v>1.6829268292682926</v>
      </c>
    </row>
    <row r="529" spans="1:3">
      <c r="A529" s="20" t="s">
        <v>1631</v>
      </c>
      <c r="B529" s="44">
        <v>0.48252002913328479</v>
      </c>
      <c r="C529" s="45">
        <v>2.125</v>
      </c>
    </row>
    <row r="530" spans="1:3">
      <c r="A530" s="20" t="s">
        <v>1307</v>
      </c>
      <c r="B530" s="44">
        <v>0.48125801175794547</v>
      </c>
      <c r="C530" s="45">
        <v>1.4122807017543859</v>
      </c>
    </row>
    <row r="531" spans="1:3">
      <c r="A531" s="20" t="s">
        <v>1299</v>
      </c>
      <c r="B531" s="44">
        <v>0.48093739069604757</v>
      </c>
      <c r="C531" s="45">
        <v>2.1428571428571428</v>
      </c>
    </row>
    <row r="532" spans="1:3">
      <c r="A532" s="20" t="s">
        <v>1468</v>
      </c>
      <c r="B532" s="44">
        <v>0.47926985874151534</v>
      </c>
      <c r="C532" s="45">
        <v>0.90625</v>
      </c>
    </row>
    <row r="533" spans="1:3">
      <c r="A533" s="20" t="s">
        <v>1581</v>
      </c>
      <c r="B533" s="44">
        <v>0.47482837528604116</v>
      </c>
      <c r="C533" s="45">
        <v>1.3125</v>
      </c>
    </row>
    <row r="534" spans="1:3">
      <c r="A534" s="20" t="s">
        <v>1431</v>
      </c>
      <c r="B534" s="44">
        <v>0.472674579078112</v>
      </c>
      <c r="C534" s="45">
        <v>2.2222222222222223</v>
      </c>
    </row>
    <row r="535" spans="1:3">
      <c r="A535" s="20" t="s">
        <v>1781</v>
      </c>
      <c r="B535" s="44">
        <v>0.4719679633867277</v>
      </c>
      <c r="C535" s="45">
        <v>1.3636363636363635</v>
      </c>
    </row>
    <row r="536" spans="1:3">
      <c r="A536" s="20" t="s">
        <v>1680</v>
      </c>
      <c r="B536" s="44">
        <v>0.46955958549222798</v>
      </c>
      <c r="C536" s="45">
        <v>1</v>
      </c>
    </row>
    <row r="537" spans="1:3">
      <c r="A537" s="20" t="s">
        <v>1729</v>
      </c>
      <c r="B537" s="44">
        <v>0.46686746987951805</v>
      </c>
      <c r="C537" s="45">
        <v>1.25</v>
      </c>
    </row>
    <row r="538" spans="1:3">
      <c r="A538" s="20" t="s">
        <v>1504</v>
      </c>
      <c r="B538" s="44">
        <v>0.4667207792207792</v>
      </c>
      <c r="C538" s="45">
        <v>1.5</v>
      </c>
    </row>
    <row r="539" spans="1:3">
      <c r="A539" s="20" t="s">
        <v>1754</v>
      </c>
      <c r="B539" s="44">
        <v>0.46537148431149405</v>
      </c>
      <c r="C539" s="45">
        <v>2.0277777777777777</v>
      </c>
    </row>
    <row r="540" spans="1:3">
      <c r="A540" s="20" t="s">
        <v>1386</v>
      </c>
      <c r="B540" s="44">
        <v>0.46500630517023961</v>
      </c>
      <c r="C540" s="45">
        <v>0.75</v>
      </c>
    </row>
    <row r="541" spans="1:3">
      <c r="A541" s="20" t="s">
        <v>1552</v>
      </c>
      <c r="B541" s="44">
        <v>0.46397379912663755</v>
      </c>
      <c r="C541" s="45">
        <v>1</v>
      </c>
    </row>
    <row r="542" spans="1:3">
      <c r="A542" s="20" t="s">
        <v>1838</v>
      </c>
      <c r="B542" s="44">
        <v>0.46239421239421236</v>
      </c>
      <c r="C542" s="45">
        <v>1.6282051282051282</v>
      </c>
    </row>
    <row r="543" spans="1:3">
      <c r="A543" s="20" t="s">
        <v>1829</v>
      </c>
      <c r="B543" s="44">
        <v>0.4604672057502246</v>
      </c>
      <c r="C543" s="45">
        <v>4.375</v>
      </c>
    </row>
    <row r="544" spans="1:3">
      <c r="A544" s="20" t="s">
        <v>1434</v>
      </c>
      <c r="B544" s="44">
        <v>0.4595588235294118</v>
      </c>
      <c r="C544" s="45">
        <v>2.1851851851851851</v>
      </c>
    </row>
    <row r="545" spans="1:3">
      <c r="A545" s="20" t="s">
        <v>1667</v>
      </c>
      <c r="B545" s="44">
        <v>0.45640326975476836</v>
      </c>
      <c r="C545" s="45">
        <v>1.4285714285714286</v>
      </c>
    </row>
    <row r="546" spans="1:3">
      <c r="A546" s="20" t="s">
        <v>1673</v>
      </c>
      <c r="B546" s="44">
        <v>0.45522388059701491</v>
      </c>
      <c r="C546" s="45">
        <v>1.8</v>
      </c>
    </row>
    <row r="547" spans="1:3">
      <c r="A547" s="20" t="s">
        <v>1804</v>
      </c>
      <c r="B547" s="44">
        <v>0.45356703567035667</v>
      </c>
      <c r="C547" s="45">
        <v>1.2</v>
      </c>
    </row>
    <row r="548" spans="1:3">
      <c r="A548" s="20" t="s">
        <v>1733</v>
      </c>
      <c r="B548" s="44">
        <v>0.45353572750833021</v>
      </c>
      <c r="C548" s="45">
        <v>2.35</v>
      </c>
    </row>
    <row r="549" spans="1:3">
      <c r="A549" s="20" t="s">
        <v>1409</v>
      </c>
      <c r="B549" s="44">
        <v>0.44871794871794873</v>
      </c>
      <c r="C549" s="45">
        <v>1.5714285714285714</v>
      </c>
    </row>
    <row r="550" spans="1:3">
      <c r="A550" s="20" t="s">
        <v>1817</v>
      </c>
      <c r="B550" s="44">
        <v>0.4464285714285714</v>
      </c>
      <c r="C550" s="45">
        <v>0</v>
      </c>
    </row>
    <row r="551" spans="1:3">
      <c r="A551" s="20" t="s">
        <v>1321</v>
      </c>
      <c r="B551" s="44">
        <v>0.44444444444444442</v>
      </c>
      <c r="C551" s="45">
        <v>1</v>
      </c>
    </row>
    <row r="552" spans="1:3">
      <c r="A552" s="20" t="s">
        <v>1752</v>
      </c>
      <c r="B552" s="44">
        <v>0.44273907910271543</v>
      </c>
      <c r="C552" s="45">
        <v>2.3333333333333335</v>
      </c>
    </row>
    <row r="553" spans="1:3">
      <c r="A553" s="20" t="s">
        <v>1842</v>
      </c>
      <c r="B553" s="44">
        <v>0.44230769230769229</v>
      </c>
      <c r="C553" s="45">
        <v>0.9</v>
      </c>
    </row>
    <row r="554" spans="1:3">
      <c r="A554" s="20" t="s">
        <v>1423</v>
      </c>
      <c r="B554" s="44">
        <v>0.43490460157126826</v>
      </c>
      <c r="C554" s="45">
        <v>3.1666666666666665</v>
      </c>
    </row>
    <row r="555" spans="1:3">
      <c r="A555" s="20" t="s">
        <v>1628</v>
      </c>
      <c r="B555" s="44">
        <v>0.43364197530864196</v>
      </c>
      <c r="C555" s="45">
        <v>1.9310344827586208</v>
      </c>
    </row>
    <row r="556" spans="1:3">
      <c r="A556" s="20" t="s">
        <v>1545</v>
      </c>
      <c r="B556" s="44">
        <v>0.43036998972250767</v>
      </c>
      <c r="C556" s="45">
        <v>2.25</v>
      </c>
    </row>
    <row r="557" spans="1:3">
      <c r="A557" s="20" t="s">
        <v>1837</v>
      </c>
      <c r="B557" s="44">
        <v>0.42517006802721091</v>
      </c>
      <c r="C557" s="45">
        <v>1</v>
      </c>
    </row>
    <row r="558" spans="1:3">
      <c r="A558" s="20" t="s">
        <v>1453</v>
      </c>
      <c r="B558" s="44">
        <v>0.42507970244420828</v>
      </c>
      <c r="C558" s="45">
        <v>2.6666666666666665</v>
      </c>
    </row>
    <row r="559" spans="1:3">
      <c r="A559" s="20" t="s">
        <v>1383</v>
      </c>
      <c r="B559" s="44">
        <v>0.4218635363169479</v>
      </c>
      <c r="C559" s="45">
        <v>1.3333333333333333</v>
      </c>
    </row>
    <row r="560" spans="1:3">
      <c r="A560" s="20" t="s">
        <v>1374</v>
      </c>
      <c r="B560" s="44">
        <v>0.42053364269141524</v>
      </c>
      <c r="C560" s="45">
        <v>0.66666666666666663</v>
      </c>
    </row>
    <row r="561" spans="1:3">
      <c r="A561" s="20" t="s">
        <v>1351</v>
      </c>
      <c r="B561" s="44">
        <v>0.41801510248112189</v>
      </c>
      <c r="C561" s="45">
        <v>1.5714285714285714</v>
      </c>
    </row>
    <row r="562" spans="1:3">
      <c r="A562" s="20" t="s">
        <v>1583</v>
      </c>
      <c r="B562" s="44">
        <v>0.41617122473246138</v>
      </c>
      <c r="C562" s="45">
        <v>1.3333333333333333</v>
      </c>
    </row>
    <row r="563" spans="1:3">
      <c r="A563" s="20" t="s">
        <v>1462</v>
      </c>
      <c r="B563" s="44">
        <v>0.41510025062656641</v>
      </c>
      <c r="C563" s="45">
        <v>2.8181818181818183</v>
      </c>
    </row>
    <row r="564" spans="1:3">
      <c r="A564" s="20" t="s">
        <v>1497</v>
      </c>
      <c r="B564" s="44">
        <v>0.41176470588235292</v>
      </c>
      <c r="C564" s="45">
        <v>0.5</v>
      </c>
    </row>
    <row r="565" spans="1:3">
      <c r="A565" s="20" t="s">
        <v>1589</v>
      </c>
      <c r="B565" s="44">
        <v>0.4024144869215292</v>
      </c>
      <c r="C565" s="45">
        <v>1.5</v>
      </c>
    </row>
    <row r="566" spans="1:3">
      <c r="A566" s="20" t="s">
        <v>1401</v>
      </c>
      <c r="B566" s="44">
        <v>0.39970930232558144</v>
      </c>
      <c r="C566" s="45">
        <v>1.75</v>
      </c>
    </row>
    <row r="567" spans="1:3">
      <c r="A567" s="20" t="s">
        <v>1753</v>
      </c>
      <c r="B567" s="44">
        <v>0.39938817131203258</v>
      </c>
      <c r="C567" s="45">
        <v>2.9545454545454546</v>
      </c>
    </row>
    <row r="568" spans="1:3">
      <c r="A568" s="20" t="s">
        <v>1824</v>
      </c>
      <c r="B568" s="44">
        <v>0.39498141263940523</v>
      </c>
      <c r="C568" s="45">
        <v>1.5</v>
      </c>
    </row>
    <row r="569" spans="1:3">
      <c r="A569" s="20" t="s">
        <v>1598</v>
      </c>
      <c r="B569" s="44">
        <v>0.38848263254113347</v>
      </c>
      <c r="C569" s="45">
        <v>1.3333333333333333</v>
      </c>
    </row>
    <row r="570" spans="1:3">
      <c r="A570" s="20" t="s">
        <v>1489</v>
      </c>
      <c r="B570" s="44">
        <v>0.38071065989847719</v>
      </c>
      <c r="C570" s="45" t="e">
        <v>#DIV/0!</v>
      </c>
    </row>
    <row r="571" spans="1:3">
      <c r="A571" s="20" t="s">
        <v>1621</v>
      </c>
      <c r="B571" s="44">
        <v>0.38071065989847719</v>
      </c>
      <c r="C571" s="45" t="e">
        <v>#DIV/0!</v>
      </c>
    </row>
    <row r="572" spans="1:3">
      <c r="A572" s="20" t="s">
        <v>1355</v>
      </c>
      <c r="B572" s="44">
        <v>0.38056206088992978</v>
      </c>
      <c r="C572" s="45">
        <v>0.75</v>
      </c>
    </row>
    <row r="573" spans="1:3">
      <c r="A573" s="20" t="s">
        <v>1674</v>
      </c>
      <c r="B573" s="44">
        <v>0.38022813688212925</v>
      </c>
      <c r="C573" s="45">
        <v>4.2</v>
      </c>
    </row>
    <row r="574" spans="1:3">
      <c r="A574" s="20" t="s">
        <v>1835</v>
      </c>
      <c r="B574" s="44">
        <v>0.36733837111670864</v>
      </c>
      <c r="C574" s="45">
        <v>5.333333333333333</v>
      </c>
    </row>
    <row r="575" spans="1:3">
      <c r="A575" s="20" t="s">
        <v>1785</v>
      </c>
      <c r="B575" s="44">
        <v>0.36353467561521252</v>
      </c>
      <c r="C575" s="45">
        <v>1</v>
      </c>
    </row>
    <row r="576" spans="1:3">
      <c r="A576" s="20" t="s">
        <v>1361</v>
      </c>
      <c r="B576" s="44">
        <v>0.36348949919224555</v>
      </c>
      <c r="C576" s="45">
        <v>2.3333333333333335</v>
      </c>
    </row>
    <row r="577" spans="1:3">
      <c r="A577" s="20" t="s">
        <v>1650</v>
      </c>
      <c r="B577" s="44">
        <v>0.36290322580645162</v>
      </c>
      <c r="C577" s="45">
        <v>0.42857142857142855</v>
      </c>
    </row>
    <row r="578" spans="1:3">
      <c r="A578" s="20" t="s">
        <v>1819</v>
      </c>
      <c r="B578" s="44">
        <v>0.35879629629629628</v>
      </c>
      <c r="C578" s="45">
        <v>2.4</v>
      </c>
    </row>
    <row r="579" spans="1:3">
      <c r="A579" s="20" t="s">
        <v>1796</v>
      </c>
      <c r="B579" s="44">
        <v>0.35425101214574894</v>
      </c>
      <c r="C579" s="45">
        <v>1</v>
      </c>
    </row>
    <row r="580" spans="1:3">
      <c r="A580" s="20" t="s">
        <v>1691</v>
      </c>
      <c r="B580" s="44">
        <v>0.35425101214574894</v>
      </c>
      <c r="C580" s="45" t="e">
        <v>#DIV/0!</v>
      </c>
    </row>
    <row r="581" spans="1:3">
      <c r="A581" s="20" t="s">
        <v>1529</v>
      </c>
      <c r="B581" s="44">
        <v>0.34965034965034969</v>
      </c>
      <c r="C581" s="45">
        <v>1</v>
      </c>
    </row>
    <row r="582" spans="1:3">
      <c r="A582" s="20" t="s">
        <v>1295</v>
      </c>
      <c r="B582" s="44">
        <v>0.34267594108019639</v>
      </c>
      <c r="C582" s="45">
        <v>2.75</v>
      </c>
    </row>
    <row r="583" spans="1:3">
      <c r="A583" s="20" t="s">
        <v>1452</v>
      </c>
      <c r="B583" s="44">
        <v>0.33578509753757596</v>
      </c>
      <c r="C583" s="45">
        <v>2.7666666666666666</v>
      </c>
    </row>
    <row r="584" spans="1:3">
      <c r="A584" s="20" t="s">
        <v>1848</v>
      </c>
      <c r="B584" s="44">
        <v>0.33333333333333331</v>
      </c>
      <c r="C584" s="45" t="e">
        <v>#DIV/0!</v>
      </c>
    </row>
    <row r="585" spans="1:3">
      <c r="A585" s="20" t="s">
        <v>1564</v>
      </c>
      <c r="B585" s="44">
        <v>0.32608695652173914</v>
      </c>
      <c r="C585" s="45">
        <v>2.2999999999999998</v>
      </c>
    </row>
    <row r="586" spans="1:3">
      <c r="A586" s="20" t="s">
        <v>1406</v>
      </c>
      <c r="B586" s="44">
        <v>0.3216911764705882</v>
      </c>
      <c r="C586" s="45">
        <v>3</v>
      </c>
    </row>
    <row r="587" spans="1:3">
      <c r="A587" s="20" t="s">
        <v>1324</v>
      </c>
      <c r="B587" s="44">
        <v>0.3170289855072464</v>
      </c>
      <c r="C587" s="45">
        <v>0.33333333333333331</v>
      </c>
    </row>
    <row r="588" spans="1:3">
      <c r="A588" s="20" t="s">
        <v>1846</v>
      </c>
      <c r="B588" s="44">
        <v>0.30375552282768775</v>
      </c>
      <c r="C588" s="45">
        <v>0.53846153846153844</v>
      </c>
    </row>
    <row r="589" spans="1:3">
      <c r="A589" s="20" t="s">
        <v>1749</v>
      </c>
      <c r="B589" s="44">
        <v>0.3</v>
      </c>
      <c r="C589" s="45">
        <v>1</v>
      </c>
    </row>
    <row r="590" spans="1:3">
      <c r="A590" s="20" t="s">
        <v>1659</v>
      </c>
      <c r="B590" s="44">
        <v>0.2873563218390805</v>
      </c>
      <c r="C590" s="45">
        <v>1</v>
      </c>
    </row>
    <row r="591" spans="1:3">
      <c r="A591" s="20" t="s">
        <v>1797</v>
      </c>
      <c r="B591" s="44">
        <v>0.27573529411764702</v>
      </c>
      <c r="C591" s="45">
        <v>0.5</v>
      </c>
    </row>
    <row r="592" spans="1:3">
      <c r="A592" s="20" t="s">
        <v>1786</v>
      </c>
      <c r="B592" s="44">
        <v>0.27017291066282417</v>
      </c>
      <c r="C592" s="45">
        <v>2</v>
      </c>
    </row>
    <row r="593" spans="1:3">
      <c r="A593" s="20" t="s">
        <v>1396</v>
      </c>
      <c r="B593" s="44">
        <v>0.26595744680851063</v>
      </c>
      <c r="C593" s="45">
        <v>0.75</v>
      </c>
    </row>
    <row r="594" spans="1:3">
      <c r="A594" s="20" t="s">
        <v>1664</v>
      </c>
      <c r="B594" s="44">
        <v>0.26595744680851063</v>
      </c>
      <c r="C594" s="45">
        <v>1</v>
      </c>
    </row>
    <row r="595" spans="1:3">
      <c r="A595" s="20" t="s">
        <v>1349</v>
      </c>
      <c r="B595" s="44">
        <v>0.2259036144578313</v>
      </c>
      <c r="C595" s="45">
        <v>0</v>
      </c>
    </row>
    <row r="596" spans="1:3">
      <c r="A596" s="20" t="s">
        <v>1762</v>
      </c>
      <c r="B596" s="44">
        <v>0.2252252252252252</v>
      </c>
      <c r="C596" s="45" t="e">
        <v>#DIV/0!</v>
      </c>
    </row>
    <row r="597" spans="1:3">
      <c r="A597" s="20" t="s">
        <v>1394</v>
      </c>
      <c r="B597" s="44">
        <v>0.20161290322580644</v>
      </c>
      <c r="C597" s="45">
        <v>0.75</v>
      </c>
    </row>
    <row r="598" spans="1:3">
      <c r="A598" s="20" t="s">
        <v>1393</v>
      </c>
      <c r="B598" s="44">
        <v>0.19035532994923859</v>
      </c>
      <c r="C598" s="45" t="e">
        <v>#DIV/0!</v>
      </c>
    </row>
    <row r="599" spans="1:3">
      <c r="A599" s="20" t="s">
        <v>1743</v>
      </c>
      <c r="B599" s="44">
        <v>0.18281535648994515</v>
      </c>
      <c r="C599" s="45">
        <v>2</v>
      </c>
    </row>
    <row r="600" spans="1:3">
      <c r="A600" s="20" t="s">
        <v>1826</v>
      </c>
      <c r="B600" s="44">
        <v>0.17772511848341233</v>
      </c>
      <c r="C600" s="45">
        <v>1</v>
      </c>
    </row>
    <row r="601" spans="1:3">
      <c r="A601" s="20" t="s">
        <v>1490</v>
      </c>
      <c r="B601" s="44">
        <v>0</v>
      </c>
      <c r="C601" s="45" t="e">
        <v>#DIV/0!</v>
      </c>
    </row>
    <row r="602" spans="1:3">
      <c r="A602" s="20" t="s">
        <v>1799</v>
      </c>
      <c r="B602" s="44">
        <v>0</v>
      </c>
      <c r="C602" s="45" t="e">
        <v>#DIV/0!</v>
      </c>
    </row>
    <row r="603" spans="1:3">
      <c r="A603" s="20" t="s">
        <v>1802</v>
      </c>
      <c r="B603" s="44">
        <v>0</v>
      </c>
      <c r="C603" s="45" t="e">
        <v>#DIV/0!</v>
      </c>
    </row>
    <row r="604" spans="1:3">
      <c r="A604" s="20" t="s">
        <v>1758</v>
      </c>
      <c r="B604" s="44">
        <v>0</v>
      </c>
      <c r="C604" s="45" t="e">
        <v>#DIV/0!</v>
      </c>
    </row>
    <row r="605" spans="1:3">
      <c r="A605" s="20" t="s">
        <v>1857</v>
      </c>
      <c r="B605" s="44">
        <v>0</v>
      </c>
      <c r="C605" s="45" t="e">
        <v>#DIV/0!</v>
      </c>
    </row>
    <row r="606" spans="1:3">
      <c r="A606" s="20" t="s">
        <v>1660</v>
      </c>
      <c r="B606" s="44">
        <v>0</v>
      </c>
      <c r="C606" s="45" t="e">
        <v>#DIV/0!</v>
      </c>
    </row>
    <row r="607" spans="1:3">
      <c r="A607" s="20" t="s">
        <v>1308</v>
      </c>
      <c r="B607" s="44" t="e">
        <v>#DIV/0!</v>
      </c>
      <c r="C607" s="45" t="e">
        <v>#DIV/0!</v>
      </c>
    </row>
    <row r="608" spans="1:3">
      <c r="A608" s="20" t="s">
        <v>1506</v>
      </c>
      <c r="B608" s="44" t="e">
        <v>#DIV/0!</v>
      </c>
      <c r="C608" s="45" t="e">
        <v>#DIV/0!</v>
      </c>
    </row>
    <row r="609" spans="1:3">
      <c r="A609" s="20" t="s">
        <v>1518</v>
      </c>
      <c r="B609" s="44" t="e">
        <v>#DIV/0!</v>
      </c>
      <c r="C609" s="45" t="e">
        <v>#DIV/0!</v>
      </c>
    </row>
    <row r="610" spans="1:3">
      <c r="A610" s="20" t="s">
        <v>1559</v>
      </c>
      <c r="B610" s="44" t="e">
        <v>#DIV/0!</v>
      </c>
      <c r="C610" s="45" t="e">
        <v>#DIV/0!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L570"/>
  <sheetViews>
    <sheetView topLeftCell="AO1" workbookViewId="0">
      <selection activeCell="G9" sqref="G9"/>
    </sheetView>
  </sheetViews>
  <sheetFormatPr baseColWidth="10" defaultColWidth="12.6640625" defaultRowHeight="15.75" customHeight="1"/>
  <cols>
    <col min="1" max="1" width="18" customWidth="1"/>
    <col min="2" max="2" width="6.33203125" customWidth="1"/>
    <col min="3" max="3" width="6.5" style="32" customWidth="1"/>
    <col min="4" max="5" width="6.5" style="26" customWidth="1"/>
    <col min="6" max="64" width="6.5" customWidth="1"/>
  </cols>
  <sheetData>
    <row r="1" spans="1:64" ht="15.75" customHeight="1">
      <c r="A1" s="1" t="s">
        <v>0</v>
      </c>
      <c r="B1" s="2" t="s">
        <v>1</v>
      </c>
      <c r="C1" s="30" t="s">
        <v>7</v>
      </c>
      <c r="D1" s="28" t="s">
        <v>8</v>
      </c>
      <c r="E1" s="28" t="s">
        <v>9</v>
      </c>
      <c r="F1" s="27" t="s">
        <v>10</v>
      </c>
      <c r="G1" s="27" t="s">
        <v>11</v>
      </c>
      <c r="H1" s="27" t="s">
        <v>12</v>
      </c>
      <c r="I1" s="27" t="s">
        <v>13</v>
      </c>
      <c r="J1" s="27" t="s">
        <v>14</v>
      </c>
      <c r="K1" s="27" t="s">
        <v>15</v>
      </c>
      <c r="L1" s="27" t="s">
        <v>16</v>
      </c>
      <c r="M1" s="27" t="s">
        <v>17</v>
      </c>
      <c r="N1" s="27" t="s">
        <v>18</v>
      </c>
      <c r="O1" s="27" t="s">
        <v>19</v>
      </c>
      <c r="P1" s="27" t="s">
        <v>20</v>
      </c>
      <c r="Q1" s="27" t="s">
        <v>21</v>
      </c>
      <c r="R1" s="27" t="s">
        <v>22</v>
      </c>
      <c r="S1" s="27" t="s">
        <v>23</v>
      </c>
      <c r="T1" s="27" t="s">
        <v>24</v>
      </c>
      <c r="U1" s="27" t="s">
        <v>25</v>
      </c>
      <c r="V1" s="27" t="s">
        <v>26</v>
      </c>
      <c r="W1" s="1" t="str">
        <f>"+/-"</f>
        <v>+/-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4"/>
      <c r="AO1" s="4"/>
      <c r="AP1" s="4"/>
      <c r="AQ1" s="4"/>
      <c r="AR1" s="4"/>
      <c r="AS1" s="5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3"/>
    </row>
    <row r="2" spans="1:64" ht="15.75" customHeight="1">
      <c r="A2" s="6" t="s">
        <v>43</v>
      </c>
      <c r="B2" s="6" t="s">
        <v>44</v>
      </c>
      <c r="C2" s="31">
        <v>2485</v>
      </c>
      <c r="D2" s="24">
        <v>859</v>
      </c>
      <c r="E2" s="24">
        <v>1657</v>
      </c>
      <c r="F2" s="8">
        <v>51.9</v>
      </c>
      <c r="G2" s="9">
        <v>433</v>
      </c>
      <c r="H2" s="8">
        <v>37.5</v>
      </c>
      <c r="I2" s="8">
        <v>600</v>
      </c>
      <c r="J2" s="8">
        <v>669</v>
      </c>
      <c r="K2" s="8">
        <v>89.8</v>
      </c>
      <c r="L2" s="9">
        <v>68</v>
      </c>
      <c r="M2" s="9">
        <v>312</v>
      </c>
      <c r="N2" s="9">
        <v>380</v>
      </c>
      <c r="O2" s="9">
        <v>486</v>
      </c>
      <c r="P2" s="9">
        <v>182</v>
      </c>
      <c r="Q2" s="9">
        <v>129</v>
      </c>
      <c r="R2" s="9">
        <v>76</v>
      </c>
      <c r="S2" s="9">
        <v>167</v>
      </c>
      <c r="T2" s="8">
        <v>4112</v>
      </c>
      <c r="U2" s="8">
        <v>6</v>
      </c>
      <c r="V2" s="8">
        <v>0</v>
      </c>
      <c r="W2" s="7">
        <v>12.1</v>
      </c>
      <c r="X2" s="7">
        <v>122.4</v>
      </c>
      <c r="Y2" s="7">
        <v>105.7</v>
      </c>
      <c r="Z2" s="7">
        <v>16.7</v>
      </c>
      <c r="AA2" s="7">
        <v>29.9</v>
      </c>
      <c r="AB2" s="7">
        <v>2.66</v>
      </c>
      <c r="AC2" s="7">
        <v>18.7</v>
      </c>
      <c r="AD2" s="7">
        <v>2.5</v>
      </c>
      <c r="AE2" s="7">
        <v>11.2</v>
      </c>
      <c r="AF2" s="7">
        <v>6.9</v>
      </c>
      <c r="AG2" s="7">
        <v>7</v>
      </c>
      <c r="AH2" s="7">
        <v>56.9</v>
      </c>
      <c r="AI2" s="7">
        <v>63.7</v>
      </c>
      <c r="AJ2" s="7">
        <v>33.6</v>
      </c>
      <c r="AK2" s="7">
        <v>101.91</v>
      </c>
      <c r="AL2" s="7">
        <v>19.899999999999999</v>
      </c>
      <c r="AM2" s="7">
        <v>5514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1"/>
    </row>
    <row r="3" spans="1:64" ht="15.75" customHeight="1">
      <c r="A3" s="6" t="s">
        <v>45</v>
      </c>
      <c r="B3" s="6" t="s">
        <v>46</v>
      </c>
      <c r="C3" s="31">
        <v>2180</v>
      </c>
      <c r="D3" s="24">
        <v>719</v>
      </c>
      <c r="E3" s="24">
        <v>1612</v>
      </c>
      <c r="F3" s="8">
        <v>44.7</v>
      </c>
      <c r="G3" s="9">
        <v>814</v>
      </c>
      <c r="H3" s="8">
        <v>39.5</v>
      </c>
      <c r="I3" s="8">
        <v>419</v>
      </c>
      <c r="J3" s="8">
        <v>498</v>
      </c>
      <c r="K3" s="8">
        <v>83.7</v>
      </c>
      <c r="L3" s="9">
        <v>63</v>
      </c>
      <c r="M3" s="9">
        <v>387</v>
      </c>
      <c r="N3" s="9">
        <v>450</v>
      </c>
      <c r="O3" s="9">
        <v>356</v>
      </c>
      <c r="P3" s="9">
        <v>253</v>
      </c>
      <c r="Q3" s="9">
        <v>95</v>
      </c>
      <c r="R3" s="9">
        <v>47</v>
      </c>
      <c r="S3" s="9">
        <v>150</v>
      </c>
      <c r="T3" s="8">
        <v>3429</v>
      </c>
      <c r="U3" s="8">
        <v>7</v>
      </c>
      <c r="V3" s="8">
        <v>0</v>
      </c>
      <c r="W3" s="7">
        <v>3.7</v>
      </c>
      <c r="X3" s="7">
        <v>116.2</v>
      </c>
      <c r="Y3" s="7">
        <v>111.4</v>
      </c>
      <c r="Z3" s="7">
        <v>4.8</v>
      </c>
      <c r="AA3" s="7">
        <v>20.9</v>
      </c>
      <c r="AB3" s="7">
        <v>1.44</v>
      </c>
      <c r="AC3" s="7">
        <v>14.8</v>
      </c>
      <c r="AD3" s="7">
        <v>2.1</v>
      </c>
      <c r="AE3" s="7">
        <v>13.1</v>
      </c>
      <c r="AF3" s="7">
        <v>7.7</v>
      </c>
      <c r="AG3" s="7">
        <v>10.3</v>
      </c>
      <c r="AH3" s="7">
        <v>54.7</v>
      </c>
      <c r="AI3" s="7">
        <v>59.5</v>
      </c>
      <c r="AJ3" s="7">
        <v>30.7</v>
      </c>
      <c r="AK3" s="7">
        <v>98.27</v>
      </c>
      <c r="AL3" s="7">
        <v>14</v>
      </c>
      <c r="AM3" s="7">
        <v>5883</v>
      </c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1"/>
    </row>
    <row r="4" spans="1:64" ht="15.75" customHeight="1">
      <c r="A4" s="6" t="s">
        <v>47</v>
      </c>
      <c r="B4" s="6" t="s">
        <v>48</v>
      </c>
      <c r="C4" s="31">
        <v>2072</v>
      </c>
      <c r="D4" s="24">
        <v>784</v>
      </c>
      <c r="E4" s="24">
        <v>1365</v>
      </c>
      <c r="F4" s="8">
        <v>57.6</v>
      </c>
      <c r="G4" s="9">
        <v>329</v>
      </c>
      <c r="H4" s="8">
        <v>41.7</v>
      </c>
      <c r="I4" s="8">
        <v>364</v>
      </c>
      <c r="J4" s="8">
        <v>448</v>
      </c>
      <c r="K4" s="8">
        <v>80</v>
      </c>
      <c r="L4" s="9">
        <v>203</v>
      </c>
      <c r="M4" s="9">
        <v>693</v>
      </c>
      <c r="N4" s="9">
        <v>889</v>
      </c>
      <c r="O4" s="9">
        <v>714</v>
      </c>
      <c r="P4" s="9">
        <v>231</v>
      </c>
      <c r="Q4" s="9">
        <v>126</v>
      </c>
      <c r="R4" s="9">
        <v>42</v>
      </c>
      <c r="S4" s="9">
        <v>161</v>
      </c>
      <c r="T4" s="8">
        <v>4501</v>
      </c>
      <c r="U4" s="8">
        <v>59</v>
      </c>
      <c r="V4" s="8">
        <v>34</v>
      </c>
      <c r="W4" s="7">
        <v>8.5</v>
      </c>
      <c r="X4" s="7">
        <v>125.6</v>
      </c>
      <c r="Y4" s="7">
        <v>115.1</v>
      </c>
      <c r="Z4" s="7">
        <v>10.5</v>
      </c>
      <c r="AA4" s="7">
        <v>39.799999999999997</v>
      </c>
      <c r="AB4" s="7">
        <v>3.11</v>
      </c>
      <c r="AC4" s="7">
        <v>28.7</v>
      </c>
      <c r="AD4" s="7">
        <v>8.3000000000000007</v>
      </c>
      <c r="AE4" s="7">
        <v>25.2</v>
      </c>
      <c r="AF4" s="7">
        <v>17.3</v>
      </c>
      <c r="AG4" s="7">
        <v>9.1999999999999993</v>
      </c>
      <c r="AH4" s="7">
        <v>62.7</v>
      </c>
      <c r="AI4" s="7">
        <v>66.3</v>
      </c>
      <c r="AJ4" s="7">
        <v>28.5</v>
      </c>
      <c r="AK4" s="7">
        <v>101.99</v>
      </c>
      <c r="AL4" s="7">
        <v>20.6</v>
      </c>
      <c r="AM4" s="7">
        <v>5471</v>
      </c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1"/>
    </row>
    <row r="5" spans="1:64" ht="15.75" customHeight="1">
      <c r="A5" s="6" t="s">
        <v>49</v>
      </c>
      <c r="B5" s="6" t="s">
        <v>50</v>
      </c>
      <c r="C5" s="31">
        <v>2037</v>
      </c>
      <c r="D5" s="24">
        <v>791</v>
      </c>
      <c r="E5" s="24">
        <v>1320</v>
      </c>
      <c r="F5" s="8">
        <v>60.1</v>
      </c>
      <c r="G5" s="9">
        <v>60</v>
      </c>
      <c r="H5" s="8">
        <v>22.2</v>
      </c>
      <c r="I5" s="8">
        <v>436</v>
      </c>
      <c r="J5" s="8">
        <v>710</v>
      </c>
      <c r="K5" s="8">
        <v>61.7</v>
      </c>
      <c r="L5" s="9">
        <v>147</v>
      </c>
      <c r="M5" s="9">
        <v>650</v>
      </c>
      <c r="N5" s="9">
        <v>797</v>
      </c>
      <c r="O5" s="9">
        <v>436</v>
      </c>
      <c r="P5" s="9">
        <v>208</v>
      </c>
      <c r="Q5" s="9">
        <v>60</v>
      </c>
      <c r="R5" s="9">
        <v>80</v>
      </c>
      <c r="S5" s="9">
        <v>154</v>
      </c>
      <c r="T5" s="8">
        <v>3846</v>
      </c>
      <c r="U5" s="8">
        <v>55</v>
      </c>
      <c r="V5" s="8">
        <v>11</v>
      </c>
      <c r="W5" s="7">
        <v>5</v>
      </c>
      <c r="X5" s="7">
        <v>118.9</v>
      </c>
      <c r="Y5" s="7">
        <v>111.7</v>
      </c>
      <c r="Z5" s="7">
        <v>7.2</v>
      </c>
      <c r="AA5" s="7">
        <v>33.9</v>
      </c>
      <c r="AB5" s="7">
        <v>2.1</v>
      </c>
      <c r="AC5" s="7">
        <v>19.2</v>
      </c>
      <c r="AD5" s="7">
        <v>6.7</v>
      </c>
      <c r="AE5" s="7">
        <v>26.6</v>
      </c>
      <c r="AF5" s="7">
        <v>17.2</v>
      </c>
      <c r="AG5" s="7">
        <v>9.1</v>
      </c>
      <c r="AH5" s="7">
        <v>60.7</v>
      </c>
      <c r="AI5" s="7">
        <v>62.5</v>
      </c>
      <c r="AJ5" s="7">
        <v>34.6</v>
      </c>
      <c r="AK5" s="7">
        <v>100.18</v>
      </c>
      <c r="AL5" s="7">
        <v>21</v>
      </c>
      <c r="AM5" s="7">
        <v>4772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4" ht="15.75" customHeight="1">
      <c r="A6" s="6" t="s">
        <v>51</v>
      </c>
      <c r="B6" s="6" t="s">
        <v>52</v>
      </c>
      <c r="C6" s="31">
        <v>1930</v>
      </c>
      <c r="D6" s="24">
        <v>662</v>
      </c>
      <c r="E6" s="24">
        <v>1462</v>
      </c>
      <c r="F6" s="8">
        <v>45.2</v>
      </c>
      <c r="G6" s="9">
        <v>727</v>
      </c>
      <c r="H6" s="8">
        <v>34.299999999999997</v>
      </c>
      <c r="I6" s="8">
        <v>360</v>
      </c>
      <c r="J6" s="8">
        <v>439</v>
      </c>
      <c r="K6" s="8">
        <v>81.400000000000006</v>
      </c>
      <c r="L6" s="9">
        <v>50</v>
      </c>
      <c r="M6" s="9">
        <v>576</v>
      </c>
      <c r="N6" s="9">
        <v>626</v>
      </c>
      <c r="O6" s="9">
        <v>432</v>
      </c>
      <c r="P6" s="9">
        <v>209</v>
      </c>
      <c r="Q6" s="9">
        <v>79</v>
      </c>
      <c r="R6" s="9">
        <v>36</v>
      </c>
      <c r="S6" s="9">
        <v>158</v>
      </c>
      <c r="T6" s="8">
        <v>3456</v>
      </c>
      <c r="U6" s="8">
        <v>31</v>
      </c>
      <c r="V6" s="8">
        <v>2</v>
      </c>
      <c r="W6" s="7">
        <v>7.4</v>
      </c>
      <c r="X6" s="7">
        <v>119.6</v>
      </c>
      <c r="Y6" s="7">
        <v>109.8</v>
      </c>
      <c r="Z6" s="7">
        <v>9.8000000000000007</v>
      </c>
      <c r="AA6" s="7">
        <v>26.6</v>
      </c>
      <c r="AB6" s="7">
        <v>2.6</v>
      </c>
      <c r="AC6" s="7">
        <v>18.899999999999999</v>
      </c>
      <c r="AD6" s="7">
        <v>1.7</v>
      </c>
      <c r="AE6" s="7">
        <v>20.6</v>
      </c>
      <c r="AF6" s="7">
        <v>11.2</v>
      </c>
      <c r="AG6" s="7">
        <v>9.1999999999999993</v>
      </c>
      <c r="AH6" s="7">
        <v>53.7</v>
      </c>
      <c r="AI6" s="7">
        <v>58.2</v>
      </c>
      <c r="AJ6" s="7">
        <v>30.1</v>
      </c>
      <c r="AK6" s="7">
        <v>98.14</v>
      </c>
      <c r="AL6" s="7">
        <v>15.8</v>
      </c>
      <c r="AM6" s="7">
        <v>5368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1"/>
    </row>
    <row r="7" spans="1:64" ht="15.75" customHeight="1">
      <c r="A7" s="12" t="s">
        <v>53</v>
      </c>
      <c r="B7" s="6" t="s">
        <v>54</v>
      </c>
      <c r="C7" s="31">
        <v>1920</v>
      </c>
      <c r="D7" s="24">
        <v>653</v>
      </c>
      <c r="E7" s="24">
        <v>1418</v>
      </c>
      <c r="F7" s="8">
        <v>46.1</v>
      </c>
      <c r="G7" s="9">
        <v>548</v>
      </c>
      <c r="H7" s="8">
        <v>33.200000000000003</v>
      </c>
      <c r="I7" s="8">
        <v>435</v>
      </c>
      <c r="J7" s="8">
        <v>480</v>
      </c>
      <c r="K7" s="8">
        <v>89.4</v>
      </c>
      <c r="L7" s="9">
        <v>75</v>
      </c>
      <c r="M7" s="9">
        <v>233</v>
      </c>
      <c r="N7" s="9">
        <v>308</v>
      </c>
      <c r="O7" s="9">
        <v>533</v>
      </c>
      <c r="P7" s="9">
        <v>218</v>
      </c>
      <c r="Q7" s="9">
        <v>68</v>
      </c>
      <c r="R7" s="9">
        <v>15</v>
      </c>
      <c r="S7" s="9">
        <v>195</v>
      </c>
      <c r="T7" s="8">
        <v>3113</v>
      </c>
      <c r="U7" s="8">
        <v>16</v>
      </c>
      <c r="V7" s="8">
        <v>0</v>
      </c>
      <c r="W7" s="7">
        <v>-2.4</v>
      </c>
      <c r="X7" s="7">
        <v>115.3</v>
      </c>
      <c r="Y7" s="7">
        <v>118.5</v>
      </c>
      <c r="Z7" s="7">
        <v>-3.2</v>
      </c>
      <c r="AA7" s="7">
        <v>30.1</v>
      </c>
      <c r="AB7" s="7">
        <v>2.4</v>
      </c>
      <c r="AC7" s="7">
        <v>22.4</v>
      </c>
      <c r="AD7" s="7">
        <v>2.8</v>
      </c>
      <c r="AE7" s="7">
        <v>8</v>
      </c>
      <c r="AF7" s="7">
        <v>5.5</v>
      </c>
      <c r="AG7" s="7">
        <v>9.3000000000000007</v>
      </c>
      <c r="AH7" s="7">
        <v>52.5</v>
      </c>
      <c r="AI7" s="7">
        <v>58.9</v>
      </c>
      <c r="AJ7" s="7">
        <v>28.5</v>
      </c>
      <c r="AK7" s="7">
        <v>98.72</v>
      </c>
      <c r="AL7" s="7">
        <v>12.2</v>
      </c>
      <c r="AM7" s="7">
        <v>5752</v>
      </c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1"/>
    </row>
    <row r="8" spans="1:64" ht="15.75" customHeight="1">
      <c r="A8" s="6" t="s">
        <v>55</v>
      </c>
      <c r="B8" s="6" t="s">
        <v>56</v>
      </c>
      <c r="C8" s="31">
        <v>1840</v>
      </c>
      <c r="D8" s="24">
        <v>655</v>
      </c>
      <c r="E8" s="24">
        <v>1378</v>
      </c>
      <c r="F8" s="8">
        <v>47.2</v>
      </c>
      <c r="G8" s="9">
        <v>670</v>
      </c>
      <c r="H8" s="8">
        <v>37.5</v>
      </c>
      <c r="I8" s="8">
        <v>285</v>
      </c>
      <c r="J8" s="8">
        <v>323</v>
      </c>
      <c r="K8" s="8">
        <v>87.8</v>
      </c>
      <c r="L8" s="9">
        <v>39</v>
      </c>
      <c r="M8" s="9">
        <v>362</v>
      </c>
      <c r="N8" s="9">
        <v>400</v>
      </c>
      <c r="O8" s="9">
        <v>424</v>
      </c>
      <c r="P8" s="9">
        <v>200</v>
      </c>
      <c r="Q8" s="9">
        <v>69</v>
      </c>
      <c r="R8" s="9">
        <v>15</v>
      </c>
      <c r="S8" s="9">
        <v>85</v>
      </c>
      <c r="T8" s="8">
        <v>3018</v>
      </c>
      <c r="U8" s="8">
        <v>9</v>
      </c>
      <c r="V8" s="8">
        <v>0</v>
      </c>
      <c r="W8" s="7">
        <v>1.3</v>
      </c>
      <c r="X8" s="7">
        <v>113.9</v>
      </c>
      <c r="Y8" s="7">
        <v>112.6</v>
      </c>
      <c r="Z8" s="7">
        <v>1.3</v>
      </c>
      <c r="AA8" s="7">
        <v>25.4</v>
      </c>
      <c r="AB8" s="7">
        <v>2.14</v>
      </c>
      <c r="AC8" s="7">
        <v>20</v>
      </c>
      <c r="AD8" s="7">
        <v>1.3</v>
      </c>
      <c r="AE8" s="7">
        <v>13.2</v>
      </c>
      <c r="AF8" s="7">
        <v>7.3</v>
      </c>
      <c r="AG8" s="7">
        <v>9.3000000000000007</v>
      </c>
      <c r="AH8" s="7">
        <v>56.3</v>
      </c>
      <c r="AI8" s="7">
        <v>60.5</v>
      </c>
      <c r="AJ8" s="7">
        <v>27.1</v>
      </c>
      <c r="AK8" s="7">
        <v>97.78</v>
      </c>
      <c r="AL8" s="7">
        <v>13.9</v>
      </c>
      <c r="AM8" s="7">
        <v>5564</v>
      </c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1"/>
    </row>
    <row r="9" spans="1:64" ht="15.75" customHeight="1">
      <c r="A9" s="6" t="s">
        <v>57</v>
      </c>
      <c r="B9" s="6" t="s">
        <v>58</v>
      </c>
      <c r="C9" s="31">
        <v>1839</v>
      </c>
      <c r="D9" s="24">
        <v>562</v>
      </c>
      <c r="E9" s="24">
        <v>1376</v>
      </c>
      <c r="F9" s="8">
        <v>41.1</v>
      </c>
      <c r="G9" s="9">
        <v>638</v>
      </c>
      <c r="H9" s="8">
        <v>34</v>
      </c>
      <c r="I9" s="8">
        <v>494</v>
      </c>
      <c r="J9" s="8">
        <v>562</v>
      </c>
      <c r="K9" s="8">
        <v>87.5</v>
      </c>
      <c r="L9" s="9">
        <v>38</v>
      </c>
      <c r="M9" s="9">
        <v>198</v>
      </c>
      <c r="N9" s="9">
        <v>236</v>
      </c>
      <c r="O9" s="9">
        <v>882</v>
      </c>
      <c r="P9" s="9">
        <v>357</v>
      </c>
      <c r="Q9" s="9">
        <v>91</v>
      </c>
      <c r="R9" s="9">
        <v>15</v>
      </c>
      <c r="S9" s="9">
        <v>144</v>
      </c>
      <c r="T9" s="8">
        <v>3397</v>
      </c>
      <c r="U9" s="8">
        <v>51</v>
      </c>
      <c r="V9" s="8">
        <v>0</v>
      </c>
      <c r="W9" s="7">
        <v>0.4</v>
      </c>
      <c r="X9" s="7">
        <v>115.2</v>
      </c>
      <c r="Y9" s="7">
        <v>114.6</v>
      </c>
      <c r="Z9" s="7">
        <v>0.6</v>
      </c>
      <c r="AA9" s="7">
        <v>45.2</v>
      </c>
      <c r="AB9" s="7">
        <v>2.48</v>
      </c>
      <c r="AC9" s="7">
        <v>30.9</v>
      </c>
      <c r="AD9" s="7">
        <v>1.2</v>
      </c>
      <c r="AE9" s="7">
        <v>7.2</v>
      </c>
      <c r="AF9" s="7">
        <v>4.2</v>
      </c>
      <c r="AG9" s="7">
        <v>12.5</v>
      </c>
      <c r="AH9" s="7">
        <v>49.1</v>
      </c>
      <c r="AI9" s="7">
        <v>56.7</v>
      </c>
      <c r="AJ9" s="7">
        <v>28.5</v>
      </c>
      <c r="AK9" s="7">
        <v>105.51</v>
      </c>
      <c r="AL9" s="7">
        <v>12.9</v>
      </c>
      <c r="AM9" s="7">
        <v>6020</v>
      </c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1"/>
    </row>
    <row r="10" spans="1:64" ht="15.75" customHeight="1">
      <c r="A10" s="6" t="s">
        <v>59</v>
      </c>
      <c r="B10" s="6" t="s">
        <v>60</v>
      </c>
      <c r="C10" s="31">
        <v>1827</v>
      </c>
      <c r="D10" s="24">
        <v>686</v>
      </c>
      <c r="E10" s="24">
        <v>1456</v>
      </c>
      <c r="F10" s="8">
        <v>46.9</v>
      </c>
      <c r="G10" s="9">
        <v>420</v>
      </c>
      <c r="H10" s="8">
        <v>35.6</v>
      </c>
      <c r="I10" s="8">
        <v>315</v>
      </c>
      <c r="J10" s="8">
        <v>371</v>
      </c>
      <c r="K10" s="8">
        <v>84.6</v>
      </c>
      <c r="L10" s="9">
        <v>56</v>
      </c>
      <c r="M10" s="9">
        <v>371</v>
      </c>
      <c r="N10" s="9">
        <v>427</v>
      </c>
      <c r="O10" s="9">
        <v>637</v>
      </c>
      <c r="P10" s="9">
        <v>308</v>
      </c>
      <c r="Q10" s="9">
        <v>70</v>
      </c>
      <c r="R10" s="9">
        <v>56</v>
      </c>
      <c r="S10" s="9">
        <v>196</v>
      </c>
      <c r="T10" s="8">
        <v>3360</v>
      </c>
      <c r="U10" s="8">
        <v>31</v>
      </c>
      <c r="V10" s="8">
        <v>9</v>
      </c>
      <c r="W10" s="7">
        <v>2.5</v>
      </c>
      <c r="X10" s="7">
        <v>115</v>
      </c>
      <c r="Y10" s="7">
        <v>112.2</v>
      </c>
      <c r="Z10" s="7">
        <v>2.8</v>
      </c>
      <c r="AA10" s="7">
        <v>40.9</v>
      </c>
      <c r="AB10" s="7">
        <v>2.06</v>
      </c>
      <c r="AC10" s="7">
        <v>25</v>
      </c>
      <c r="AD10" s="7">
        <v>2.2999999999999998</v>
      </c>
      <c r="AE10" s="7">
        <v>14.7</v>
      </c>
      <c r="AF10" s="7">
        <v>8.6</v>
      </c>
      <c r="AG10" s="7">
        <v>12.1</v>
      </c>
      <c r="AH10" s="7">
        <v>52.1</v>
      </c>
      <c r="AI10" s="7">
        <v>56.5</v>
      </c>
      <c r="AJ10" s="7">
        <v>32.299999999999997</v>
      </c>
      <c r="AK10" s="7">
        <v>101.57</v>
      </c>
      <c r="AL10" s="7">
        <v>15.2</v>
      </c>
      <c r="AM10" s="7">
        <v>5201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1"/>
    </row>
    <row r="11" spans="1:64" ht="15.75" customHeight="1">
      <c r="A11" s="6" t="s">
        <v>61</v>
      </c>
      <c r="B11" s="6" t="s">
        <v>62</v>
      </c>
      <c r="C11" s="31">
        <v>1801</v>
      </c>
      <c r="D11" s="24">
        <v>529</v>
      </c>
      <c r="E11" s="24">
        <v>1296</v>
      </c>
      <c r="F11" s="8">
        <v>41</v>
      </c>
      <c r="G11" s="9">
        <v>672</v>
      </c>
      <c r="H11" s="8">
        <v>35.200000000000003</v>
      </c>
      <c r="I11" s="8">
        <v>506</v>
      </c>
      <c r="J11" s="8">
        <v>577</v>
      </c>
      <c r="K11" s="8">
        <v>87.4</v>
      </c>
      <c r="L11" s="9">
        <v>55</v>
      </c>
      <c r="M11" s="9">
        <v>403</v>
      </c>
      <c r="N11" s="9">
        <v>458</v>
      </c>
      <c r="O11" s="9">
        <v>687</v>
      </c>
      <c r="P11" s="9">
        <v>340</v>
      </c>
      <c r="Q11" s="9">
        <v>119</v>
      </c>
      <c r="R11" s="9">
        <v>55</v>
      </c>
      <c r="S11" s="9">
        <v>166</v>
      </c>
      <c r="T11" s="8">
        <v>3555</v>
      </c>
      <c r="U11" s="8">
        <v>38</v>
      </c>
      <c r="V11" s="8">
        <v>3</v>
      </c>
      <c r="W11" s="7">
        <v>4.4000000000000004</v>
      </c>
      <c r="X11" s="7">
        <v>115.4</v>
      </c>
      <c r="Y11" s="7">
        <v>109.2</v>
      </c>
      <c r="Z11" s="7">
        <v>6.2</v>
      </c>
      <c r="AA11" s="7">
        <v>36.5</v>
      </c>
      <c r="AB11" s="7">
        <v>2.0099999999999998</v>
      </c>
      <c r="AC11" s="7">
        <v>26.9</v>
      </c>
      <c r="AD11" s="7">
        <v>2</v>
      </c>
      <c r="AE11" s="7">
        <v>14.3</v>
      </c>
      <c r="AF11" s="7">
        <v>8.3000000000000007</v>
      </c>
      <c r="AG11" s="7">
        <v>13.4</v>
      </c>
      <c r="AH11" s="7">
        <v>50.1</v>
      </c>
      <c r="AI11" s="7">
        <v>58.2</v>
      </c>
      <c r="AJ11" s="7">
        <v>28.6</v>
      </c>
      <c r="AK11" s="7">
        <v>98.82</v>
      </c>
      <c r="AL11" s="7">
        <v>14.5</v>
      </c>
      <c r="AM11" s="7">
        <v>5737</v>
      </c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1"/>
    </row>
    <row r="12" spans="1:64" ht="15.75" customHeight="1">
      <c r="A12" s="6" t="s">
        <v>63</v>
      </c>
      <c r="B12" s="6" t="s">
        <v>64</v>
      </c>
      <c r="C12" s="31">
        <v>1757</v>
      </c>
      <c r="D12" s="24">
        <v>641</v>
      </c>
      <c r="E12" s="24">
        <v>1217</v>
      </c>
      <c r="F12" s="8">
        <v>52.6</v>
      </c>
      <c r="G12" s="9">
        <v>338</v>
      </c>
      <c r="H12" s="8">
        <v>42</v>
      </c>
      <c r="I12" s="8">
        <v>338</v>
      </c>
      <c r="J12" s="8">
        <v>410</v>
      </c>
      <c r="K12" s="8">
        <v>82.9</v>
      </c>
      <c r="L12" s="9">
        <v>209</v>
      </c>
      <c r="M12" s="9">
        <v>706</v>
      </c>
      <c r="N12" s="9">
        <v>922</v>
      </c>
      <c r="O12" s="9">
        <v>223</v>
      </c>
      <c r="P12" s="9">
        <v>194</v>
      </c>
      <c r="Q12" s="9">
        <v>72</v>
      </c>
      <c r="R12" s="9">
        <v>50</v>
      </c>
      <c r="S12" s="9">
        <v>252</v>
      </c>
      <c r="T12" s="8">
        <v>3370</v>
      </c>
      <c r="U12" s="8">
        <v>58</v>
      </c>
      <c r="V12" s="8">
        <v>1</v>
      </c>
      <c r="W12" s="7">
        <v>5.3</v>
      </c>
      <c r="X12" s="7">
        <v>119.4</v>
      </c>
      <c r="Y12" s="7">
        <v>112.7</v>
      </c>
      <c r="Z12" s="7">
        <v>6.8</v>
      </c>
      <c r="AA12" s="7">
        <v>13</v>
      </c>
      <c r="AB12" s="7">
        <v>1.1599999999999999</v>
      </c>
      <c r="AC12" s="7">
        <v>12.4</v>
      </c>
      <c r="AD12" s="7">
        <v>8.6999999999999993</v>
      </c>
      <c r="AE12" s="7">
        <v>28.4</v>
      </c>
      <c r="AF12" s="7">
        <v>18.7</v>
      </c>
      <c r="AG12" s="7">
        <v>10.7</v>
      </c>
      <c r="AH12" s="7">
        <v>58.4</v>
      </c>
      <c r="AI12" s="7">
        <v>63</v>
      </c>
      <c r="AJ12" s="7">
        <v>26.5</v>
      </c>
      <c r="AK12" s="7">
        <v>99.25</v>
      </c>
      <c r="AL12" s="7">
        <v>16.100000000000001</v>
      </c>
      <c r="AM12" s="7">
        <v>5215</v>
      </c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1"/>
    </row>
    <row r="13" spans="1:64" ht="15.75" customHeight="1">
      <c r="A13" s="6" t="s">
        <v>65</v>
      </c>
      <c r="B13" s="6" t="s">
        <v>66</v>
      </c>
      <c r="C13" s="31">
        <v>1724</v>
      </c>
      <c r="D13" s="24">
        <v>622</v>
      </c>
      <c r="E13" s="24">
        <v>1221</v>
      </c>
      <c r="F13" s="8">
        <v>51.1</v>
      </c>
      <c r="G13" s="9">
        <v>533</v>
      </c>
      <c r="H13" s="8">
        <v>44.6</v>
      </c>
      <c r="I13" s="8">
        <v>237</v>
      </c>
      <c r="J13" s="8">
        <v>289</v>
      </c>
      <c r="K13" s="8">
        <v>82.5</v>
      </c>
      <c r="L13" s="9">
        <v>22</v>
      </c>
      <c r="M13" s="9">
        <v>296</v>
      </c>
      <c r="N13" s="9">
        <v>318</v>
      </c>
      <c r="O13" s="9">
        <v>311</v>
      </c>
      <c r="P13" s="9">
        <v>207</v>
      </c>
      <c r="Q13" s="9">
        <v>59</v>
      </c>
      <c r="R13" s="9">
        <v>15</v>
      </c>
      <c r="S13" s="9">
        <v>118</v>
      </c>
      <c r="T13" s="8">
        <v>2568</v>
      </c>
      <c r="U13" s="8">
        <v>6</v>
      </c>
      <c r="V13" s="8">
        <v>0</v>
      </c>
      <c r="W13" s="7">
        <v>-0.9</v>
      </c>
      <c r="X13" s="7">
        <v>115.4</v>
      </c>
      <c r="Y13" s="7">
        <v>116.8</v>
      </c>
      <c r="Z13" s="7">
        <v>-1.4</v>
      </c>
      <c r="AA13" s="7">
        <v>17.8</v>
      </c>
      <c r="AB13" s="7">
        <v>1.49</v>
      </c>
      <c r="AC13" s="7">
        <v>16.7</v>
      </c>
      <c r="AD13" s="7">
        <v>0.9</v>
      </c>
      <c r="AE13" s="7">
        <v>10.7</v>
      </c>
      <c r="AF13" s="7">
        <v>5.9</v>
      </c>
      <c r="AG13" s="7">
        <v>11.2</v>
      </c>
      <c r="AH13" s="7">
        <v>60.9</v>
      </c>
      <c r="AI13" s="7">
        <v>63.9</v>
      </c>
      <c r="AJ13" s="7">
        <v>25.1</v>
      </c>
      <c r="AK13" s="7">
        <v>101.28</v>
      </c>
      <c r="AL13" s="7">
        <v>11.5</v>
      </c>
      <c r="AM13" s="7">
        <v>5493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1"/>
    </row>
    <row r="14" spans="1:64" ht="15.75" customHeight="1">
      <c r="A14" s="6" t="s">
        <v>67</v>
      </c>
      <c r="B14" s="6" t="s">
        <v>68</v>
      </c>
      <c r="C14" s="31">
        <v>1722</v>
      </c>
      <c r="D14" s="24">
        <v>607</v>
      </c>
      <c r="E14" s="24">
        <v>1435</v>
      </c>
      <c r="F14" s="8">
        <v>42.3</v>
      </c>
      <c r="G14" s="9">
        <v>664</v>
      </c>
      <c r="H14" s="8">
        <v>35.4</v>
      </c>
      <c r="I14" s="8">
        <v>271</v>
      </c>
      <c r="J14" s="8">
        <v>336</v>
      </c>
      <c r="K14" s="8">
        <v>81.3</v>
      </c>
      <c r="L14" s="9">
        <v>41</v>
      </c>
      <c r="M14" s="9">
        <v>328</v>
      </c>
      <c r="N14" s="9">
        <v>377</v>
      </c>
      <c r="O14" s="9">
        <v>279</v>
      </c>
      <c r="P14" s="9">
        <v>205</v>
      </c>
      <c r="Q14" s="9">
        <v>74</v>
      </c>
      <c r="R14" s="9">
        <v>25</v>
      </c>
      <c r="S14" s="9">
        <v>123</v>
      </c>
      <c r="T14" s="8">
        <v>2690</v>
      </c>
      <c r="U14" s="8">
        <v>4</v>
      </c>
      <c r="V14" s="8">
        <v>0</v>
      </c>
      <c r="W14" s="7">
        <v>2</v>
      </c>
      <c r="X14" s="7">
        <v>113.8</v>
      </c>
      <c r="Y14" s="7">
        <v>111.1</v>
      </c>
      <c r="Z14" s="7">
        <v>2.8</v>
      </c>
      <c r="AA14" s="7">
        <v>15.9</v>
      </c>
      <c r="AB14" s="7">
        <v>1.39</v>
      </c>
      <c r="AC14" s="7">
        <v>13.7</v>
      </c>
      <c r="AD14" s="7">
        <v>1.5</v>
      </c>
      <c r="AE14" s="7">
        <v>12</v>
      </c>
      <c r="AF14" s="7">
        <v>6.5</v>
      </c>
      <c r="AG14" s="7">
        <v>9.9</v>
      </c>
      <c r="AH14" s="7">
        <v>50.5</v>
      </c>
      <c r="AI14" s="7">
        <v>54.4</v>
      </c>
      <c r="AJ14" s="7">
        <v>26.7</v>
      </c>
      <c r="AK14" s="7">
        <v>99.75</v>
      </c>
      <c r="AL14" s="7">
        <v>11.1</v>
      </c>
      <c r="AM14" s="7">
        <v>5610</v>
      </c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1"/>
    </row>
    <row r="15" spans="1:64" ht="15.75" customHeight="1">
      <c r="A15" s="6" t="s">
        <v>69</v>
      </c>
      <c r="B15" s="6" t="s">
        <v>70</v>
      </c>
      <c r="C15" s="31">
        <v>1715</v>
      </c>
      <c r="D15" s="24">
        <v>567</v>
      </c>
      <c r="E15" s="24">
        <v>1260</v>
      </c>
      <c r="F15" s="8">
        <v>44.8</v>
      </c>
      <c r="G15" s="9">
        <v>784</v>
      </c>
      <c r="H15" s="8">
        <v>39.700000000000003</v>
      </c>
      <c r="I15" s="8">
        <v>280</v>
      </c>
      <c r="J15" s="8">
        <v>301</v>
      </c>
      <c r="K15" s="8">
        <v>93.3</v>
      </c>
      <c r="L15" s="9">
        <v>42</v>
      </c>
      <c r="M15" s="9">
        <v>273</v>
      </c>
      <c r="N15" s="9">
        <v>308</v>
      </c>
      <c r="O15" s="9">
        <v>420</v>
      </c>
      <c r="P15" s="9">
        <v>203</v>
      </c>
      <c r="Q15" s="9">
        <v>77</v>
      </c>
      <c r="R15" s="9">
        <v>28</v>
      </c>
      <c r="S15" s="9">
        <v>98</v>
      </c>
      <c r="T15" s="8">
        <v>2849</v>
      </c>
      <c r="U15" s="8">
        <v>9</v>
      </c>
      <c r="V15" s="8">
        <v>0</v>
      </c>
      <c r="W15" s="7">
        <v>4.3</v>
      </c>
      <c r="X15" s="7">
        <v>118.4</v>
      </c>
      <c r="Y15" s="7">
        <v>112.7</v>
      </c>
      <c r="Z15" s="7">
        <v>5.7</v>
      </c>
      <c r="AA15" s="7">
        <v>28.4</v>
      </c>
      <c r="AB15" s="7">
        <v>2.11</v>
      </c>
      <c r="AC15" s="7">
        <v>21.1</v>
      </c>
      <c r="AD15" s="7">
        <v>1.7</v>
      </c>
      <c r="AE15" s="7">
        <v>11.8</v>
      </c>
      <c r="AF15" s="7">
        <v>6.6</v>
      </c>
      <c r="AG15" s="7">
        <v>10</v>
      </c>
      <c r="AH15" s="7">
        <v>57.2</v>
      </c>
      <c r="AI15" s="7">
        <v>61.8</v>
      </c>
      <c r="AJ15" s="7">
        <v>28.6</v>
      </c>
      <c r="AK15" s="7">
        <v>101.72</v>
      </c>
      <c r="AL15" s="7">
        <v>14.5</v>
      </c>
      <c r="AM15" s="7">
        <v>4785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1"/>
    </row>
    <row r="16" spans="1:64" ht="15.75" customHeight="1">
      <c r="A16" s="6" t="s">
        <v>71</v>
      </c>
      <c r="B16" s="6" t="s">
        <v>72</v>
      </c>
      <c r="C16" s="31">
        <v>1709</v>
      </c>
      <c r="D16" s="24">
        <v>624</v>
      </c>
      <c r="E16" s="24">
        <v>1309</v>
      </c>
      <c r="F16" s="8">
        <v>47.7</v>
      </c>
      <c r="G16" s="9">
        <v>254</v>
      </c>
      <c r="H16" s="8">
        <v>32.799999999999997</v>
      </c>
      <c r="I16" s="8">
        <v>377</v>
      </c>
      <c r="J16" s="8">
        <v>439</v>
      </c>
      <c r="K16" s="8">
        <v>85.7</v>
      </c>
      <c r="L16" s="9">
        <v>46</v>
      </c>
      <c r="M16" s="9">
        <v>246</v>
      </c>
      <c r="N16" s="9">
        <v>300</v>
      </c>
      <c r="O16" s="9">
        <v>339</v>
      </c>
      <c r="P16" s="9">
        <v>108</v>
      </c>
      <c r="Q16" s="9">
        <v>62</v>
      </c>
      <c r="R16" s="9">
        <v>31</v>
      </c>
      <c r="S16" s="9">
        <v>146</v>
      </c>
      <c r="T16" s="8">
        <v>2757</v>
      </c>
      <c r="U16" s="8">
        <v>3</v>
      </c>
      <c r="V16" s="8">
        <v>0</v>
      </c>
      <c r="W16" s="7">
        <v>1.4</v>
      </c>
      <c r="X16" s="7">
        <v>116.8</v>
      </c>
      <c r="Y16" s="7">
        <v>115.3</v>
      </c>
      <c r="Z16" s="7">
        <v>1.5</v>
      </c>
      <c r="AA16" s="7">
        <v>18.2</v>
      </c>
      <c r="AB16" s="7">
        <v>3.26</v>
      </c>
      <c r="AC16" s="7">
        <v>17.7</v>
      </c>
      <c r="AD16" s="7">
        <v>1.8</v>
      </c>
      <c r="AE16" s="7">
        <v>9</v>
      </c>
      <c r="AF16" s="7">
        <v>5.4</v>
      </c>
      <c r="AG16" s="7">
        <v>5.4</v>
      </c>
      <c r="AH16" s="7">
        <v>50.9</v>
      </c>
      <c r="AI16" s="7">
        <v>56.9</v>
      </c>
      <c r="AJ16" s="7">
        <v>24.4</v>
      </c>
      <c r="AK16" s="7">
        <v>99.35</v>
      </c>
      <c r="AL16" s="7">
        <v>11.2</v>
      </c>
      <c r="AM16" s="7">
        <v>5740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1"/>
    </row>
    <row r="17" spans="1:64" ht="15.75" customHeight="1">
      <c r="A17" s="6" t="s">
        <v>73</v>
      </c>
      <c r="B17" s="6" t="s">
        <v>74</v>
      </c>
      <c r="C17" s="31">
        <v>1708</v>
      </c>
      <c r="D17" s="24">
        <v>651</v>
      </c>
      <c r="E17" s="24">
        <v>1267</v>
      </c>
      <c r="F17" s="8">
        <v>51.3</v>
      </c>
      <c r="G17" s="9">
        <v>399</v>
      </c>
      <c r="H17" s="8">
        <v>37.6</v>
      </c>
      <c r="I17" s="8">
        <v>259</v>
      </c>
      <c r="J17" s="8">
        <v>329</v>
      </c>
      <c r="K17" s="8">
        <v>78.2</v>
      </c>
      <c r="L17" s="9">
        <v>70</v>
      </c>
      <c r="M17" s="9">
        <v>476</v>
      </c>
      <c r="N17" s="9">
        <v>546</v>
      </c>
      <c r="O17" s="9">
        <v>574</v>
      </c>
      <c r="P17" s="9">
        <v>259</v>
      </c>
      <c r="Q17" s="9">
        <v>70</v>
      </c>
      <c r="R17" s="9">
        <v>42</v>
      </c>
      <c r="S17" s="9">
        <v>98</v>
      </c>
      <c r="T17" s="8">
        <v>3297</v>
      </c>
      <c r="U17" s="8">
        <v>32</v>
      </c>
      <c r="V17" s="8">
        <v>10</v>
      </c>
      <c r="W17" s="7">
        <v>-0.8</v>
      </c>
      <c r="X17" s="7">
        <v>112.7</v>
      </c>
      <c r="Y17" s="7">
        <v>114</v>
      </c>
      <c r="Z17" s="7">
        <v>-1.3</v>
      </c>
      <c r="AA17" s="7">
        <v>39.5</v>
      </c>
      <c r="AB17" s="7">
        <v>2.21</v>
      </c>
      <c r="AC17" s="7">
        <v>25.6</v>
      </c>
      <c r="AD17" s="7">
        <v>3.1</v>
      </c>
      <c r="AE17" s="7">
        <v>18.7</v>
      </c>
      <c r="AF17" s="7">
        <v>11.2</v>
      </c>
      <c r="AG17" s="7">
        <v>11.6</v>
      </c>
      <c r="AH17" s="7">
        <v>57.1</v>
      </c>
      <c r="AI17" s="7">
        <v>60.4</v>
      </c>
      <c r="AJ17" s="7">
        <v>29.1</v>
      </c>
      <c r="AK17" s="7">
        <v>100.62</v>
      </c>
      <c r="AL17" s="7">
        <v>16.899999999999999</v>
      </c>
      <c r="AM17" s="7">
        <v>5129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1"/>
    </row>
    <row r="18" spans="1:64" ht="15.75" customHeight="1">
      <c r="A18" s="6" t="s">
        <v>75</v>
      </c>
      <c r="B18" s="6" t="s">
        <v>76</v>
      </c>
      <c r="C18" s="31">
        <v>1704</v>
      </c>
      <c r="D18" s="24">
        <v>582</v>
      </c>
      <c r="E18" s="24">
        <v>1321</v>
      </c>
      <c r="F18" s="8">
        <v>44.3</v>
      </c>
      <c r="G18" s="9">
        <v>632</v>
      </c>
      <c r="H18" s="8">
        <v>36.799999999999997</v>
      </c>
      <c r="I18" s="8">
        <v>298</v>
      </c>
      <c r="J18" s="8">
        <v>362</v>
      </c>
      <c r="K18" s="8">
        <v>82.3</v>
      </c>
      <c r="L18" s="9">
        <v>57</v>
      </c>
      <c r="M18" s="9">
        <v>263</v>
      </c>
      <c r="N18" s="9">
        <v>320</v>
      </c>
      <c r="O18" s="9">
        <v>355</v>
      </c>
      <c r="P18" s="9">
        <v>149</v>
      </c>
      <c r="Q18" s="9">
        <v>92</v>
      </c>
      <c r="R18" s="9">
        <v>14</v>
      </c>
      <c r="S18" s="9">
        <v>142</v>
      </c>
      <c r="T18" s="8">
        <v>2805</v>
      </c>
      <c r="U18" s="8">
        <v>6</v>
      </c>
      <c r="V18" s="8">
        <v>0</v>
      </c>
      <c r="W18" s="7">
        <v>7.4</v>
      </c>
      <c r="X18" s="7">
        <v>119.7</v>
      </c>
      <c r="Y18" s="7">
        <v>109.1</v>
      </c>
      <c r="Z18" s="7">
        <v>10.5</v>
      </c>
      <c r="AA18" s="7">
        <v>23.8</v>
      </c>
      <c r="AB18" s="7">
        <v>2.38</v>
      </c>
      <c r="AC18" s="7">
        <v>18</v>
      </c>
      <c r="AD18" s="7">
        <v>2.5</v>
      </c>
      <c r="AE18" s="7">
        <v>11.2</v>
      </c>
      <c r="AF18" s="7">
        <v>6.9</v>
      </c>
      <c r="AG18" s="7">
        <v>7.6</v>
      </c>
      <c r="AH18" s="7">
        <v>53.1</v>
      </c>
      <c r="AI18" s="7">
        <v>57.5</v>
      </c>
      <c r="AJ18" s="7">
        <v>29.8</v>
      </c>
      <c r="AK18" s="7">
        <v>102.21</v>
      </c>
      <c r="AL18" s="7">
        <v>13.7</v>
      </c>
      <c r="AM18" s="7">
        <v>4762</v>
      </c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1"/>
    </row>
    <row r="19" spans="1:64" ht="15.75" customHeight="1">
      <c r="A19" s="6" t="s">
        <v>77</v>
      </c>
      <c r="B19" s="6" t="s">
        <v>78</v>
      </c>
      <c r="C19" s="31">
        <v>1690</v>
      </c>
      <c r="D19" s="24">
        <v>585</v>
      </c>
      <c r="E19" s="24">
        <v>1203</v>
      </c>
      <c r="F19" s="8">
        <v>48.8</v>
      </c>
      <c r="G19" s="9">
        <v>397</v>
      </c>
      <c r="H19" s="8">
        <v>38.299999999999997</v>
      </c>
      <c r="I19" s="8">
        <v>371</v>
      </c>
      <c r="J19" s="8">
        <v>449</v>
      </c>
      <c r="K19" s="8">
        <v>82.1</v>
      </c>
      <c r="L19" s="9">
        <v>26</v>
      </c>
      <c r="M19" s="9">
        <v>163</v>
      </c>
      <c r="N19" s="9">
        <v>189</v>
      </c>
      <c r="O19" s="9">
        <v>475</v>
      </c>
      <c r="P19" s="9">
        <v>163</v>
      </c>
      <c r="Q19" s="9">
        <v>59</v>
      </c>
      <c r="R19" s="9">
        <v>7</v>
      </c>
      <c r="S19" s="9">
        <v>137</v>
      </c>
      <c r="T19" s="8">
        <v>2665</v>
      </c>
      <c r="U19" s="8">
        <v>14</v>
      </c>
      <c r="V19" s="8">
        <v>0</v>
      </c>
      <c r="W19" s="7">
        <v>2.2000000000000002</v>
      </c>
      <c r="X19" s="7">
        <v>118.3</v>
      </c>
      <c r="Y19" s="7">
        <v>115.7</v>
      </c>
      <c r="Z19" s="7">
        <v>2.6</v>
      </c>
      <c r="AA19" s="7">
        <v>31.8</v>
      </c>
      <c r="AB19" s="7">
        <v>2.9</v>
      </c>
      <c r="AC19" s="7">
        <v>23.5</v>
      </c>
      <c r="AD19" s="7">
        <v>1.2</v>
      </c>
      <c r="AE19" s="7">
        <v>7.2</v>
      </c>
      <c r="AF19" s="7">
        <v>4.2</v>
      </c>
      <c r="AG19" s="7">
        <v>8.1</v>
      </c>
      <c r="AH19" s="7">
        <v>55.1</v>
      </c>
      <c r="AI19" s="7">
        <v>60.5</v>
      </c>
      <c r="AJ19" s="7">
        <v>28.9</v>
      </c>
      <c r="AK19" s="7">
        <v>97.79</v>
      </c>
      <c r="AL19" s="7">
        <v>13.8</v>
      </c>
      <c r="AM19" s="7">
        <v>4697</v>
      </c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1"/>
    </row>
    <row r="20" spans="1:64" ht="15.75" customHeight="1">
      <c r="A20" s="6" t="s">
        <v>79</v>
      </c>
      <c r="B20" s="6" t="s">
        <v>80</v>
      </c>
      <c r="C20" s="31">
        <v>1649</v>
      </c>
      <c r="D20" s="24">
        <v>589</v>
      </c>
      <c r="E20" s="24">
        <v>1122</v>
      </c>
      <c r="F20" s="8">
        <v>52.7</v>
      </c>
      <c r="G20" s="9">
        <v>372</v>
      </c>
      <c r="H20" s="8">
        <v>43</v>
      </c>
      <c r="I20" s="8">
        <v>304</v>
      </c>
      <c r="J20" s="8">
        <v>360</v>
      </c>
      <c r="K20" s="8">
        <v>83.9</v>
      </c>
      <c r="L20" s="9">
        <v>25</v>
      </c>
      <c r="M20" s="9">
        <v>353</v>
      </c>
      <c r="N20" s="9">
        <v>372</v>
      </c>
      <c r="O20" s="9">
        <v>260</v>
      </c>
      <c r="P20" s="9">
        <v>192</v>
      </c>
      <c r="Q20" s="9">
        <v>50</v>
      </c>
      <c r="R20" s="9">
        <v>74</v>
      </c>
      <c r="S20" s="9">
        <v>105</v>
      </c>
      <c r="T20" s="8">
        <v>2678</v>
      </c>
      <c r="U20" s="8">
        <v>5</v>
      </c>
      <c r="V20" s="8">
        <v>0</v>
      </c>
      <c r="W20" s="7">
        <v>-0.6</v>
      </c>
      <c r="X20" s="7">
        <v>116.5</v>
      </c>
      <c r="Y20" s="7">
        <v>117.4</v>
      </c>
      <c r="Z20" s="7">
        <v>-1</v>
      </c>
      <c r="AA20" s="7">
        <v>18.8</v>
      </c>
      <c r="AB20" s="7">
        <v>1.38</v>
      </c>
      <c r="AC20" s="7">
        <v>15.2</v>
      </c>
      <c r="AD20" s="7">
        <v>1.1000000000000001</v>
      </c>
      <c r="AE20" s="7">
        <v>14.7</v>
      </c>
      <c r="AF20" s="7">
        <v>8.4</v>
      </c>
      <c r="AG20" s="7">
        <v>11</v>
      </c>
      <c r="AH20" s="7">
        <v>59.8</v>
      </c>
      <c r="AI20" s="7">
        <v>64.2</v>
      </c>
      <c r="AJ20" s="7">
        <v>28.3</v>
      </c>
      <c r="AK20" s="7">
        <v>99.49</v>
      </c>
      <c r="AL20" s="7">
        <v>14.2</v>
      </c>
      <c r="AM20" s="7">
        <v>4697</v>
      </c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1"/>
    </row>
    <row r="21" spans="1:64" ht="15.75" customHeight="1">
      <c r="A21" s="13" t="s">
        <v>81</v>
      </c>
      <c r="B21" s="6" t="s">
        <v>82</v>
      </c>
      <c r="C21" s="31">
        <v>1643</v>
      </c>
      <c r="D21" s="24">
        <v>592</v>
      </c>
      <c r="E21" s="24">
        <v>1214</v>
      </c>
      <c r="F21" s="8">
        <v>48.8</v>
      </c>
      <c r="G21" s="9">
        <v>392</v>
      </c>
      <c r="H21" s="8">
        <v>37.5</v>
      </c>
      <c r="I21" s="8">
        <v>311</v>
      </c>
      <c r="J21" s="8">
        <v>400</v>
      </c>
      <c r="K21" s="8">
        <v>78.099999999999994</v>
      </c>
      <c r="L21" s="9">
        <v>89</v>
      </c>
      <c r="M21" s="9">
        <v>326</v>
      </c>
      <c r="N21" s="9">
        <v>414</v>
      </c>
      <c r="O21" s="9">
        <v>148</v>
      </c>
      <c r="P21" s="9">
        <v>155</v>
      </c>
      <c r="Q21" s="9">
        <v>89</v>
      </c>
      <c r="R21" s="9">
        <v>111</v>
      </c>
      <c r="S21" s="9">
        <v>259</v>
      </c>
      <c r="T21" s="8">
        <v>2827</v>
      </c>
      <c r="U21" s="8">
        <v>6</v>
      </c>
      <c r="V21" s="8">
        <v>0</v>
      </c>
      <c r="W21" s="7">
        <v>4.5</v>
      </c>
      <c r="X21" s="7">
        <v>115.2</v>
      </c>
      <c r="Y21" s="7">
        <v>108.8</v>
      </c>
      <c r="Z21" s="7">
        <v>6.4</v>
      </c>
      <c r="AA21" s="7">
        <v>10.199999999999999</v>
      </c>
      <c r="AB21" s="7">
        <v>0.97</v>
      </c>
      <c r="AC21" s="7">
        <v>8.8000000000000007</v>
      </c>
      <c r="AD21" s="7">
        <v>3.8</v>
      </c>
      <c r="AE21" s="7">
        <v>13.4</v>
      </c>
      <c r="AF21" s="7">
        <v>8.6999999999999993</v>
      </c>
      <c r="AG21" s="7">
        <v>9.1</v>
      </c>
      <c r="AH21" s="7">
        <v>54.8</v>
      </c>
      <c r="AI21" s="7">
        <v>59.1</v>
      </c>
      <c r="AJ21" s="7">
        <v>27.4</v>
      </c>
      <c r="AK21" s="7">
        <v>105.56</v>
      </c>
      <c r="AL21" s="7">
        <v>12.4</v>
      </c>
      <c r="AM21" s="7">
        <v>4863</v>
      </c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spans="1:64" ht="13">
      <c r="A22" s="6" t="s">
        <v>83</v>
      </c>
      <c r="B22" s="6" t="s">
        <v>84</v>
      </c>
      <c r="C22" s="31">
        <v>1576</v>
      </c>
      <c r="D22" s="24">
        <v>616</v>
      </c>
      <c r="E22" s="24">
        <v>1186</v>
      </c>
      <c r="F22" s="8">
        <v>51.9</v>
      </c>
      <c r="G22" s="9">
        <v>328</v>
      </c>
      <c r="H22" s="8">
        <v>38.9</v>
      </c>
      <c r="I22" s="8">
        <v>226</v>
      </c>
      <c r="J22" s="8">
        <v>304</v>
      </c>
      <c r="K22" s="8">
        <v>73.400000000000006</v>
      </c>
      <c r="L22" s="9">
        <v>133</v>
      </c>
      <c r="M22" s="9">
        <v>406</v>
      </c>
      <c r="N22" s="9">
        <v>538</v>
      </c>
      <c r="O22" s="9">
        <v>265</v>
      </c>
      <c r="P22" s="9">
        <v>109</v>
      </c>
      <c r="Q22" s="9">
        <v>70</v>
      </c>
      <c r="R22" s="9">
        <v>39</v>
      </c>
      <c r="S22" s="9">
        <v>187</v>
      </c>
      <c r="T22" s="8">
        <v>2847</v>
      </c>
      <c r="U22" s="8">
        <v>11</v>
      </c>
      <c r="V22" s="8">
        <v>0</v>
      </c>
      <c r="W22" s="7">
        <v>4</v>
      </c>
      <c r="X22" s="7">
        <v>114.5</v>
      </c>
      <c r="Y22" s="7">
        <v>108.9</v>
      </c>
      <c r="Z22" s="7">
        <v>5.5</v>
      </c>
      <c r="AA22" s="7">
        <v>15.5</v>
      </c>
      <c r="AB22" s="7">
        <v>2.41</v>
      </c>
      <c r="AC22" s="7">
        <v>15.6</v>
      </c>
      <c r="AD22" s="7">
        <v>5.3</v>
      </c>
      <c r="AE22" s="7">
        <v>15.4</v>
      </c>
      <c r="AF22" s="7">
        <v>10.4</v>
      </c>
      <c r="AG22" s="7">
        <v>6.5</v>
      </c>
      <c r="AH22" s="7">
        <v>57.2</v>
      </c>
      <c r="AI22" s="7">
        <v>59.9</v>
      </c>
      <c r="AJ22" s="7">
        <v>23.7</v>
      </c>
      <c r="AK22" s="7">
        <v>101.43</v>
      </c>
      <c r="AL22" s="7">
        <v>13</v>
      </c>
      <c r="AM22" s="7">
        <v>5390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1"/>
    </row>
    <row r="23" spans="1:64" ht="13">
      <c r="A23" s="6" t="s">
        <v>85</v>
      </c>
      <c r="B23" s="6" t="s">
        <v>86</v>
      </c>
      <c r="C23" s="31">
        <v>1545</v>
      </c>
      <c r="D23" s="24">
        <v>555</v>
      </c>
      <c r="E23" s="24">
        <v>1178</v>
      </c>
      <c r="F23" s="8">
        <v>47.2</v>
      </c>
      <c r="G23" s="9">
        <v>533</v>
      </c>
      <c r="H23" s="8">
        <v>40.1</v>
      </c>
      <c r="I23" s="8">
        <v>225</v>
      </c>
      <c r="J23" s="8">
        <v>255</v>
      </c>
      <c r="K23" s="8">
        <v>87.8</v>
      </c>
      <c r="L23" s="9">
        <v>45</v>
      </c>
      <c r="M23" s="9">
        <v>165</v>
      </c>
      <c r="N23" s="9">
        <v>218</v>
      </c>
      <c r="O23" s="9">
        <v>503</v>
      </c>
      <c r="P23" s="9">
        <v>188</v>
      </c>
      <c r="Q23" s="9">
        <v>90</v>
      </c>
      <c r="R23" s="9">
        <v>8</v>
      </c>
      <c r="S23" s="9">
        <v>143</v>
      </c>
      <c r="T23" s="8">
        <v>2678</v>
      </c>
      <c r="U23" s="8">
        <v>7</v>
      </c>
      <c r="V23" s="8">
        <v>0</v>
      </c>
      <c r="W23" s="7">
        <v>6.7</v>
      </c>
      <c r="X23" s="7">
        <v>123.2</v>
      </c>
      <c r="Y23" s="7">
        <v>113.4</v>
      </c>
      <c r="Z23" s="7">
        <v>9.9</v>
      </c>
      <c r="AA23" s="7">
        <v>30.9</v>
      </c>
      <c r="AB23" s="7">
        <v>2.68</v>
      </c>
      <c r="AC23" s="7">
        <v>25.6</v>
      </c>
      <c r="AD23" s="7">
        <v>2.1</v>
      </c>
      <c r="AE23" s="7">
        <v>6.8</v>
      </c>
      <c r="AF23" s="7">
        <v>4.5</v>
      </c>
      <c r="AG23" s="7">
        <v>9.6</v>
      </c>
      <c r="AH23" s="7">
        <v>56.2</v>
      </c>
      <c r="AI23" s="7">
        <v>60</v>
      </c>
      <c r="AJ23" s="7">
        <v>26.5</v>
      </c>
      <c r="AK23" s="7">
        <v>101.32</v>
      </c>
      <c r="AL23" s="7">
        <v>12.6</v>
      </c>
      <c r="AM23" s="7">
        <v>4865</v>
      </c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1"/>
    </row>
    <row r="24" spans="1:64" ht="13">
      <c r="A24" s="6" t="s">
        <v>87</v>
      </c>
      <c r="B24" s="6" t="s">
        <v>88</v>
      </c>
      <c r="C24" s="31">
        <v>1510</v>
      </c>
      <c r="D24" s="24">
        <v>511</v>
      </c>
      <c r="E24" s="24">
        <v>1117</v>
      </c>
      <c r="F24" s="8">
        <v>45.3</v>
      </c>
      <c r="G24" s="9">
        <v>585</v>
      </c>
      <c r="H24" s="8">
        <v>37</v>
      </c>
      <c r="I24" s="8">
        <v>274</v>
      </c>
      <c r="J24" s="8">
        <v>303</v>
      </c>
      <c r="K24" s="8">
        <v>90.2</v>
      </c>
      <c r="L24" s="9">
        <v>22</v>
      </c>
      <c r="M24" s="9">
        <v>252</v>
      </c>
      <c r="N24" s="9">
        <v>274</v>
      </c>
      <c r="O24" s="9">
        <v>333</v>
      </c>
      <c r="P24" s="9">
        <v>178</v>
      </c>
      <c r="Q24" s="9">
        <v>67</v>
      </c>
      <c r="R24" s="9">
        <v>15</v>
      </c>
      <c r="S24" s="9">
        <v>155</v>
      </c>
      <c r="T24" s="8">
        <v>2412</v>
      </c>
      <c r="U24" s="8">
        <v>2</v>
      </c>
      <c r="V24" s="8">
        <v>0</v>
      </c>
      <c r="W24" s="7">
        <v>-1.9</v>
      </c>
      <c r="X24" s="7">
        <v>111.5</v>
      </c>
      <c r="Y24" s="7">
        <v>113.9</v>
      </c>
      <c r="Z24" s="7">
        <v>-2.5</v>
      </c>
      <c r="AA24" s="7">
        <v>19.7</v>
      </c>
      <c r="AB24" s="7">
        <v>1.86</v>
      </c>
      <c r="AC24" s="7">
        <v>18.8</v>
      </c>
      <c r="AD24" s="7">
        <v>1</v>
      </c>
      <c r="AE24" s="7">
        <v>9.5</v>
      </c>
      <c r="AF24" s="7">
        <v>5.3</v>
      </c>
      <c r="AG24" s="7">
        <v>10.1</v>
      </c>
      <c r="AH24" s="7">
        <v>55</v>
      </c>
      <c r="AI24" s="7">
        <v>60.1</v>
      </c>
      <c r="AJ24" s="7">
        <v>23.7</v>
      </c>
      <c r="AK24" s="7">
        <v>105.37</v>
      </c>
      <c r="AL24" s="7">
        <v>10.3</v>
      </c>
      <c r="AM24" s="7">
        <v>5375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1"/>
    </row>
    <row r="25" spans="1:64" ht="13">
      <c r="A25" s="6" t="s">
        <v>89</v>
      </c>
      <c r="B25" s="6" t="s">
        <v>90</v>
      </c>
      <c r="C25" s="31">
        <v>1490</v>
      </c>
      <c r="D25" s="24">
        <v>566</v>
      </c>
      <c r="E25" s="24">
        <v>1166</v>
      </c>
      <c r="F25" s="8">
        <v>48.4</v>
      </c>
      <c r="G25" s="9">
        <v>338</v>
      </c>
      <c r="H25" s="8">
        <v>36.5</v>
      </c>
      <c r="I25" s="8">
        <v>235</v>
      </c>
      <c r="J25" s="8">
        <v>297</v>
      </c>
      <c r="K25" s="8">
        <v>78.900000000000006</v>
      </c>
      <c r="L25" s="9">
        <v>62</v>
      </c>
      <c r="M25" s="9">
        <v>311</v>
      </c>
      <c r="N25" s="9">
        <v>366</v>
      </c>
      <c r="O25" s="9">
        <v>352</v>
      </c>
      <c r="P25" s="9">
        <v>152</v>
      </c>
      <c r="Q25" s="9">
        <v>110</v>
      </c>
      <c r="R25" s="9">
        <v>48</v>
      </c>
      <c r="S25" s="9">
        <v>159</v>
      </c>
      <c r="T25" s="8">
        <v>2788</v>
      </c>
      <c r="U25" s="8">
        <v>3</v>
      </c>
      <c r="V25" s="8">
        <v>0</v>
      </c>
      <c r="W25" s="7">
        <v>6.6</v>
      </c>
      <c r="X25" s="7">
        <v>116.7</v>
      </c>
      <c r="Y25" s="7">
        <v>106.5</v>
      </c>
      <c r="Z25" s="7">
        <v>10.199999999999999</v>
      </c>
      <c r="AA25" s="7">
        <v>23.4</v>
      </c>
      <c r="AB25" s="7">
        <v>2.37</v>
      </c>
      <c r="AC25" s="7">
        <v>19.7</v>
      </c>
      <c r="AD25" s="7">
        <v>2.6</v>
      </c>
      <c r="AE25" s="7">
        <v>13.1</v>
      </c>
      <c r="AF25" s="7">
        <v>7.9</v>
      </c>
      <c r="AG25" s="7">
        <v>8.3000000000000007</v>
      </c>
      <c r="AH25" s="7">
        <v>53.7</v>
      </c>
      <c r="AI25" s="7">
        <v>57.3</v>
      </c>
      <c r="AJ25" s="7">
        <v>27</v>
      </c>
      <c r="AK25" s="7">
        <v>102.44</v>
      </c>
      <c r="AL25" s="7">
        <v>13.8</v>
      </c>
      <c r="AM25" s="7">
        <v>4760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1"/>
    </row>
    <row r="26" spans="1:64" ht="13">
      <c r="A26" s="6" t="s">
        <v>91</v>
      </c>
      <c r="B26" s="6" t="s">
        <v>92</v>
      </c>
      <c r="C26" s="31">
        <v>1475</v>
      </c>
      <c r="D26" s="24">
        <v>475</v>
      </c>
      <c r="E26" s="24">
        <v>1037</v>
      </c>
      <c r="F26" s="8">
        <v>46</v>
      </c>
      <c r="G26" s="9">
        <v>533</v>
      </c>
      <c r="H26" s="8">
        <v>37.700000000000003</v>
      </c>
      <c r="I26" s="8">
        <v>321</v>
      </c>
      <c r="J26" s="8">
        <v>365</v>
      </c>
      <c r="K26" s="8">
        <v>87.7</v>
      </c>
      <c r="L26" s="9">
        <v>58</v>
      </c>
      <c r="M26" s="9">
        <v>270</v>
      </c>
      <c r="N26" s="9">
        <v>329</v>
      </c>
      <c r="O26" s="9">
        <v>423</v>
      </c>
      <c r="P26" s="9">
        <v>175</v>
      </c>
      <c r="Q26" s="9">
        <v>80</v>
      </c>
      <c r="R26" s="9">
        <v>22</v>
      </c>
      <c r="S26" s="9">
        <v>153</v>
      </c>
      <c r="T26" s="8">
        <v>2635</v>
      </c>
      <c r="U26" s="8">
        <v>9</v>
      </c>
      <c r="V26" s="8">
        <v>1</v>
      </c>
      <c r="W26" s="7">
        <v>2.7</v>
      </c>
      <c r="X26" s="7">
        <v>117.1</v>
      </c>
      <c r="Y26" s="7">
        <v>113.3</v>
      </c>
      <c r="Z26" s="7">
        <v>3.8</v>
      </c>
      <c r="AA26" s="7">
        <v>24.1</v>
      </c>
      <c r="AB26" s="7">
        <v>2.38</v>
      </c>
      <c r="AC26" s="7">
        <v>23.6</v>
      </c>
      <c r="AD26" s="7">
        <v>2.5</v>
      </c>
      <c r="AE26" s="7">
        <v>10.1</v>
      </c>
      <c r="AF26" s="7">
        <v>6.5</v>
      </c>
      <c r="AG26" s="7">
        <v>9.9</v>
      </c>
      <c r="AH26" s="7">
        <v>55.6</v>
      </c>
      <c r="AI26" s="7">
        <v>61.6</v>
      </c>
      <c r="AJ26" s="7">
        <v>23</v>
      </c>
      <c r="AK26" s="7">
        <v>99.86</v>
      </c>
      <c r="AL26" s="7">
        <v>11.8</v>
      </c>
      <c r="AM26" s="7">
        <v>5303</v>
      </c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spans="1:64" ht="13">
      <c r="A27" s="6" t="s">
        <v>93</v>
      </c>
      <c r="B27" s="6" t="s">
        <v>94</v>
      </c>
      <c r="C27" s="31">
        <v>1457</v>
      </c>
      <c r="D27" s="24">
        <v>539</v>
      </c>
      <c r="E27" s="24">
        <v>1166</v>
      </c>
      <c r="F27" s="8">
        <v>46.3</v>
      </c>
      <c r="G27" s="9">
        <v>378</v>
      </c>
      <c r="H27" s="8">
        <v>31</v>
      </c>
      <c r="I27" s="8">
        <v>260</v>
      </c>
      <c r="J27" s="8">
        <v>316</v>
      </c>
      <c r="K27" s="8">
        <v>82.7</v>
      </c>
      <c r="L27" s="9">
        <v>56</v>
      </c>
      <c r="M27" s="9">
        <v>242</v>
      </c>
      <c r="N27" s="9">
        <v>298</v>
      </c>
      <c r="O27" s="9">
        <v>391</v>
      </c>
      <c r="P27" s="9">
        <v>174</v>
      </c>
      <c r="Q27" s="9">
        <v>93</v>
      </c>
      <c r="R27" s="9">
        <v>25</v>
      </c>
      <c r="S27" s="9">
        <v>161</v>
      </c>
      <c r="T27" s="8">
        <v>2579</v>
      </c>
      <c r="U27" s="8">
        <v>9</v>
      </c>
      <c r="V27" s="8">
        <v>0</v>
      </c>
      <c r="W27" s="7">
        <v>-1.1000000000000001</v>
      </c>
      <c r="X27" s="7">
        <v>113.7</v>
      </c>
      <c r="Y27" s="7">
        <v>114.9</v>
      </c>
      <c r="Z27" s="7">
        <v>-1.2</v>
      </c>
      <c r="AA27" s="7">
        <v>26.2</v>
      </c>
      <c r="AB27" s="7">
        <v>2.25</v>
      </c>
      <c r="AC27" s="7">
        <v>21</v>
      </c>
      <c r="AD27" s="7">
        <v>2.2999999999999998</v>
      </c>
      <c r="AE27" s="7">
        <v>10.6</v>
      </c>
      <c r="AF27" s="7">
        <v>6.4</v>
      </c>
      <c r="AG27" s="7">
        <v>9.3000000000000007</v>
      </c>
      <c r="AH27" s="7">
        <v>51.4</v>
      </c>
      <c r="AI27" s="7">
        <v>56</v>
      </c>
      <c r="AJ27" s="7">
        <v>27.4</v>
      </c>
      <c r="AK27" s="7">
        <v>102.22</v>
      </c>
      <c r="AL27" s="7">
        <v>11.9</v>
      </c>
      <c r="AM27" s="7">
        <v>4768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spans="1:64" ht="13">
      <c r="A28" s="6" t="s">
        <v>95</v>
      </c>
      <c r="B28" s="6" t="s">
        <v>96</v>
      </c>
      <c r="C28" s="31">
        <v>1452</v>
      </c>
      <c r="D28" s="24">
        <v>570</v>
      </c>
      <c r="E28" s="24">
        <v>1140</v>
      </c>
      <c r="F28" s="8">
        <v>49.6</v>
      </c>
      <c r="G28" s="9">
        <v>91</v>
      </c>
      <c r="H28" s="8">
        <v>23.3</v>
      </c>
      <c r="I28" s="8">
        <v>296</v>
      </c>
      <c r="J28" s="8">
        <v>426</v>
      </c>
      <c r="K28" s="8">
        <v>69.2</v>
      </c>
      <c r="L28" s="9">
        <v>258</v>
      </c>
      <c r="M28" s="9">
        <v>524</v>
      </c>
      <c r="N28" s="9">
        <v>783</v>
      </c>
      <c r="O28" s="9">
        <v>372</v>
      </c>
      <c r="P28" s="9">
        <v>198</v>
      </c>
      <c r="Q28" s="9">
        <v>84</v>
      </c>
      <c r="R28" s="9">
        <v>61</v>
      </c>
      <c r="S28" s="9">
        <v>213</v>
      </c>
      <c r="T28" s="8">
        <v>3192</v>
      </c>
      <c r="U28" s="8">
        <v>45</v>
      </c>
      <c r="V28" s="8">
        <v>4</v>
      </c>
      <c r="W28" s="7">
        <v>5.4</v>
      </c>
      <c r="X28" s="7">
        <v>114.9</v>
      </c>
      <c r="Y28" s="7">
        <v>107.4</v>
      </c>
      <c r="Z28" s="7">
        <v>7.6</v>
      </c>
      <c r="AA28" s="7">
        <v>23.8</v>
      </c>
      <c r="AB28" s="7">
        <v>1.92</v>
      </c>
      <c r="AC28" s="7">
        <v>19.600000000000001</v>
      </c>
      <c r="AD28" s="7">
        <v>9.9</v>
      </c>
      <c r="AE28" s="7">
        <v>21</v>
      </c>
      <c r="AF28" s="7">
        <v>15.3</v>
      </c>
      <c r="AG28" s="7">
        <v>10.199999999999999</v>
      </c>
      <c r="AH28" s="7">
        <v>50.5</v>
      </c>
      <c r="AI28" s="7">
        <v>54.5</v>
      </c>
      <c r="AJ28" s="7">
        <v>25.9</v>
      </c>
      <c r="AK28" s="7">
        <v>99.47</v>
      </c>
      <c r="AL28" s="7">
        <v>15.3</v>
      </c>
      <c r="AM28" s="7">
        <v>4978</v>
      </c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1"/>
    </row>
    <row r="29" spans="1:64" ht="13">
      <c r="A29" s="6" t="s">
        <v>97</v>
      </c>
      <c r="B29" s="6" t="s">
        <v>98</v>
      </c>
      <c r="C29" s="31">
        <v>1452</v>
      </c>
      <c r="D29" s="24">
        <v>540</v>
      </c>
      <c r="E29" s="24">
        <v>1164</v>
      </c>
      <c r="F29" s="8">
        <v>46.3</v>
      </c>
      <c r="G29" s="9">
        <v>354</v>
      </c>
      <c r="H29" s="8">
        <v>29.5</v>
      </c>
      <c r="I29" s="8">
        <v>270</v>
      </c>
      <c r="J29" s="8">
        <v>312</v>
      </c>
      <c r="K29" s="8">
        <v>87.1</v>
      </c>
      <c r="L29" s="9">
        <v>54</v>
      </c>
      <c r="M29" s="9">
        <v>288</v>
      </c>
      <c r="N29" s="9">
        <v>342</v>
      </c>
      <c r="O29" s="9">
        <v>282</v>
      </c>
      <c r="P29" s="9">
        <v>138</v>
      </c>
      <c r="Q29" s="9">
        <v>78</v>
      </c>
      <c r="R29" s="9">
        <v>24</v>
      </c>
      <c r="S29" s="9">
        <v>150</v>
      </c>
      <c r="T29" s="8">
        <v>2436</v>
      </c>
      <c r="U29" s="8">
        <v>3</v>
      </c>
      <c r="V29" s="8">
        <v>0</v>
      </c>
      <c r="W29" s="7">
        <v>4.0999999999999996</v>
      </c>
      <c r="X29" s="7">
        <v>111.8</v>
      </c>
      <c r="Y29" s="7">
        <v>105.8</v>
      </c>
      <c r="Z29" s="7">
        <v>6</v>
      </c>
      <c r="AA29" s="7">
        <v>24.7</v>
      </c>
      <c r="AB29" s="7">
        <v>2.06</v>
      </c>
      <c r="AC29" s="7">
        <v>16.5</v>
      </c>
      <c r="AD29" s="7">
        <v>2.7</v>
      </c>
      <c r="AE29" s="7">
        <v>14.6</v>
      </c>
      <c r="AF29" s="7">
        <v>8.5</v>
      </c>
      <c r="AG29" s="7">
        <v>8</v>
      </c>
      <c r="AH29" s="7">
        <v>50.7</v>
      </c>
      <c r="AI29" s="7">
        <v>55.8</v>
      </c>
      <c r="AJ29" s="7">
        <v>30.6</v>
      </c>
      <c r="AK29" s="7">
        <v>97.65</v>
      </c>
      <c r="AL29" s="7">
        <v>15.3</v>
      </c>
      <c r="AM29" s="7">
        <v>4116</v>
      </c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spans="1:64" ht="13">
      <c r="A30" s="6" t="s">
        <v>99</v>
      </c>
      <c r="B30" s="6" t="s">
        <v>100</v>
      </c>
      <c r="C30" s="31">
        <v>1444</v>
      </c>
      <c r="D30" s="24">
        <v>447</v>
      </c>
      <c r="E30" s="24">
        <v>992</v>
      </c>
      <c r="F30" s="8">
        <v>44.8</v>
      </c>
      <c r="G30" s="9">
        <v>522</v>
      </c>
      <c r="H30" s="8">
        <v>37.6</v>
      </c>
      <c r="I30" s="8">
        <v>360</v>
      </c>
      <c r="J30" s="8">
        <v>394</v>
      </c>
      <c r="K30" s="8">
        <v>92.1</v>
      </c>
      <c r="L30" s="9">
        <v>29</v>
      </c>
      <c r="M30" s="9">
        <v>244</v>
      </c>
      <c r="N30" s="9">
        <v>273</v>
      </c>
      <c r="O30" s="9">
        <v>412</v>
      </c>
      <c r="P30" s="9">
        <v>162</v>
      </c>
      <c r="Q30" s="9">
        <v>70</v>
      </c>
      <c r="R30" s="9">
        <v>12</v>
      </c>
      <c r="S30" s="9">
        <v>99</v>
      </c>
      <c r="T30" s="8">
        <v>2465</v>
      </c>
      <c r="U30" s="8">
        <v>14</v>
      </c>
      <c r="V30" s="8">
        <v>2</v>
      </c>
      <c r="W30" s="7">
        <v>0.9</v>
      </c>
      <c r="X30" s="7">
        <v>115.3</v>
      </c>
      <c r="Y30" s="7">
        <v>114.6</v>
      </c>
      <c r="Z30" s="7">
        <v>0.7</v>
      </c>
      <c r="AA30" s="7">
        <v>29.9</v>
      </c>
      <c r="AB30" s="7">
        <v>2.5299999999999998</v>
      </c>
      <c r="AC30" s="7">
        <v>23.8</v>
      </c>
      <c r="AD30" s="7">
        <v>1.4</v>
      </c>
      <c r="AE30" s="7">
        <v>10.8</v>
      </c>
      <c r="AF30" s="7">
        <v>6.3</v>
      </c>
      <c r="AG30" s="7">
        <v>9.4</v>
      </c>
      <c r="AH30" s="7">
        <v>54.7</v>
      </c>
      <c r="AI30" s="7">
        <v>62.1</v>
      </c>
      <c r="AJ30" s="7">
        <v>26.9</v>
      </c>
      <c r="AK30" s="7">
        <v>100.86</v>
      </c>
      <c r="AL30" s="7">
        <v>14.4</v>
      </c>
      <c r="AM30" s="7">
        <v>4407</v>
      </c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1"/>
    </row>
    <row r="31" spans="1:64" ht="13">
      <c r="A31" s="6" t="s">
        <v>101</v>
      </c>
      <c r="B31" s="6" t="s">
        <v>102</v>
      </c>
      <c r="C31" s="31">
        <v>1443</v>
      </c>
      <c r="D31" s="24">
        <v>590</v>
      </c>
      <c r="E31" s="24">
        <v>1181</v>
      </c>
      <c r="F31" s="8">
        <v>50</v>
      </c>
      <c r="G31" s="9">
        <v>459</v>
      </c>
      <c r="H31" s="8">
        <v>35.4</v>
      </c>
      <c r="I31" s="8">
        <v>98</v>
      </c>
      <c r="J31" s="8">
        <v>115</v>
      </c>
      <c r="K31" s="8">
        <v>81.400000000000006</v>
      </c>
      <c r="L31" s="9">
        <v>74</v>
      </c>
      <c r="M31" s="9">
        <v>189</v>
      </c>
      <c r="N31" s="9">
        <v>262</v>
      </c>
      <c r="O31" s="9">
        <v>303</v>
      </c>
      <c r="P31" s="9">
        <v>131</v>
      </c>
      <c r="Q31" s="9">
        <v>74</v>
      </c>
      <c r="R31" s="9">
        <v>41</v>
      </c>
      <c r="S31" s="9">
        <v>123</v>
      </c>
      <c r="T31" s="8">
        <v>2435</v>
      </c>
      <c r="U31" s="8">
        <v>1</v>
      </c>
      <c r="V31" s="8">
        <v>0</v>
      </c>
      <c r="W31" s="7">
        <v>4.0999999999999996</v>
      </c>
      <c r="X31" s="7">
        <v>118.4</v>
      </c>
      <c r="Y31" s="7">
        <v>112.9</v>
      </c>
      <c r="Z31" s="7">
        <v>5.6</v>
      </c>
      <c r="AA31" s="7">
        <v>14.1</v>
      </c>
      <c r="AB31" s="7">
        <v>2.3199999999999998</v>
      </c>
      <c r="AC31" s="7">
        <v>18.3</v>
      </c>
      <c r="AD31" s="7">
        <v>2.4</v>
      </c>
      <c r="AE31" s="7">
        <v>6.3</v>
      </c>
      <c r="AF31" s="7">
        <v>4.3</v>
      </c>
      <c r="AG31" s="7">
        <v>7.9</v>
      </c>
      <c r="AH31" s="7">
        <v>57</v>
      </c>
      <c r="AI31" s="7">
        <v>58.5</v>
      </c>
      <c r="AJ31" s="7">
        <v>19.2</v>
      </c>
      <c r="AK31" s="7">
        <v>98.1</v>
      </c>
      <c r="AL31" s="7">
        <v>9</v>
      </c>
      <c r="AM31" s="7">
        <v>6200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1"/>
    </row>
    <row r="32" spans="1:64" ht="13">
      <c r="A32" s="6" t="s">
        <v>103</v>
      </c>
      <c r="B32" s="6" t="s">
        <v>104</v>
      </c>
      <c r="C32" s="31">
        <v>1434</v>
      </c>
      <c r="D32" s="24">
        <v>529</v>
      </c>
      <c r="E32" s="24">
        <v>1119</v>
      </c>
      <c r="F32" s="8">
        <v>47.4</v>
      </c>
      <c r="G32" s="9">
        <v>395</v>
      </c>
      <c r="H32" s="8">
        <v>39.299999999999997</v>
      </c>
      <c r="I32" s="8">
        <v>221</v>
      </c>
      <c r="J32" s="8">
        <v>248</v>
      </c>
      <c r="K32" s="8">
        <v>88.6</v>
      </c>
      <c r="L32" s="9">
        <v>47</v>
      </c>
      <c r="M32" s="9">
        <v>214</v>
      </c>
      <c r="N32" s="9">
        <v>261</v>
      </c>
      <c r="O32" s="9">
        <v>402</v>
      </c>
      <c r="P32" s="9">
        <v>141</v>
      </c>
      <c r="Q32" s="9">
        <v>94</v>
      </c>
      <c r="R32" s="9">
        <v>34</v>
      </c>
      <c r="S32" s="9">
        <v>127</v>
      </c>
      <c r="T32" s="8">
        <v>2586</v>
      </c>
      <c r="U32" s="8">
        <v>5</v>
      </c>
      <c r="V32" s="8">
        <v>0</v>
      </c>
      <c r="W32" s="7">
        <v>4.9000000000000004</v>
      </c>
      <c r="X32" s="7">
        <v>122</v>
      </c>
      <c r="Y32" s="7">
        <v>115.5</v>
      </c>
      <c r="Z32" s="7">
        <v>6.5</v>
      </c>
      <c r="AA32" s="7">
        <v>22.3</v>
      </c>
      <c r="AB32" s="7">
        <v>2.92</v>
      </c>
      <c r="AC32" s="7">
        <v>22.9</v>
      </c>
      <c r="AD32" s="7">
        <v>1.9</v>
      </c>
      <c r="AE32" s="7">
        <v>8.4</v>
      </c>
      <c r="AF32" s="7">
        <v>5.3</v>
      </c>
      <c r="AG32" s="7">
        <v>7.8</v>
      </c>
      <c r="AH32" s="7">
        <v>54.3</v>
      </c>
      <c r="AI32" s="7">
        <v>58.4</v>
      </c>
      <c r="AJ32" s="7">
        <v>23.5</v>
      </c>
      <c r="AK32" s="7">
        <v>100.72</v>
      </c>
      <c r="AL32" s="7">
        <v>11.1</v>
      </c>
      <c r="AM32" s="7">
        <v>5075</v>
      </c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1"/>
    </row>
    <row r="33" spans="1:64" ht="13">
      <c r="A33" s="6" t="s">
        <v>105</v>
      </c>
      <c r="B33" s="6" t="s">
        <v>106</v>
      </c>
      <c r="C33" s="31">
        <v>1412</v>
      </c>
      <c r="D33" s="24">
        <v>538</v>
      </c>
      <c r="E33" s="24">
        <v>1115</v>
      </c>
      <c r="F33" s="8">
        <v>48.5</v>
      </c>
      <c r="G33" s="9">
        <v>218</v>
      </c>
      <c r="H33" s="8">
        <v>35.700000000000003</v>
      </c>
      <c r="I33" s="8">
        <v>250</v>
      </c>
      <c r="J33" s="8">
        <v>328</v>
      </c>
      <c r="K33" s="8">
        <v>76.5</v>
      </c>
      <c r="L33" s="9">
        <v>187</v>
      </c>
      <c r="M33" s="9">
        <v>562</v>
      </c>
      <c r="N33" s="9">
        <v>749</v>
      </c>
      <c r="O33" s="9">
        <v>335</v>
      </c>
      <c r="P33" s="9">
        <v>164</v>
      </c>
      <c r="Q33" s="9">
        <v>101</v>
      </c>
      <c r="R33" s="9">
        <v>55</v>
      </c>
      <c r="S33" s="9">
        <v>164</v>
      </c>
      <c r="T33" s="8">
        <v>3104</v>
      </c>
      <c r="U33" s="8">
        <v>38</v>
      </c>
      <c r="V33" s="8">
        <v>1</v>
      </c>
      <c r="W33" s="7">
        <v>0.3</v>
      </c>
      <c r="X33" s="7">
        <v>110.9</v>
      </c>
      <c r="Y33" s="7">
        <v>110.8</v>
      </c>
      <c r="Z33" s="7">
        <v>0.1</v>
      </c>
      <c r="AA33" s="7">
        <v>20.399999999999999</v>
      </c>
      <c r="AB33" s="7">
        <v>2.09</v>
      </c>
      <c r="AC33" s="7">
        <v>19.2</v>
      </c>
      <c r="AD33" s="7">
        <v>6.9</v>
      </c>
      <c r="AE33" s="7">
        <v>21.4</v>
      </c>
      <c r="AF33" s="7">
        <v>14.1</v>
      </c>
      <c r="AG33" s="7">
        <v>9.1999999999999993</v>
      </c>
      <c r="AH33" s="7">
        <v>52.1</v>
      </c>
      <c r="AI33" s="7">
        <v>56.1</v>
      </c>
      <c r="AJ33" s="7">
        <v>23.2</v>
      </c>
      <c r="AK33" s="7">
        <v>97.02</v>
      </c>
      <c r="AL33" s="7">
        <v>13.7</v>
      </c>
      <c r="AM33" s="7">
        <v>5414</v>
      </c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1"/>
    </row>
    <row r="34" spans="1:64" ht="13">
      <c r="A34" s="6" t="s">
        <v>107</v>
      </c>
      <c r="B34" s="6" t="s">
        <v>108</v>
      </c>
      <c r="C34" s="31">
        <v>1410</v>
      </c>
      <c r="D34" s="24">
        <v>460</v>
      </c>
      <c r="E34" s="24">
        <v>1025</v>
      </c>
      <c r="F34" s="8">
        <v>45</v>
      </c>
      <c r="G34" s="9">
        <v>480</v>
      </c>
      <c r="H34" s="8">
        <v>36.799999999999997</v>
      </c>
      <c r="I34" s="8">
        <v>310</v>
      </c>
      <c r="J34" s="8">
        <v>395</v>
      </c>
      <c r="K34" s="8">
        <v>78.2</v>
      </c>
      <c r="L34" s="9">
        <v>40</v>
      </c>
      <c r="M34" s="9">
        <v>370</v>
      </c>
      <c r="N34" s="9">
        <v>410</v>
      </c>
      <c r="O34" s="9">
        <v>385</v>
      </c>
      <c r="P34" s="9">
        <v>180</v>
      </c>
      <c r="Q34" s="9">
        <v>90</v>
      </c>
      <c r="R34" s="9">
        <v>20</v>
      </c>
      <c r="S34" s="9">
        <v>125</v>
      </c>
      <c r="T34" s="8">
        <v>2625</v>
      </c>
      <c r="U34" s="8">
        <v>21</v>
      </c>
      <c r="V34" s="8">
        <v>5</v>
      </c>
      <c r="W34" s="7">
        <v>6.9</v>
      </c>
      <c r="X34" s="7">
        <v>119.6</v>
      </c>
      <c r="Y34" s="7">
        <v>110.5</v>
      </c>
      <c r="Z34" s="7">
        <v>9.1</v>
      </c>
      <c r="AA34" s="7">
        <v>34.200000000000003</v>
      </c>
      <c r="AB34" s="7">
        <v>2.14</v>
      </c>
      <c r="AC34" s="7">
        <v>21.8</v>
      </c>
      <c r="AD34" s="7">
        <v>2.2999999999999998</v>
      </c>
      <c r="AE34" s="7">
        <v>19.8</v>
      </c>
      <c r="AF34" s="7">
        <v>11.2</v>
      </c>
      <c r="AG34" s="7">
        <v>10.199999999999999</v>
      </c>
      <c r="AH34" s="7">
        <v>53.6</v>
      </c>
      <c r="AI34" s="7">
        <v>58.7</v>
      </c>
      <c r="AJ34" s="7">
        <v>32.799999999999997</v>
      </c>
      <c r="AK34" s="7">
        <v>100.22</v>
      </c>
      <c r="AL34" s="7">
        <v>17</v>
      </c>
      <c r="AM34" s="7">
        <v>3696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1"/>
    </row>
    <row r="35" spans="1:64" ht="13">
      <c r="A35" s="13" t="s">
        <v>109</v>
      </c>
      <c r="B35" s="6" t="s">
        <v>110</v>
      </c>
      <c r="C35" s="31">
        <v>1401</v>
      </c>
      <c r="D35" s="24">
        <v>531</v>
      </c>
      <c r="E35" s="24">
        <v>1047</v>
      </c>
      <c r="F35" s="8">
        <v>50.4</v>
      </c>
      <c r="G35" s="9">
        <v>493</v>
      </c>
      <c r="H35" s="8">
        <v>39.5</v>
      </c>
      <c r="I35" s="8">
        <v>146</v>
      </c>
      <c r="J35" s="8">
        <v>193</v>
      </c>
      <c r="K35" s="8">
        <v>76.8</v>
      </c>
      <c r="L35" s="9">
        <v>139</v>
      </c>
      <c r="M35" s="9">
        <v>400</v>
      </c>
      <c r="N35" s="9">
        <v>539</v>
      </c>
      <c r="O35" s="9">
        <v>162</v>
      </c>
      <c r="P35" s="9">
        <v>108</v>
      </c>
      <c r="Q35" s="9">
        <v>46</v>
      </c>
      <c r="R35" s="9">
        <v>39</v>
      </c>
      <c r="S35" s="9">
        <v>154</v>
      </c>
      <c r="T35" s="8">
        <v>2456</v>
      </c>
      <c r="U35" s="8">
        <v>15</v>
      </c>
      <c r="V35" s="8">
        <v>0</v>
      </c>
      <c r="W35" s="7">
        <v>3.4</v>
      </c>
      <c r="X35" s="7">
        <v>119.8</v>
      </c>
      <c r="Y35" s="7">
        <v>115.4</v>
      </c>
      <c r="Z35" s="7">
        <v>4.4000000000000004</v>
      </c>
      <c r="AA35" s="7">
        <v>8.4</v>
      </c>
      <c r="AB35" s="7">
        <v>1.59</v>
      </c>
      <c r="AC35" s="7">
        <v>11.8</v>
      </c>
      <c r="AD35" s="7">
        <v>5.5</v>
      </c>
      <c r="AE35" s="7">
        <v>14.6</v>
      </c>
      <c r="AF35" s="7">
        <v>10.3</v>
      </c>
      <c r="AG35" s="7">
        <v>7.4</v>
      </c>
      <c r="AH35" s="7">
        <v>59.6</v>
      </c>
      <c r="AI35" s="7">
        <v>61.7</v>
      </c>
      <c r="AJ35" s="7">
        <v>19.7</v>
      </c>
      <c r="AK35" s="7">
        <v>101.52</v>
      </c>
      <c r="AL35" s="7">
        <v>10.1</v>
      </c>
      <c r="AM35" s="7">
        <v>5494</v>
      </c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1"/>
    </row>
    <row r="36" spans="1:64" ht="13">
      <c r="A36" s="6" t="s">
        <v>111</v>
      </c>
      <c r="B36" s="6" t="s">
        <v>112</v>
      </c>
      <c r="C36" s="31">
        <v>1399</v>
      </c>
      <c r="D36" s="24">
        <v>517</v>
      </c>
      <c r="E36" s="24">
        <v>1115</v>
      </c>
      <c r="F36" s="8">
        <v>46.3</v>
      </c>
      <c r="G36" s="9">
        <v>359</v>
      </c>
      <c r="H36" s="8">
        <v>32.4</v>
      </c>
      <c r="I36" s="8">
        <v>246</v>
      </c>
      <c r="J36" s="8">
        <v>321</v>
      </c>
      <c r="K36" s="8">
        <v>76.400000000000006</v>
      </c>
      <c r="L36" s="9">
        <v>82</v>
      </c>
      <c r="M36" s="9">
        <v>284</v>
      </c>
      <c r="N36" s="9">
        <v>365</v>
      </c>
      <c r="O36" s="9">
        <v>284</v>
      </c>
      <c r="P36" s="9">
        <v>164</v>
      </c>
      <c r="Q36" s="9">
        <v>76</v>
      </c>
      <c r="R36" s="9">
        <v>19</v>
      </c>
      <c r="S36" s="9">
        <v>151</v>
      </c>
      <c r="T36" s="8">
        <v>2381</v>
      </c>
      <c r="U36" s="8">
        <v>5</v>
      </c>
      <c r="V36" s="8">
        <v>0</v>
      </c>
      <c r="W36" s="7">
        <v>6.4</v>
      </c>
      <c r="X36" s="7">
        <v>121.1</v>
      </c>
      <c r="Y36" s="7">
        <v>111.7</v>
      </c>
      <c r="Z36" s="7">
        <v>9.5</v>
      </c>
      <c r="AA36" s="7">
        <v>20.399999999999999</v>
      </c>
      <c r="AB36" s="7">
        <v>1.77</v>
      </c>
      <c r="AC36" s="7">
        <v>16.8</v>
      </c>
      <c r="AD36" s="7">
        <v>3.7</v>
      </c>
      <c r="AE36" s="7">
        <v>12.6</v>
      </c>
      <c r="AF36" s="7">
        <v>8.1999999999999993</v>
      </c>
      <c r="AG36" s="7">
        <v>9.5</v>
      </c>
      <c r="AH36" s="7">
        <v>51.5</v>
      </c>
      <c r="AI36" s="7">
        <v>55.5</v>
      </c>
      <c r="AJ36" s="7">
        <v>28.2</v>
      </c>
      <c r="AK36" s="7">
        <v>98.57</v>
      </c>
      <c r="AL36" s="7">
        <v>11.4</v>
      </c>
      <c r="AM36" s="7">
        <v>4424</v>
      </c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1"/>
    </row>
    <row r="37" spans="1:64" ht="13">
      <c r="A37" s="6" t="s">
        <v>113</v>
      </c>
      <c r="B37" s="6" t="s">
        <v>114</v>
      </c>
      <c r="C37" s="31">
        <v>1394</v>
      </c>
      <c r="D37" s="24">
        <v>456</v>
      </c>
      <c r="E37" s="24">
        <v>1054</v>
      </c>
      <c r="F37" s="8">
        <v>43.2</v>
      </c>
      <c r="G37" s="9">
        <v>619</v>
      </c>
      <c r="H37" s="8">
        <v>37.799999999999997</v>
      </c>
      <c r="I37" s="8">
        <v>245</v>
      </c>
      <c r="J37" s="8">
        <v>272</v>
      </c>
      <c r="K37" s="8">
        <v>88.3</v>
      </c>
      <c r="L37" s="9">
        <v>34</v>
      </c>
      <c r="M37" s="9">
        <v>170</v>
      </c>
      <c r="N37" s="9">
        <v>204</v>
      </c>
      <c r="O37" s="9">
        <v>306</v>
      </c>
      <c r="P37" s="9">
        <v>204</v>
      </c>
      <c r="Q37" s="9">
        <v>88</v>
      </c>
      <c r="R37" s="9">
        <v>27</v>
      </c>
      <c r="S37" s="9">
        <v>204</v>
      </c>
      <c r="T37" s="8">
        <v>2224</v>
      </c>
      <c r="U37" s="8">
        <v>1</v>
      </c>
      <c r="V37" s="8">
        <v>0</v>
      </c>
      <c r="W37" s="7">
        <v>-8.1999999999999993</v>
      </c>
      <c r="X37" s="7">
        <v>104.8</v>
      </c>
      <c r="Y37" s="7">
        <v>117.9</v>
      </c>
      <c r="Z37" s="7">
        <v>-13.1</v>
      </c>
      <c r="AA37" s="7">
        <v>25.4</v>
      </c>
      <c r="AB37" s="7">
        <v>1.49</v>
      </c>
      <c r="AC37" s="7">
        <v>18</v>
      </c>
      <c r="AD37" s="7">
        <v>1.4</v>
      </c>
      <c r="AE37" s="7">
        <v>8</v>
      </c>
      <c r="AF37" s="7">
        <v>4.5999999999999996</v>
      </c>
      <c r="AG37" s="7">
        <v>12.1</v>
      </c>
      <c r="AH37" s="7">
        <v>54.4</v>
      </c>
      <c r="AI37" s="7">
        <v>59.1</v>
      </c>
      <c r="AJ37" s="7">
        <v>28.1</v>
      </c>
      <c r="AK37" s="7">
        <v>103.95</v>
      </c>
      <c r="AL37" s="7">
        <v>10.7</v>
      </c>
      <c r="AM37" s="7">
        <v>4337</v>
      </c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1"/>
    </row>
    <row r="38" spans="1:64" ht="13">
      <c r="A38" s="6" t="s">
        <v>115</v>
      </c>
      <c r="B38" s="6" t="s">
        <v>116</v>
      </c>
      <c r="C38" s="31">
        <v>1368</v>
      </c>
      <c r="D38" s="24">
        <v>478</v>
      </c>
      <c r="E38" s="24">
        <v>1092</v>
      </c>
      <c r="F38" s="8">
        <v>43.7</v>
      </c>
      <c r="G38" s="9">
        <v>478</v>
      </c>
      <c r="H38" s="8">
        <v>33.700000000000003</v>
      </c>
      <c r="I38" s="8">
        <v>255</v>
      </c>
      <c r="J38" s="8">
        <v>291</v>
      </c>
      <c r="K38" s="8">
        <v>87.9</v>
      </c>
      <c r="L38" s="9">
        <v>16</v>
      </c>
      <c r="M38" s="9">
        <v>161</v>
      </c>
      <c r="N38" s="9">
        <v>172</v>
      </c>
      <c r="O38" s="9">
        <v>317</v>
      </c>
      <c r="P38" s="9">
        <v>125</v>
      </c>
      <c r="Q38" s="9">
        <v>94</v>
      </c>
      <c r="R38" s="9">
        <v>21</v>
      </c>
      <c r="S38" s="9">
        <v>114</v>
      </c>
      <c r="T38" s="8">
        <v>2267</v>
      </c>
      <c r="U38" s="8">
        <v>8</v>
      </c>
      <c r="V38" s="8">
        <v>1</v>
      </c>
      <c r="W38" s="7">
        <v>-2.4</v>
      </c>
      <c r="X38" s="7">
        <v>113.8</v>
      </c>
      <c r="Y38" s="7">
        <v>117.4</v>
      </c>
      <c r="Z38" s="7">
        <v>-3.5</v>
      </c>
      <c r="AA38" s="7">
        <v>27.6</v>
      </c>
      <c r="AB38" s="7">
        <v>2.56</v>
      </c>
      <c r="AC38" s="7">
        <v>19.2</v>
      </c>
      <c r="AD38" s="7">
        <v>0.7</v>
      </c>
      <c r="AE38" s="7">
        <v>8.6999999999999993</v>
      </c>
      <c r="AF38" s="7">
        <v>4.5</v>
      </c>
      <c r="AG38" s="7">
        <v>7.5</v>
      </c>
      <c r="AH38" s="7">
        <v>51.1</v>
      </c>
      <c r="AI38" s="7">
        <v>56.2</v>
      </c>
      <c r="AJ38" s="7">
        <v>29.3</v>
      </c>
      <c r="AK38" s="7">
        <v>98.34</v>
      </c>
      <c r="AL38" s="7">
        <v>12.7</v>
      </c>
      <c r="AM38" s="7">
        <v>4024</v>
      </c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1"/>
    </row>
    <row r="39" spans="1:64" ht="13">
      <c r="A39" s="6" t="s">
        <v>117</v>
      </c>
      <c r="B39" s="6" t="s">
        <v>118</v>
      </c>
      <c r="C39" s="31">
        <v>1358</v>
      </c>
      <c r="D39" s="24">
        <v>475</v>
      </c>
      <c r="E39" s="24">
        <v>1007</v>
      </c>
      <c r="F39" s="8">
        <v>47.3</v>
      </c>
      <c r="G39" s="9">
        <v>562</v>
      </c>
      <c r="H39" s="8">
        <v>38.799999999999997</v>
      </c>
      <c r="I39" s="8">
        <v>190</v>
      </c>
      <c r="J39" s="8">
        <v>219</v>
      </c>
      <c r="K39" s="8">
        <v>85.1</v>
      </c>
      <c r="L39" s="9">
        <v>44</v>
      </c>
      <c r="M39" s="9">
        <v>219</v>
      </c>
      <c r="N39" s="9">
        <v>256</v>
      </c>
      <c r="O39" s="9">
        <v>672</v>
      </c>
      <c r="P39" s="9">
        <v>117</v>
      </c>
      <c r="Q39" s="9">
        <v>102</v>
      </c>
      <c r="R39" s="9">
        <v>51</v>
      </c>
      <c r="S39" s="9">
        <v>95</v>
      </c>
      <c r="T39" s="8">
        <v>3022</v>
      </c>
      <c r="U39" s="8">
        <v>31</v>
      </c>
      <c r="V39" s="8">
        <v>0</v>
      </c>
      <c r="W39" s="7">
        <v>3</v>
      </c>
      <c r="X39" s="7">
        <v>117.7</v>
      </c>
      <c r="Y39" s="7">
        <v>114.2</v>
      </c>
      <c r="Z39" s="7">
        <v>3.5</v>
      </c>
      <c r="AA39" s="7">
        <v>38.4</v>
      </c>
      <c r="AB39" s="7">
        <v>5.61</v>
      </c>
      <c r="AC39" s="7">
        <v>35.799999999999997</v>
      </c>
      <c r="AD39" s="7">
        <v>1.7</v>
      </c>
      <c r="AE39" s="7">
        <v>8.6999999999999993</v>
      </c>
      <c r="AF39" s="7">
        <v>5.2</v>
      </c>
      <c r="AG39" s="7">
        <v>6.4</v>
      </c>
      <c r="AH39" s="7">
        <v>58.2</v>
      </c>
      <c r="AI39" s="7">
        <v>61.6</v>
      </c>
      <c r="AJ39" s="7">
        <v>21</v>
      </c>
      <c r="AK39" s="7">
        <v>100.82</v>
      </c>
      <c r="AL39" s="7">
        <v>14.3</v>
      </c>
      <c r="AM39" s="7">
        <v>5165</v>
      </c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1"/>
    </row>
    <row r="40" spans="1:64" ht="13">
      <c r="A40" s="6" t="s">
        <v>119</v>
      </c>
      <c r="B40" s="6" t="s">
        <v>120</v>
      </c>
      <c r="C40" s="31">
        <v>1351</v>
      </c>
      <c r="D40" s="24">
        <v>548</v>
      </c>
      <c r="E40" s="24">
        <v>1037</v>
      </c>
      <c r="F40" s="8">
        <v>53</v>
      </c>
      <c r="G40" s="9">
        <v>321</v>
      </c>
      <c r="H40" s="8">
        <v>40.200000000000003</v>
      </c>
      <c r="I40" s="8">
        <v>117</v>
      </c>
      <c r="J40" s="8">
        <v>146</v>
      </c>
      <c r="K40" s="8">
        <v>80.5</v>
      </c>
      <c r="L40" s="9">
        <v>175</v>
      </c>
      <c r="M40" s="9">
        <v>555</v>
      </c>
      <c r="N40" s="9">
        <v>737</v>
      </c>
      <c r="O40" s="9">
        <v>256</v>
      </c>
      <c r="P40" s="9">
        <v>117</v>
      </c>
      <c r="Q40" s="9">
        <v>58</v>
      </c>
      <c r="R40" s="9">
        <v>51</v>
      </c>
      <c r="S40" s="9">
        <v>161</v>
      </c>
      <c r="T40" s="8">
        <v>2832</v>
      </c>
      <c r="U40" s="8">
        <v>45</v>
      </c>
      <c r="V40" s="8">
        <v>1</v>
      </c>
      <c r="W40" s="7">
        <v>-1.3</v>
      </c>
      <c r="X40" s="7">
        <v>113.6</v>
      </c>
      <c r="Y40" s="7">
        <v>116</v>
      </c>
      <c r="Z40" s="7">
        <v>-2.4</v>
      </c>
      <c r="AA40" s="7">
        <v>16.5</v>
      </c>
      <c r="AB40" s="7">
        <v>2.15</v>
      </c>
      <c r="AC40" s="7">
        <v>17.3</v>
      </c>
      <c r="AD40" s="7">
        <v>7.6</v>
      </c>
      <c r="AE40" s="7">
        <v>22.8</v>
      </c>
      <c r="AF40" s="7">
        <v>15.4</v>
      </c>
      <c r="AG40" s="7">
        <v>8.1</v>
      </c>
      <c r="AH40" s="7">
        <v>59.2</v>
      </c>
      <c r="AI40" s="7">
        <v>61.1</v>
      </c>
      <c r="AJ40" s="7">
        <v>22.1</v>
      </c>
      <c r="AK40" s="7">
        <v>104.11</v>
      </c>
      <c r="AL40" s="7">
        <v>13.6</v>
      </c>
      <c r="AM40" s="7">
        <v>4950</v>
      </c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1"/>
    </row>
    <row r="41" spans="1:64" ht="13">
      <c r="A41" s="6" t="s">
        <v>121</v>
      </c>
      <c r="B41" s="6" t="s">
        <v>122</v>
      </c>
      <c r="C41" s="31">
        <v>1351</v>
      </c>
      <c r="D41" s="24">
        <v>476</v>
      </c>
      <c r="E41" s="24">
        <v>1127</v>
      </c>
      <c r="F41" s="8">
        <v>42.6</v>
      </c>
      <c r="G41" s="9">
        <v>595</v>
      </c>
      <c r="H41" s="8">
        <v>36.299999999999997</v>
      </c>
      <c r="I41" s="8">
        <v>175</v>
      </c>
      <c r="J41" s="8">
        <v>196</v>
      </c>
      <c r="K41" s="8">
        <v>90.2</v>
      </c>
      <c r="L41" s="9">
        <v>28</v>
      </c>
      <c r="M41" s="9">
        <v>161</v>
      </c>
      <c r="N41" s="9">
        <v>189</v>
      </c>
      <c r="O41" s="9">
        <v>336</v>
      </c>
      <c r="P41" s="9">
        <v>140</v>
      </c>
      <c r="Q41" s="9">
        <v>63</v>
      </c>
      <c r="R41" s="9">
        <v>7</v>
      </c>
      <c r="S41" s="9">
        <v>119</v>
      </c>
      <c r="T41" s="8">
        <v>2135</v>
      </c>
      <c r="U41" s="8">
        <v>2</v>
      </c>
      <c r="V41" s="8">
        <v>0</v>
      </c>
      <c r="W41" s="7">
        <v>-3.1</v>
      </c>
      <c r="X41" s="7">
        <v>108.8</v>
      </c>
      <c r="Y41" s="7">
        <v>113.4</v>
      </c>
      <c r="Z41" s="7">
        <v>-4.5999999999999996</v>
      </c>
      <c r="AA41" s="7">
        <v>24.1</v>
      </c>
      <c r="AB41" s="7">
        <v>2.36</v>
      </c>
      <c r="AC41" s="7">
        <v>20.100000000000001</v>
      </c>
      <c r="AD41" s="7">
        <v>1</v>
      </c>
      <c r="AE41" s="7">
        <v>6.9</v>
      </c>
      <c r="AF41" s="7">
        <v>3.9</v>
      </c>
      <c r="AG41" s="7">
        <v>8.5</v>
      </c>
      <c r="AH41" s="7">
        <v>52.1</v>
      </c>
      <c r="AI41" s="7">
        <v>55.7</v>
      </c>
      <c r="AJ41" s="7">
        <v>24.1</v>
      </c>
      <c r="AK41" s="7">
        <v>99.72</v>
      </c>
      <c r="AL41" s="7">
        <v>10.6</v>
      </c>
      <c r="AM41" s="7">
        <v>4760</v>
      </c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1"/>
    </row>
    <row r="42" spans="1:64" ht="13">
      <c r="A42" s="6" t="s">
        <v>123</v>
      </c>
      <c r="B42" s="6" t="s">
        <v>124</v>
      </c>
      <c r="C42" s="31">
        <v>1344</v>
      </c>
      <c r="D42" s="24">
        <v>592</v>
      </c>
      <c r="E42" s="24">
        <v>944</v>
      </c>
      <c r="F42" s="8">
        <v>62.8</v>
      </c>
      <c r="G42" s="8">
        <v>0</v>
      </c>
      <c r="H42" s="8">
        <v>0</v>
      </c>
      <c r="I42" s="8">
        <v>160</v>
      </c>
      <c r="J42" s="8">
        <v>240</v>
      </c>
      <c r="K42" s="8">
        <v>66.099999999999994</v>
      </c>
      <c r="L42" s="9">
        <v>304</v>
      </c>
      <c r="M42" s="9">
        <v>712</v>
      </c>
      <c r="N42" s="9">
        <v>1008</v>
      </c>
      <c r="O42" s="9">
        <v>216</v>
      </c>
      <c r="P42" s="9">
        <v>128</v>
      </c>
      <c r="Q42" s="9">
        <v>56</v>
      </c>
      <c r="R42" s="9">
        <v>88</v>
      </c>
      <c r="S42" s="9">
        <v>168</v>
      </c>
      <c r="T42" s="8">
        <v>3184</v>
      </c>
      <c r="U42" s="8">
        <v>59</v>
      </c>
      <c r="V42" s="8">
        <v>1</v>
      </c>
      <c r="W42" s="7">
        <v>6.4</v>
      </c>
      <c r="X42" s="7">
        <v>116.5</v>
      </c>
      <c r="Y42" s="7">
        <v>107.1</v>
      </c>
      <c r="Z42" s="7">
        <v>9.4</v>
      </c>
      <c r="AA42" s="7">
        <v>12.1</v>
      </c>
      <c r="AB42" s="7">
        <v>1.69</v>
      </c>
      <c r="AC42" s="7">
        <v>15.5</v>
      </c>
      <c r="AD42" s="7">
        <v>12.2</v>
      </c>
      <c r="AE42" s="7">
        <v>27.1</v>
      </c>
      <c r="AF42" s="7">
        <v>19.899999999999999</v>
      </c>
      <c r="AG42" s="7">
        <v>9.1999999999999993</v>
      </c>
      <c r="AH42" s="7">
        <v>62.8</v>
      </c>
      <c r="AI42" s="7">
        <v>64.099999999999994</v>
      </c>
      <c r="AJ42" s="7">
        <v>19.2</v>
      </c>
      <c r="AK42" s="7">
        <v>98.55</v>
      </c>
      <c r="AL42" s="7">
        <v>15.7</v>
      </c>
      <c r="AM42" s="7">
        <v>5392</v>
      </c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1"/>
    </row>
    <row r="43" spans="1:64" ht="13">
      <c r="A43" s="6" t="s">
        <v>125</v>
      </c>
      <c r="B43" s="6" t="s">
        <v>126</v>
      </c>
      <c r="C43" s="31">
        <v>1337</v>
      </c>
      <c r="D43" s="24">
        <v>459</v>
      </c>
      <c r="E43" s="24">
        <v>1074</v>
      </c>
      <c r="F43" s="8">
        <v>43</v>
      </c>
      <c r="G43" s="9">
        <v>763</v>
      </c>
      <c r="H43" s="8">
        <v>41.6</v>
      </c>
      <c r="I43" s="8">
        <v>98</v>
      </c>
      <c r="J43" s="8">
        <v>139</v>
      </c>
      <c r="K43" s="8">
        <v>67.900000000000006</v>
      </c>
      <c r="L43" s="9">
        <v>49</v>
      </c>
      <c r="M43" s="9">
        <v>164</v>
      </c>
      <c r="N43" s="9">
        <v>213</v>
      </c>
      <c r="O43" s="9">
        <v>139</v>
      </c>
      <c r="P43" s="9">
        <v>82</v>
      </c>
      <c r="Q43" s="9">
        <v>74</v>
      </c>
      <c r="R43" s="9">
        <v>8</v>
      </c>
      <c r="S43" s="9">
        <v>123</v>
      </c>
      <c r="T43" s="8">
        <v>1952</v>
      </c>
      <c r="U43" s="8">
        <v>1</v>
      </c>
      <c r="V43" s="8">
        <v>0</v>
      </c>
      <c r="W43" s="7">
        <v>2.1</v>
      </c>
      <c r="X43" s="7">
        <v>113.3</v>
      </c>
      <c r="Y43" s="7">
        <v>110.2</v>
      </c>
      <c r="Z43" s="7">
        <v>3.1</v>
      </c>
      <c r="AA43" s="7">
        <v>8.9</v>
      </c>
      <c r="AB43" s="7">
        <v>1.67</v>
      </c>
      <c r="AC43" s="7">
        <v>10.3</v>
      </c>
      <c r="AD43" s="7">
        <v>2</v>
      </c>
      <c r="AE43" s="7">
        <v>6.9</v>
      </c>
      <c r="AF43" s="7">
        <v>4.5</v>
      </c>
      <c r="AG43" s="7">
        <v>6.2</v>
      </c>
      <c r="AH43" s="7">
        <v>57.9</v>
      </c>
      <c r="AI43" s="7">
        <v>59</v>
      </c>
      <c r="AJ43" s="7">
        <v>21.5</v>
      </c>
      <c r="AK43" s="7">
        <v>102.76</v>
      </c>
      <c r="AL43" s="7">
        <v>9.1</v>
      </c>
      <c r="AM43" s="7">
        <v>4898</v>
      </c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1"/>
    </row>
    <row r="44" spans="1:64" ht="13">
      <c r="A44" s="6" t="s">
        <v>127</v>
      </c>
      <c r="B44" s="6" t="s">
        <v>128</v>
      </c>
      <c r="C44" s="31">
        <v>1337</v>
      </c>
      <c r="D44" s="24">
        <v>525</v>
      </c>
      <c r="E44" s="24">
        <v>896</v>
      </c>
      <c r="F44" s="8">
        <v>59</v>
      </c>
      <c r="G44" s="9">
        <v>154</v>
      </c>
      <c r="H44" s="8">
        <v>41.7</v>
      </c>
      <c r="I44" s="8">
        <v>217</v>
      </c>
      <c r="J44" s="8">
        <v>287</v>
      </c>
      <c r="K44" s="8">
        <v>75.400000000000006</v>
      </c>
      <c r="L44" s="9">
        <v>266</v>
      </c>
      <c r="M44" s="9">
        <v>707</v>
      </c>
      <c r="N44" s="9">
        <v>973</v>
      </c>
      <c r="O44" s="9">
        <v>420</v>
      </c>
      <c r="P44" s="9">
        <v>203</v>
      </c>
      <c r="Q44" s="9">
        <v>49</v>
      </c>
      <c r="R44" s="9">
        <v>28</v>
      </c>
      <c r="S44" s="9">
        <v>231</v>
      </c>
      <c r="T44" s="8">
        <v>3157</v>
      </c>
      <c r="U44" s="8">
        <v>61</v>
      </c>
      <c r="V44" s="8">
        <v>10</v>
      </c>
      <c r="W44" s="7">
        <v>2.1</v>
      </c>
      <c r="X44" s="7">
        <v>116.5</v>
      </c>
      <c r="Y44" s="7">
        <v>113.9</v>
      </c>
      <c r="Z44" s="7">
        <v>2.6</v>
      </c>
      <c r="AA44" s="7">
        <v>25.1</v>
      </c>
      <c r="AB44" s="7">
        <v>2.09</v>
      </c>
      <c r="AC44" s="7">
        <v>25.7</v>
      </c>
      <c r="AD44" s="7">
        <v>11</v>
      </c>
      <c r="AE44" s="7">
        <v>28.6</v>
      </c>
      <c r="AF44" s="7">
        <v>19.899999999999999</v>
      </c>
      <c r="AG44" s="7">
        <v>12.3</v>
      </c>
      <c r="AH44" s="7">
        <v>62.7</v>
      </c>
      <c r="AI44" s="7">
        <v>65.5</v>
      </c>
      <c r="AJ44" s="7">
        <v>21.3</v>
      </c>
      <c r="AK44" s="7">
        <v>99.78</v>
      </c>
      <c r="AL44" s="7">
        <v>16.399999999999999</v>
      </c>
      <c r="AM44" s="7">
        <v>5054</v>
      </c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1"/>
    </row>
    <row r="45" spans="1:64" ht="13">
      <c r="A45" s="6" t="s">
        <v>129</v>
      </c>
      <c r="B45" s="6" t="s">
        <v>130</v>
      </c>
      <c r="C45" s="31">
        <v>1332</v>
      </c>
      <c r="D45" s="24">
        <v>488</v>
      </c>
      <c r="E45" s="24">
        <v>1029</v>
      </c>
      <c r="F45" s="8">
        <v>47.6</v>
      </c>
      <c r="G45" s="9">
        <v>459</v>
      </c>
      <c r="H45" s="8">
        <v>37.200000000000003</v>
      </c>
      <c r="I45" s="8">
        <v>185</v>
      </c>
      <c r="J45" s="8">
        <v>229</v>
      </c>
      <c r="K45" s="8">
        <v>81</v>
      </c>
      <c r="L45" s="9">
        <v>96</v>
      </c>
      <c r="M45" s="9">
        <v>259</v>
      </c>
      <c r="N45" s="9">
        <v>355</v>
      </c>
      <c r="O45" s="9">
        <v>163</v>
      </c>
      <c r="P45" s="9">
        <v>104</v>
      </c>
      <c r="Q45" s="9">
        <v>111</v>
      </c>
      <c r="R45" s="9">
        <v>67</v>
      </c>
      <c r="S45" s="9">
        <v>170</v>
      </c>
      <c r="T45" s="8">
        <v>2427</v>
      </c>
      <c r="U45" s="8">
        <v>1</v>
      </c>
      <c r="V45" s="8">
        <v>0</v>
      </c>
      <c r="W45" s="7">
        <v>4.0999999999999996</v>
      </c>
      <c r="X45" s="7">
        <v>117.7</v>
      </c>
      <c r="Y45" s="7">
        <v>112.3</v>
      </c>
      <c r="Z45" s="7">
        <v>5.4</v>
      </c>
      <c r="AA45" s="7">
        <v>8.4</v>
      </c>
      <c r="AB45" s="7">
        <v>1.61</v>
      </c>
      <c r="AC45" s="7">
        <v>11.8</v>
      </c>
      <c r="AD45" s="7">
        <v>3.7</v>
      </c>
      <c r="AE45" s="7">
        <v>9.8000000000000007</v>
      </c>
      <c r="AF45" s="7">
        <v>6.7</v>
      </c>
      <c r="AG45" s="7">
        <v>7.3</v>
      </c>
      <c r="AH45" s="7">
        <v>55.9</v>
      </c>
      <c r="AI45" s="7">
        <v>59.1</v>
      </c>
      <c r="AJ45" s="7">
        <v>19.5</v>
      </c>
      <c r="AK45" s="7">
        <v>97.73</v>
      </c>
      <c r="AL45" s="7">
        <v>9.3000000000000007</v>
      </c>
      <c r="AM45" s="7">
        <v>5511</v>
      </c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1"/>
    </row>
    <row r="46" spans="1:64" ht="13">
      <c r="A46" s="6" t="s">
        <v>131</v>
      </c>
      <c r="B46" s="6" t="s">
        <v>132</v>
      </c>
      <c r="C46" s="31">
        <v>1332</v>
      </c>
      <c r="D46" s="24">
        <v>497</v>
      </c>
      <c r="E46" s="24">
        <v>1102</v>
      </c>
      <c r="F46" s="8">
        <v>45.2</v>
      </c>
      <c r="G46" s="9">
        <v>475</v>
      </c>
      <c r="H46" s="8">
        <v>31.1</v>
      </c>
      <c r="I46" s="8">
        <v>187</v>
      </c>
      <c r="J46" s="8">
        <v>245</v>
      </c>
      <c r="K46" s="8">
        <v>78.5</v>
      </c>
      <c r="L46" s="9">
        <v>65</v>
      </c>
      <c r="M46" s="9">
        <v>259</v>
      </c>
      <c r="N46" s="9">
        <v>324</v>
      </c>
      <c r="O46" s="9">
        <v>202</v>
      </c>
      <c r="P46" s="9">
        <v>151</v>
      </c>
      <c r="Q46" s="9">
        <v>65</v>
      </c>
      <c r="R46" s="9">
        <v>14</v>
      </c>
      <c r="S46" s="9">
        <v>122</v>
      </c>
      <c r="T46" s="8">
        <v>2102</v>
      </c>
      <c r="U46" s="8">
        <v>3</v>
      </c>
      <c r="V46" s="8">
        <v>0</v>
      </c>
      <c r="W46" s="7">
        <v>-1.9</v>
      </c>
      <c r="X46" s="7">
        <v>111.4</v>
      </c>
      <c r="Y46" s="7">
        <v>114.4</v>
      </c>
      <c r="Z46" s="7">
        <v>-3</v>
      </c>
      <c r="AA46" s="7">
        <v>13.8</v>
      </c>
      <c r="AB46" s="7">
        <v>1.32</v>
      </c>
      <c r="AC46" s="7">
        <v>12.7</v>
      </c>
      <c r="AD46" s="7">
        <v>2.9</v>
      </c>
      <c r="AE46" s="7">
        <v>11.4</v>
      </c>
      <c r="AF46" s="7">
        <v>7</v>
      </c>
      <c r="AG46" s="7">
        <v>9.6999999999999993</v>
      </c>
      <c r="AH46" s="7">
        <v>51.9</v>
      </c>
      <c r="AI46" s="7">
        <v>55.1</v>
      </c>
      <c r="AJ46" s="7">
        <v>25</v>
      </c>
      <c r="AK46" s="7">
        <v>99.88</v>
      </c>
      <c r="AL46" s="7">
        <v>10.199999999999999</v>
      </c>
      <c r="AM46" s="7">
        <v>4688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1"/>
    </row>
    <row r="47" spans="1:64" ht="13">
      <c r="A47" s="6" t="s">
        <v>133</v>
      </c>
      <c r="B47" s="6" t="s">
        <v>134</v>
      </c>
      <c r="C47" s="31">
        <v>1325</v>
      </c>
      <c r="D47" s="24">
        <v>490</v>
      </c>
      <c r="E47" s="24">
        <v>1021</v>
      </c>
      <c r="F47" s="8">
        <v>48.4</v>
      </c>
      <c r="G47" s="9">
        <v>421</v>
      </c>
      <c r="H47" s="8">
        <v>39.200000000000003</v>
      </c>
      <c r="I47" s="8">
        <v>179</v>
      </c>
      <c r="J47" s="8">
        <v>200</v>
      </c>
      <c r="K47" s="8">
        <v>89.4</v>
      </c>
      <c r="L47" s="9">
        <v>62</v>
      </c>
      <c r="M47" s="9">
        <v>359</v>
      </c>
      <c r="N47" s="9">
        <v>421</v>
      </c>
      <c r="O47" s="9">
        <v>366</v>
      </c>
      <c r="P47" s="9">
        <v>166</v>
      </c>
      <c r="Q47" s="9">
        <v>83</v>
      </c>
      <c r="R47" s="9">
        <v>28</v>
      </c>
      <c r="S47" s="9">
        <v>166</v>
      </c>
      <c r="T47" s="8">
        <v>2539</v>
      </c>
      <c r="U47" s="8">
        <v>10</v>
      </c>
      <c r="V47" s="8">
        <v>1</v>
      </c>
      <c r="W47" s="7">
        <v>2.1</v>
      </c>
      <c r="X47" s="7">
        <v>116.1</v>
      </c>
      <c r="Y47" s="7">
        <v>113.3</v>
      </c>
      <c r="Z47" s="7">
        <v>2.8</v>
      </c>
      <c r="AA47" s="7">
        <v>23.5</v>
      </c>
      <c r="AB47" s="7">
        <v>2.1800000000000002</v>
      </c>
      <c r="AC47" s="7">
        <v>22.7</v>
      </c>
      <c r="AD47" s="7">
        <v>2.6</v>
      </c>
      <c r="AE47" s="7">
        <v>15</v>
      </c>
      <c r="AF47" s="7">
        <v>8.8000000000000007</v>
      </c>
      <c r="AG47" s="7">
        <v>10.4</v>
      </c>
      <c r="AH47" s="7">
        <v>56.5</v>
      </c>
      <c r="AI47" s="7">
        <v>60</v>
      </c>
      <c r="AJ47" s="7">
        <v>22.7</v>
      </c>
      <c r="AK47" s="7">
        <v>104.58</v>
      </c>
      <c r="AL47" s="7">
        <v>13.1</v>
      </c>
      <c r="AM47" s="7">
        <v>4809</v>
      </c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1"/>
    </row>
    <row r="48" spans="1:64" ht="13">
      <c r="A48" s="6" t="s">
        <v>135</v>
      </c>
      <c r="B48" s="6" t="s">
        <v>136</v>
      </c>
      <c r="C48" s="31">
        <v>1314</v>
      </c>
      <c r="D48" s="24">
        <v>504</v>
      </c>
      <c r="E48" s="24">
        <v>909</v>
      </c>
      <c r="F48" s="8">
        <v>55.7</v>
      </c>
      <c r="G48" s="9">
        <v>227</v>
      </c>
      <c r="H48" s="8">
        <v>37</v>
      </c>
      <c r="I48" s="8">
        <v>220</v>
      </c>
      <c r="J48" s="8">
        <v>305</v>
      </c>
      <c r="K48" s="8">
        <v>72.5</v>
      </c>
      <c r="L48" s="9">
        <v>163</v>
      </c>
      <c r="M48" s="9">
        <v>497</v>
      </c>
      <c r="N48" s="9">
        <v>660</v>
      </c>
      <c r="O48" s="9">
        <v>227</v>
      </c>
      <c r="P48" s="9">
        <v>142</v>
      </c>
      <c r="Q48" s="9">
        <v>64</v>
      </c>
      <c r="R48" s="9">
        <v>114</v>
      </c>
      <c r="S48" s="9">
        <v>142</v>
      </c>
      <c r="T48" s="8">
        <v>2826</v>
      </c>
      <c r="U48" s="8">
        <v>37</v>
      </c>
      <c r="V48" s="8">
        <v>0</v>
      </c>
      <c r="W48" s="7">
        <v>7.7</v>
      </c>
      <c r="X48" s="7">
        <v>120.5</v>
      </c>
      <c r="Y48" s="7">
        <v>108.6</v>
      </c>
      <c r="Z48" s="7">
        <v>11.9</v>
      </c>
      <c r="AA48" s="7">
        <v>14.9</v>
      </c>
      <c r="AB48" s="7">
        <v>1.56</v>
      </c>
      <c r="AC48" s="7">
        <v>16.100000000000001</v>
      </c>
      <c r="AD48" s="7">
        <v>7.6</v>
      </c>
      <c r="AE48" s="7">
        <v>21.3</v>
      </c>
      <c r="AF48" s="7">
        <v>14.7</v>
      </c>
      <c r="AG48" s="7">
        <v>10.3</v>
      </c>
      <c r="AH48" s="7">
        <v>60.4</v>
      </c>
      <c r="AI48" s="7">
        <v>63.3</v>
      </c>
      <c r="AJ48" s="7">
        <v>22.6</v>
      </c>
      <c r="AK48" s="7">
        <v>102.16</v>
      </c>
      <c r="AL48" s="7">
        <v>15.1</v>
      </c>
      <c r="AM48" s="7">
        <v>4609</v>
      </c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1"/>
    </row>
    <row r="49" spans="1:64" ht="13">
      <c r="A49" s="6" t="s">
        <v>137</v>
      </c>
      <c r="B49" s="6" t="s">
        <v>138</v>
      </c>
      <c r="C49" s="31">
        <v>1308</v>
      </c>
      <c r="D49" s="24">
        <v>456</v>
      </c>
      <c r="E49" s="24">
        <v>948</v>
      </c>
      <c r="F49" s="8">
        <v>48.4</v>
      </c>
      <c r="G49" s="9">
        <v>426</v>
      </c>
      <c r="H49" s="8">
        <v>41.8</v>
      </c>
      <c r="I49" s="8">
        <v>216</v>
      </c>
      <c r="J49" s="8">
        <v>264</v>
      </c>
      <c r="K49" s="8">
        <v>80.400000000000006</v>
      </c>
      <c r="L49" s="9">
        <v>24</v>
      </c>
      <c r="M49" s="9">
        <v>168</v>
      </c>
      <c r="N49" s="9">
        <v>192</v>
      </c>
      <c r="O49" s="9">
        <v>126</v>
      </c>
      <c r="P49" s="9">
        <v>108</v>
      </c>
      <c r="Q49" s="9">
        <v>72</v>
      </c>
      <c r="R49" s="9">
        <v>12</v>
      </c>
      <c r="S49" s="9">
        <v>114</v>
      </c>
      <c r="T49" s="8">
        <v>1860</v>
      </c>
      <c r="U49" s="8">
        <v>1</v>
      </c>
      <c r="V49" s="8">
        <v>0</v>
      </c>
      <c r="W49" s="7">
        <v>5.9</v>
      </c>
      <c r="X49" s="7">
        <v>116.2</v>
      </c>
      <c r="Y49" s="7">
        <v>107.4</v>
      </c>
      <c r="Z49" s="7">
        <v>8.8000000000000007</v>
      </c>
      <c r="AA49" s="7">
        <v>9.6</v>
      </c>
      <c r="AB49" s="7">
        <v>1.1599999999999999</v>
      </c>
      <c r="AC49" s="7">
        <v>9.6999999999999993</v>
      </c>
      <c r="AD49" s="7">
        <v>1.1000000000000001</v>
      </c>
      <c r="AE49" s="7">
        <v>8.5</v>
      </c>
      <c r="AF49" s="7">
        <v>4.9000000000000004</v>
      </c>
      <c r="AG49" s="7">
        <v>8.4</v>
      </c>
      <c r="AH49" s="7">
        <v>57.8</v>
      </c>
      <c r="AI49" s="7">
        <v>61.5</v>
      </c>
      <c r="AJ49" s="7">
        <v>25.5</v>
      </c>
      <c r="AK49" s="7">
        <v>99.69</v>
      </c>
      <c r="AL49" s="7">
        <v>11</v>
      </c>
      <c r="AM49" s="7">
        <v>4063</v>
      </c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1"/>
    </row>
    <row r="50" spans="1:64" ht="13">
      <c r="A50" s="6" t="s">
        <v>139</v>
      </c>
      <c r="B50" s="6" t="s">
        <v>140</v>
      </c>
      <c r="C50" s="31">
        <v>1299</v>
      </c>
      <c r="D50" s="24">
        <v>467</v>
      </c>
      <c r="E50" s="24">
        <v>1088</v>
      </c>
      <c r="F50" s="8">
        <v>43.1</v>
      </c>
      <c r="G50" s="9">
        <v>448</v>
      </c>
      <c r="H50" s="8">
        <v>31.3</v>
      </c>
      <c r="I50" s="8">
        <v>224</v>
      </c>
      <c r="J50" s="8">
        <v>256</v>
      </c>
      <c r="K50" s="8">
        <v>87</v>
      </c>
      <c r="L50" s="9">
        <v>70</v>
      </c>
      <c r="M50" s="9">
        <v>410</v>
      </c>
      <c r="N50" s="9">
        <v>480</v>
      </c>
      <c r="O50" s="9">
        <v>250</v>
      </c>
      <c r="P50" s="9">
        <v>134</v>
      </c>
      <c r="Q50" s="9">
        <v>45</v>
      </c>
      <c r="R50" s="9">
        <v>45</v>
      </c>
      <c r="S50" s="9">
        <v>96</v>
      </c>
      <c r="T50" s="8">
        <v>2381</v>
      </c>
      <c r="U50" s="8">
        <v>14</v>
      </c>
      <c r="V50" s="8">
        <v>1</v>
      </c>
      <c r="W50" s="7">
        <v>-4</v>
      </c>
      <c r="X50" s="7">
        <v>108.2</v>
      </c>
      <c r="Y50" s="7">
        <v>113.6</v>
      </c>
      <c r="Z50" s="7">
        <v>-5.5</v>
      </c>
      <c r="AA50" s="7">
        <v>20.3</v>
      </c>
      <c r="AB50" s="7">
        <v>1.82</v>
      </c>
      <c r="AC50" s="7">
        <v>15.7</v>
      </c>
      <c r="AD50" s="7">
        <v>3.3</v>
      </c>
      <c r="AE50" s="7">
        <v>18.899999999999999</v>
      </c>
      <c r="AF50" s="7">
        <v>11</v>
      </c>
      <c r="AG50" s="7">
        <v>8.6</v>
      </c>
      <c r="AH50" s="7">
        <v>49.5</v>
      </c>
      <c r="AI50" s="7">
        <v>54.1</v>
      </c>
      <c r="AJ50" s="7">
        <v>27.3</v>
      </c>
      <c r="AK50" s="7">
        <v>100.58</v>
      </c>
      <c r="AL50" s="7">
        <v>13.5</v>
      </c>
      <c r="AM50" s="7">
        <v>4239</v>
      </c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1"/>
    </row>
    <row r="51" spans="1:64" ht="13">
      <c r="A51" s="6" t="s">
        <v>141</v>
      </c>
      <c r="B51" s="6" t="s">
        <v>142</v>
      </c>
      <c r="C51" s="31">
        <v>1290</v>
      </c>
      <c r="D51" s="24">
        <v>455</v>
      </c>
      <c r="E51" s="24">
        <v>938</v>
      </c>
      <c r="F51" s="8">
        <v>48.5</v>
      </c>
      <c r="G51" s="9">
        <v>317</v>
      </c>
      <c r="H51" s="8">
        <v>34.4</v>
      </c>
      <c r="I51" s="8">
        <v>269</v>
      </c>
      <c r="J51" s="8">
        <v>338</v>
      </c>
      <c r="K51" s="8">
        <v>80.599999999999994</v>
      </c>
      <c r="L51" s="9">
        <v>145</v>
      </c>
      <c r="M51" s="9">
        <v>345</v>
      </c>
      <c r="N51" s="9">
        <v>490</v>
      </c>
      <c r="O51" s="9">
        <v>324</v>
      </c>
      <c r="P51" s="9">
        <v>193</v>
      </c>
      <c r="Q51" s="9">
        <v>48</v>
      </c>
      <c r="R51" s="9">
        <v>14</v>
      </c>
      <c r="S51" s="9">
        <v>173</v>
      </c>
      <c r="T51" s="8">
        <v>2353</v>
      </c>
      <c r="U51" s="8">
        <v>14</v>
      </c>
      <c r="V51" s="8">
        <v>0</v>
      </c>
      <c r="W51" s="7">
        <v>2.4</v>
      </c>
      <c r="X51" s="7">
        <v>115</v>
      </c>
      <c r="Y51" s="7">
        <v>111.6</v>
      </c>
      <c r="Z51" s="7">
        <v>3.4</v>
      </c>
      <c r="AA51" s="7">
        <v>22.8</v>
      </c>
      <c r="AB51" s="7">
        <v>1.65</v>
      </c>
      <c r="AC51" s="7">
        <v>20.100000000000001</v>
      </c>
      <c r="AD51" s="7">
        <v>6.5</v>
      </c>
      <c r="AE51" s="7">
        <v>14.9</v>
      </c>
      <c r="AF51" s="7">
        <v>10.8</v>
      </c>
      <c r="AG51" s="7">
        <v>12.2</v>
      </c>
      <c r="AH51" s="7">
        <v>54.2</v>
      </c>
      <c r="AI51" s="7">
        <v>59.3</v>
      </c>
      <c r="AJ51" s="7">
        <v>24.6</v>
      </c>
      <c r="AK51" s="7">
        <v>98.45</v>
      </c>
      <c r="AL51" s="7">
        <v>12.4</v>
      </c>
      <c r="AM51" s="7">
        <v>4569</v>
      </c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1"/>
    </row>
    <row r="52" spans="1:64" ht="13">
      <c r="A52" s="6" t="s">
        <v>143</v>
      </c>
      <c r="B52" s="6" t="s">
        <v>144</v>
      </c>
      <c r="C52" s="31">
        <v>1260</v>
      </c>
      <c r="D52" s="24">
        <v>469</v>
      </c>
      <c r="E52" s="24">
        <v>908</v>
      </c>
      <c r="F52" s="8">
        <v>51.6</v>
      </c>
      <c r="G52" s="9">
        <v>122</v>
      </c>
      <c r="H52" s="8">
        <v>28.2</v>
      </c>
      <c r="I52" s="8">
        <v>286</v>
      </c>
      <c r="J52" s="8">
        <v>367</v>
      </c>
      <c r="K52" s="8">
        <v>77.5</v>
      </c>
      <c r="L52" s="9">
        <v>133</v>
      </c>
      <c r="M52" s="9">
        <v>454</v>
      </c>
      <c r="N52" s="9">
        <v>592</v>
      </c>
      <c r="O52" s="9">
        <v>179</v>
      </c>
      <c r="P52" s="9">
        <v>112</v>
      </c>
      <c r="Q52" s="9">
        <v>61</v>
      </c>
      <c r="R52" s="9">
        <v>112</v>
      </c>
      <c r="S52" s="9">
        <v>97</v>
      </c>
      <c r="T52" s="8">
        <v>2637</v>
      </c>
      <c r="U52" s="8">
        <v>36</v>
      </c>
      <c r="V52" s="8">
        <v>1</v>
      </c>
      <c r="W52" s="7">
        <v>0.5</v>
      </c>
      <c r="X52" s="7">
        <v>113.3</v>
      </c>
      <c r="Y52" s="7">
        <v>112.9</v>
      </c>
      <c r="Z52" s="7">
        <v>0.5</v>
      </c>
      <c r="AA52" s="7">
        <v>18.2</v>
      </c>
      <c r="AB52" s="7">
        <v>1.6</v>
      </c>
      <c r="AC52" s="7">
        <v>13.3</v>
      </c>
      <c r="AD52" s="7">
        <v>8.3000000000000007</v>
      </c>
      <c r="AE52" s="7">
        <v>25.4</v>
      </c>
      <c r="AF52" s="7">
        <v>17.3</v>
      </c>
      <c r="AG52" s="7">
        <v>8.3000000000000007</v>
      </c>
      <c r="AH52" s="7">
        <v>53.6</v>
      </c>
      <c r="AI52" s="7">
        <v>58.8</v>
      </c>
      <c r="AJ52" s="7">
        <v>30.1</v>
      </c>
      <c r="AK52" s="7">
        <v>98.83</v>
      </c>
      <c r="AL52" s="7">
        <v>17.899999999999999</v>
      </c>
      <c r="AM52" s="7">
        <v>3515</v>
      </c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1"/>
    </row>
    <row r="53" spans="1:64" ht="13">
      <c r="A53" s="6" t="s">
        <v>145</v>
      </c>
      <c r="B53" s="6" t="s">
        <v>146</v>
      </c>
      <c r="C53" s="31">
        <v>1255</v>
      </c>
      <c r="D53" s="24">
        <v>475</v>
      </c>
      <c r="E53" s="24">
        <v>1066</v>
      </c>
      <c r="F53" s="8">
        <v>44.6</v>
      </c>
      <c r="G53" s="9">
        <v>280</v>
      </c>
      <c r="H53" s="8">
        <v>27.1</v>
      </c>
      <c r="I53" s="8">
        <v>228</v>
      </c>
      <c r="J53" s="8">
        <v>299</v>
      </c>
      <c r="K53" s="8">
        <v>75.5</v>
      </c>
      <c r="L53" s="9">
        <v>111</v>
      </c>
      <c r="M53" s="9">
        <v>390</v>
      </c>
      <c r="N53" s="9">
        <v>501</v>
      </c>
      <c r="O53" s="9">
        <v>377</v>
      </c>
      <c r="P53" s="9">
        <v>182</v>
      </c>
      <c r="Q53" s="9">
        <v>91</v>
      </c>
      <c r="R53" s="9">
        <v>65</v>
      </c>
      <c r="S53" s="9">
        <v>111</v>
      </c>
      <c r="T53" s="8">
        <v>2704</v>
      </c>
      <c r="U53" s="8">
        <v>26</v>
      </c>
      <c r="V53" s="8">
        <v>1</v>
      </c>
      <c r="W53" s="7">
        <v>-2</v>
      </c>
      <c r="X53" s="7">
        <v>107.4</v>
      </c>
      <c r="Y53" s="7">
        <v>110.1</v>
      </c>
      <c r="Z53" s="7">
        <v>-2.7</v>
      </c>
      <c r="AA53" s="7">
        <v>27.9</v>
      </c>
      <c r="AB53" s="7">
        <v>2.04</v>
      </c>
      <c r="AC53" s="7">
        <v>21.5</v>
      </c>
      <c r="AD53" s="7">
        <v>4.7</v>
      </c>
      <c r="AE53" s="7">
        <v>17.600000000000001</v>
      </c>
      <c r="AF53" s="7">
        <v>11.1</v>
      </c>
      <c r="AG53" s="7">
        <v>10.5</v>
      </c>
      <c r="AH53" s="7">
        <v>48.2</v>
      </c>
      <c r="AI53" s="7">
        <v>52.3</v>
      </c>
      <c r="AJ53" s="7">
        <v>26.2</v>
      </c>
      <c r="AK53" s="7">
        <v>102.48</v>
      </c>
      <c r="AL53" s="7">
        <v>13.9</v>
      </c>
      <c r="AM53" s="7">
        <v>4554</v>
      </c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1"/>
    </row>
    <row r="54" spans="1:64" ht="13">
      <c r="A54" s="6" t="s">
        <v>147</v>
      </c>
      <c r="B54" s="6" t="s">
        <v>148</v>
      </c>
      <c r="C54" s="31">
        <v>1246</v>
      </c>
      <c r="D54" s="24">
        <v>426</v>
      </c>
      <c r="E54" s="24">
        <v>958</v>
      </c>
      <c r="F54" s="8">
        <v>44.2</v>
      </c>
      <c r="G54" s="9">
        <v>692</v>
      </c>
      <c r="H54" s="8">
        <v>38.4</v>
      </c>
      <c r="I54" s="8">
        <v>137</v>
      </c>
      <c r="J54" s="8">
        <v>160</v>
      </c>
      <c r="K54" s="8">
        <v>83.9</v>
      </c>
      <c r="L54" s="9">
        <v>68</v>
      </c>
      <c r="M54" s="9">
        <v>274</v>
      </c>
      <c r="N54" s="9">
        <v>342</v>
      </c>
      <c r="O54" s="9">
        <v>365</v>
      </c>
      <c r="P54" s="9">
        <v>129</v>
      </c>
      <c r="Q54" s="9">
        <v>68</v>
      </c>
      <c r="R54" s="9">
        <v>84</v>
      </c>
      <c r="S54" s="9">
        <v>137</v>
      </c>
      <c r="T54" s="8">
        <v>2523</v>
      </c>
      <c r="U54" s="8">
        <v>4</v>
      </c>
      <c r="V54" s="8">
        <v>0</v>
      </c>
      <c r="W54" s="7">
        <v>7.1</v>
      </c>
      <c r="X54" s="7">
        <v>119.7</v>
      </c>
      <c r="Y54" s="7">
        <v>109.5</v>
      </c>
      <c r="Z54" s="7">
        <v>10.199999999999999</v>
      </c>
      <c r="AA54" s="7">
        <v>19.899999999999999</v>
      </c>
      <c r="AB54" s="7">
        <v>2.76</v>
      </c>
      <c r="AC54" s="7">
        <v>23.7</v>
      </c>
      <c r="AD54" s="7">
        <v>2.5</v>
      </c>
      <c r="AE54" s="7">
        <v>10.1</v>
      </c>
      <c r="AF54" s="7">
        <v>6.4</v>
      </c>
      <c r="AG54" s="7">
        <v>8.6</v>
      </c>
      <c r="AH54" s="7">
        <v>58</v>
      </c>
      <c r="AI54" s="7">
        <v>60.6</v>
      </c>
      <c r="AJ54" s="7">
        <v>19.5</v>
      </c>
      <c r="AK54" s="7">
        <v>97.89</v>
      </c>
      <c r="AL54" s="7">
        <v>10.6</v>
      </c>
      <c r="AM54" s="7">
        <v>5251</v>
      </c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1"/>
    </row>
    <row r="55" spans="1:64" ht="13">
      <c r="A55" s="6" t="s">
        <v>149</v>
      </c>
      <c r="B55" s="6" t="s">
        <v>150</v>
      </c>
      <c r="C55" s="31">
        <v>1235</v>
      </c>
      <c r="D55" s="24">
        <v>445</v>
      </c>
      <c r="E55" s="24">
        <v>945</v>
      </c>
      <c r="F55" s="8">
        <v>47.3</v>
      </c>
      <c r="G55" s="9">
        <v>360</v>
      </c>
      <c r="H55" s="8">
        <v>40.1</v>
      </c>
      <c r="I55" s="8">
        <v>195</v>
      </c>
      <c r="J55" s="8">
        <v>215</v>
      </c>
      <c r="K55" s="8">
        <v>91.6</v>
      </c>
      <c r="L55" s="9">
        <v>60</v>
      </c>
      <c r="M55" s="9">
        <v>180</v>
      </c>
      <c r="N55" s="9">
        <v>240</v>
      </c>
      <c r="O55" s="9">
        <v>230</v>
      </c>
      <c r="P55" s="9">
        <v>110</v>
      </c>
      <c r="Q55" s="9">
        <v>65</v>
      </c>
      <c r="R55" s="9">
        <v>25</v>
      </c>
      <c r="S55" s="9">
        <v>100</v>
      </c>
      <c r="T55" s="8">
        <v>2025</v>
      </c>
      <c r="U55" s="8">
        <v>0</v>
      </c>
      <c r="V55" s="8">
        <v>0</v>
      </c>
      <c r="W55" s="7">
        <v>2.5</v>
      </c>
      <c r="X55" s="7">
        <v>116.5</v>
      </c>
      <c r="Y55" s="7">
        <v>113.9</v>
      </c>
      <c r="Z55" s="7">
        <v>2.6</v>
      </c>
      <c r="AA55" s="7">
        <v>19.8</v>
      </c>
      <c r="AB55" s="7">
        <v>2.08</v>
      </c>
      <c r="AC55" s="7">
        <v>16.899999999999999</v>
      </c>
      <c r="AD55" s="7">
        <v>3.3</v>
      </c>
      <c r="AE55" s="7">
        <v>9.3000000000000007</v>
      </c>
      <c r="AF55" s="7">
        <v>6.4</v>
      </c>
      <c r="AG55" s="7">
        <v>8.1</v>
      </c>
      <c r="AH55" s="7">
        <v>54.9</v>
      </c>
      <c r="AI55" s="7">
        <v>59.4</v>
      </c>
      <c r="AJ55" s="7">
        <v>26.4</v>
      </c>
      <c r="AK55" s="7">
        <v>99.98</v>
      </c>
      <c r="AL55" s="7">
        <v>12.9</v>
      </c>
      <c r="AM55" s="7">
        <v>3768</v>
      </c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1"/>
    </row>
    <row r="56" spans="1:64" ht="13">
      <c r="A56" s="6" t="s">
        <v>151</v>
      </c>
      <c r="B56" s="6" t="s">
        <v>152</v>
      </c>
      <c r="C56" s="31">
        <v>1224</v>
      </c>
      <c r="D56" s="24">
        <v>458</v>
      </c>
      <c r="E56" s="24">
        <v>980</v>
      </c>
      <c r="F56" s="8">
        <v>46.8</v>
      </c>
      <c r="G56" s="9">
        <v>307</v>
      </c>
      <c r="H56" s="8">
        <v>35</v>
      </c>
      <c r="I56" s="8">
        <v>197</v>
      </c>
      <c r="J56" s="8">
        <v>313</v>
      </c>
      <c r="K56" s="8">
        <v>63</v>
      </c>
      <c r="L56" s="9">
        <v>64</v>
      </c>
      <c r="M56" s="9">
        <v>307</v>
      </c>
      <c r="N56" s="9">
        <v>365</v>
      </c>
      <c r="O56" s="9">
        <v>313</v>
      </c>
      <c r="P56" s="9">
        <v>162</v>
      </c>
      <c r="Q56" s="9">
        <v>46</v>
      </c>
      <c r="R56" s="9">
        <v>17</v>
      </c>
      <c r="S56" s="9">
        <v>139</v>
      </c>
      <c r="T56" s="8">
        <v>2158</v>
      </c>
      <c r="U56" s="8">
        <v>10</v>
      </c>
      <c r="V56" s="8">
        <v>2</v>
      </c>
      <c r="W56" s="7">
        <v>-2.4</v>
      </c>
      <c r="X56" s="7">
        <v>110.1</v>
      </c>
      <c r="Y56" s="7">
        <v>113.4</v>
      </c>
      <c r="Z56" s="7">
        <v>-3.4</v>
      </c>
      <c r="AA56" s="7">
        <v>25.7</v>
      </c>
      <c r="AB56" s="7">
        <v>1.9</v>
      </c>
      <c r="AC56" s="7">
        <v>19.600000000000001</v>
      </c>
      <c r="AD56" s="7">
        <v>3.1</v>
      </c>
      <c r="AE56" s="7">
        <v>15.9</v>
      </c>
      <c r="AF56" s="7">
        <v>9.4</v>
      </c>
      <c r="AG56" s="7">
        <v>10.3</v>
      </c>
      <c r="AH56" s="7">
        <v>52.3</v>
      </c>
      <c r="AI56" s="7">
        <v>54.7</v>
      </c>
      <c r="AJ56" s="7">
        <v>28</v>
      </c>
      <c r="AK56" s="7">
        <v>102.74</v>
      </c>
      <c r="AL56" s="7">
        <v>12.1</v>
      </c>
      <c r="AM56" s="7">
        <v>3998</v>
      </c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1"/>
    </row>
    <row r="57" spans="1:64" ht="13">
      <c r="A57" s="6" t="s">
        <v>153</v>
      </c>
      <c r="B57" s="6" t="s">
        <v>154</v>
      </c>
      <c r="C57" s="31">
        <v>1217</v>
      </c>
      <c r="D57" s="24">
        <v>474</v>
      </c>
      <c r="E57" s="24">
        <v>822</v>
      </c>
      <c r="F57" s="8">
        <v>58</v>
      </c>
      <c r="G57" s="9">
        <v>221</v>
      </c>
      <c r="H57" s="8">
        <v>39.700000000000003</v>
      </c>
      <c r="I57" s="8">
        <v>174</v>
      </c>
      <c r="J57" s="8">
        <v>213</v>
      </c>
      <c r="K57" s="8">
        <v>82.7</v>
      </c>
      <c r="L57" s="9">
        <v>95</v>
      </c>
      <c r="M57" s="9">
        <v>308</v>
      </c>
      <c r="N57" s="9">
        <v>411</v>
      </c>
      <c r="O57" s="9">
        <v>205</v>
      </c>
      <c r="P57" s="9">
        <v>79</v>
      </c>
      <c r="Q57" s="9">
        <v>87</v>
      </c>
      <c r="R57" s="9">
        <v>40</v>
      </c>
      <c r="S57" s="9">
        <v>174</v>
      </c>
      <c r="T57" s="8">
        <v>2299</v>
      </c>
      <c r="U57" s="8">
        <v>6</v>
      </c>
      <c r="V57" s="8">
        <v>0</v>
      </c>
      <c r="W57" s="7">
        <v>6.1</v>
      </c>
      <c r="X57" s="7">
        <v>122.7</v>
      </c>
      <c r="Y57" s="7">
        <v>114.5</v>
      </c>
      <c r="Z57" s="7">
        <v>8.1999999999999993</v>
      </c>
      <c r="AA57" s="7">
        <v>9.6</v>
      </c>
      <c r="AB57" s="7">
        <v>2.5299999999999998</v>
      </c>
      <c r="AC57" s="7">
        <v>17.100000000000001</v>
      </c>
      <c r="AD57" s="7">
        <v>3.9</v>
      </c>
      <c r="AE57" s="7">
        <v>10.9</v>
      </c>
      <c r="AF57" s="7">
        <v>7.7</v>
      </c>
      <c r="AG57" s="7">
        <v>6.8</v>
      </c>
      <c r="AH57" s="7">
        <v>63.4</v>
      </c>
      <c r="AI57" s="7">
        <v>66.5</v>
      </c>
      <c r="AJ57" s="7">
        <v>15.5</v>
      </c>
      <c r="AK57" s="7">
        <v>101.04</v>
      </c>
      <c r="AL57" s="7">
        <v>9.6</v>
      </c>
      <c r="AM57" s="7">
        <v>5639</v>
      </c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1"/>
    </row>
    <row r="58" spans="1:64" ht="13">
      <c r="A58" s="6" t="s">
        <v>155</v>
      </c>
      <c r="B58" s="6" t="s">
        <v>156</v>
      </c>
      <c r="C58" s="31">
        <v>1217</v>
      </c>
      <c r="D58" s="24">
        <v>403</v>
      </c>
      <c r="E58" s="24">
        <v>842</v>
      </c>
      <c r="F58" s="8">
        <v>47.6</v>
      </c>
      <c r="G58" s="9">
        <v>346</v>
      </c>
      <c r="H58" s="8">
        <v>36.5</v>
      </c>
      <c r="I58" s="8">
        <v>288</v>
      </c>
      <c r="J58" s="8">
        <v>374</v>
      </c>
      <c r="K58" s="8">
        <v>78</v>
      </c>
      <c r="L58" s="9">
        <v>108</v>
      </c>
      <c r="M58" s="9">
        <v>410</v>
      </c>
      <c r="N58" s="9">
        <v>526</v>
      </c>
      <c r="O58" s="9">
        <v>281</v>
      </c>
      <c r="P58" s="9">
        <v>194</v>
      </c>
      <c r="Q58" s="9">
        <v>72</v>
      </c>
      <c r="R58" s="9">
        <v>36</v>
      </c>
      <c r="S58" s="9">
        <v>173</v>
      </c>
      <c r="T58" s="8">
        <v>2390</v>
      </c>
      <c r="U58" s="8">
        <v>17</v>
      </c>
      <c r="V58" s="8">
        <v>2</v>
      </c>
      <c r="W58" s="7">
        <v>-1.1000000000000001</v>
      </c>
      <c r="X58" s="7">
        <v>113.6</v>
      </c>
      <c r="Y58" s="7">
        <v>114.5</v>
      </c>
      <c r="Z58" s="7">
        <v>-0.9</v>
      </c>
      <c r="AA58" s="7">
        <v>19.3</v>
      </c>
      <c r="AB58" s="7">
        <v>1.43</v>
      </c>
      <c r="AC58" s="7">
        <v>19</v>
      </c>
      <c r="AD58" s="7">
        <v>4.8</v>
      </c>
      <c r="AE58" s="7">
        <v>19</v>
      </c>
      <c r="AF58" s="7">
        <v>11.7</v>
      </c>
      <c r="AG58" s="7">
        <v>13.3</v>
      </c>
      <c r="AH58" s="7">
        <v>55</v>
      </c>
      <c r="AI58" s="7">
        <v>60.5</v>
      </c>
      <c r="AJ58" s="7">
        <v>22.8</v>
      </c>
      <c r="AK58" s="7">
        <v>99.86</v>
      </c>
      <c r="AL58" s="7">
        <v>12.6</v>
      </c>
      <c r="AM58" s="7">
        <v>4479</v>
      </c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1"/>
    </row>
    <row r="59" spans="1:64" ht="13">
      <c r="A59" s="6" t="s">
        <v>157</v>
      </c>
      <c r="B59" s="6" t="s">
        <v>158</v>
      </c>
      <c r="C59" s="31">
        <v>1191</v>
      </c>
      <c r="D59" s="24">
        <v>414</v>
      </c>
      <c r="E59" s="24">
        <v>911</v>
      </c>
      <c r="F59" s="8">
        <v>45.2</v>
      </c>
      <c r="G59" s="9">
        <v>271</v>
      </c>
      <c r="H59" s="8">
        <v>32</v>
      </c>
      <c r="I59" s="8">
        <v>281</v>
      </c>
      <c r="J59" s="8">
        <v>386</v>
      </c>
      <c r="K59" s="8">
        <v>72.7</v>
      </c>
      <c r="L59" s="9">
        <v>51</v>
      </c>
      <c r="M59" s="9">
        <v>294</v>
      </c>
      <c r="N59" s="9">
        <v>345</v>
      </c>
      <c r="O59" s="9">
        <v>221</v>
      </c>
      <c r="P59" s="9">
        <v>138</v>
      </c>
      <c r="Q59" s="9">
        <v>37</v>
      </c>
      <c r="R59" s="9">
        <v>28</v>
      </c>
      <c r="S59" s="9">
        <v>97</v>
      </c>
      <c r="T59" s="8">
        <v>1992</v>
      </c>
      <c r="U59" s="8">
        <v>11</v>
      </c>
      <c r="V59" s="8">
        <v>0</v>
      </c>
      <c r="W59" s="7">
        <v>-0.5</v>
      </c>
      <c r="X59" s="7">
        <v>109.1</v>
      </c>
      <c r="Y59" s="7">
        <v>109.6</v>
      </c>
      <c r="Z59" s="7">
        <v>-0.6</v>
      </c>
      <c r="AA59" s="7">
        <v>26.2</v>
      </c>
      <c r="AB59" s="7">
        <v>1.61</v>
      </c>
      <c r="AC59" s="7">
        <v>15.3</v>
      </c>
      <c r="AD59" s="7">
        <v>3.1</v>
      </c>
      <c r="AE59" s="7">
        <v>19.2</v>
      </c>
      <c r="AF59" s="7">
        <v>10.8</v>
      </c>
      <c r="AG59" s="7">
        <v>9.5</v>
      </c>
      <c r="AH59" s="7">
        <v>50</v>
      </c>
      <c r="AI59" s="7">
        <v>55.1</v>
      </c>
      <c r="AJ59" s="7">
        <v>33</v>
      </c>
      <c r="AK59" s="7">
        <v>97.29</v>
      </c>
      <c r="AL59" s="7">
        <v>15.7</v>
      </c>
      <c r="AM59" s="7">
        <v>3204</v>
      </c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1"/>
    </row>
    <row r="60" spans="1:64" ht="13">
      <c r="A60" s="6" t="s">
        <v>159</v>
      </c>
      <c r="B60" s="6" t="s">
        <v>160</v>
      </c>
      <c r="C60" s="31">
        <v>1191</v>
      </c>
      <c r="D60" s="24">
        <v>421</v>
      </c>
      <c r="E60" s="24">
        <v>988</v>
      </c>
      <c r="F60" s="8">
        <v>42.8</v>
      </c>
      <c r="G60" s="9">
        <v>332</v>
      </c>
      <c r="H60" s="8">
        <v>28.5</v>
      </c>
      <c r="I60" s="8">
        <v>251</v>
      </c>
      <c r="J60" s="8">
        <v>340</v>
      </c>
      <c r="K60" s="8">
        <v>72.400000000000006</v>
      </c>
      <c r="L60" s="9">
        <v>89</v>
      </c>
      <c r="M60" s="9">
        <v>211</v>
      </c>
      <c r="N60" s="9">
        <v>300</v>
      </c>
      <c r="O60" s="9">
        <v>332</v>
      </c>
      <c r="P60" s="9">
        <v>178</v>
      </c>
      <c r="Q60" s="9">
        <v>73</v>
      </c>
      <c r="R60" s="9">
        <v>24</v>
      </c>
      <c r="S60" s="9">
        <v>162</v>
      </c>
      <c r="T60" s="8">
        <v>2155</v>
      </c>
      <c r="U60" s="8">
        <v>6</v>
      </c>
      <c r="V60" s="8">
        <v>0</v>
      </c>
      <c r="W60" s="7">
        <v>-3</v>
      </c>
      <c r="X60" s="7">
        <v>111.8</v>
      </c>
      <c r="Y60" s="7">
        <v>116.6</v>
      </c>
      <c r="Z60" s="7">
        <v>-4.7</v>
      </c>
      <c r="AA60" s="7">
        <v>23.1</v>
      </c>
      <c r="AB60" s="7">
        <v>1.88</v>
      </c>
      <c r="AC60" s="7">
        <v>20.100000000000001</v>
      </c>
      <c r="AD60" s="7">
        <v>3.9</v>
      </c>
      <c r="AE60" s="7">
        <v>9.1999999999999993</v>
      </c>
      <c r="AF60" s="7">
        <v>6.6</v>
      </c>
      <c r="AG60" s="7">
        <v>10.7</v>
      </c>
      <c r="AH60" s="7">
        <v>47.6</v>
      </c>
      <c r="AI60" s="7">
        <v>52.2</v>
      </c>
      <c r="AJ60" s="7">
        <v>25.3</v>
      </c>
      <c r="AK60" s="7">
        <v>101.89</v>
      </c>
      <c r="AL60" s="7">
        <v>8.6999999999999993</v>
      </c>
      <c r="AM60" s="7">
        <v>4580</v>
      </c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1"/>
    </row>
    <row r="61" spans="1:64" ht="13">
      <c r="A61" s="6" t="s">
        <v>161</v>
      </c>
      <c r="B61" s="6" t="s">
        <v>162</v>
      </c>
      <c r="C61" s="31">
        <v>1184</v>
      </c>
      <c r="D61" s="24">
        <v>404</v>
      </c>
      <c r="E61" s="24">
        <v>1001</v>
      </c>
      <c r="F61" s="8">
        <v>40.5</v>
      </c>
      <c r="G61" s="9">
        <v>526</v>
      </c>
      <c r="H61" s="8">
        <v>33.9</v>
      </c>
      <c r="I61" s="8">
        <v>193</v>
      </c>
      <c r="J61" s="8">
        <v>230</v>
      </c>
      <c r="K61" s="8">
        <v>84.3</v>
      </c>
      <c r="L61" s="9">
        <v>47</v>
      </c>
      <c r="M61" s="9">
        <v>183</v>
      </c>
      <c r="N61" s="9">
        <v>230</v>
      </c>
      <c r="O61" s="9">
        <v>348</v>
      </c>
      <c r="P61" s="9">
        <v>169</v>
      </c>
      <c r="Q61" s="9">
        <v>52</v>
      </c>
      <c r="R61" s="9">
        <v>14</v>
      </c>
      <c r="S61" s="9">
        <v>155</v>
      </c>
      <c r="T61" s="8">
        <v>2016</v>
      </c>
      <c r="U61" s="8">
        <v>13</v>
      </c>
      <c r="V61" s="8">
        <v>0</v>
      </c>
      <c r="W61" s="7">
        <v>-2.8</v>
      </c>
      <c r="X61" s="7">
        <v>112.7</v>
      </c>
      <c r="Y61" s="7">
        <v>116.5</v>
      </c>
      <c r="Z61" s="7">
        <v>-3.9</v>
      </c>
      <c r="AA61" s="7">
        <v>39</v>
      </c>
      <c r="AB61" s="7">
        <v>2.0699999999999998</v>
      </c>
      <c r="AC61" s="7">
        <v>21.5</v>
      </c>
      <c r="AD61" s="7">
        <v>2.8</v>
      </c>
      <c r="AE61" s="7">
        <v>12.1</v>
      </c>
      <c r="AF61" s="7">
        <v>7.2</v>
      </c>
      <c r="AG61" s="7">
        <v>10.4</v>
      </c>
      <c r="AH61" s="7">
        <v>49.4</v>
      </c>
      <c r="AI61" s="7">
        <v>53.6</v>
      </c>
      <c r="AJ61" s="7">
        <v>34.200000000000003</v>
      </c>
      <c r="AK61" s="7">
        <v>101.33</v>
      </c>
      <c r="AL61" s="7">
        <v>12.7</v>
      </c>
      <c r="AM61" s="7">
        <v>3173</v>
      </c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1"/>
    </row>
    <row r="62" spans="1:64" ht="13">
      <c r="A62" s="6" t="s">
        <v>163</v>
      </c>
      <c r="B62" s="6" t="s">
        <v>164</v>
      </c>
      <c r="C62" s="31">
        <v>1182</v>
      </c>
      <c r="D62" s="24">
        <v>442</v>
      </c>
      <c r="E62" s="24">
        <v>1002</v>
      </c>
      <c r="F62" s="8">
        <v>44.4</v>
      </c>
      <c r="G62" s="9">
        <v>459</v>
      </c>
      <c r="H62" s="8">
        <v>37.299999999999997</v>
      </c>
      <c r="I62" s="8">
        <v>123</v>
      </c>
      <c r="J62" s="8">
        <v>174</v>
      </c>
      <c r="K62" s="8">
        <v>71.7</v>
      </c>
      <c r="L62" s="9">
        <v>45</v>
      </c>
      <c r="M62" s="9">
        <v>168</v>
      </c>
      <c r="N62" s="9">
        <v>213</v>
      </c>
      <c r="O62" s="9">
        <v>230</v>
      </c>
      <c r="P62" s="9">
        <v>106</v>
      </c>
      <c r="Q62" s="9">
        <v>45</v>
      </c>
      <c r="R62" s="9">
        <v>22</v>
      </c>
      <c r="S62" s="9">
        <v>123</v>
      </c>
      <c r="T62" s="8">
        <v>1882</v>
      </c>
      <c r="U62" s="8">
        <v>0</v>
      </c>
      <c r="V62" s="8">
        <v>0</v>
      </c>
      <c r="W62" s="7">
        <v>-5</v>
      </c>
      <c r="X62" s="7">
        <v>112.3</v>
      </c>
      <c r="Y62" s="7">
        <v>119.4</v>
      </c>
      <c r="Z62" s="7">
        <v>-7.1</v>
      </c>
      <c r="AA62" s="7">
        <v>19.2</v>
      </c>
      <c r="AB62" s="7">
        <v>2.14</v>
      </c>
      <c r="AC62" s="7">
        <v>16.100000000000001</v>
      </c>
      <c r="AD62" s="7">
        <v>2.2000000000000002</v>
      </c>
      <c r="AE62" s="7">
        <v>9.1</v>
      </c>
      <c r="AF62" s="7">
        <v>5.6</v>
      </c>
      <c r="AG62" s="7">
        <v>7.5</v>
      </c>
      <c r="AH62" s="7">
        <v>53</v>
      </c>
      <c r="AI62" s="7">
        <v>55</v>
      </c>
      <c r="AJ62" s="7">
        <v>26.6</v>
      </c>
      <c r="AK62" s="7">
        <v>101.56</v>
      </c>
      <c r="AL62" s="7">
        <v>9.6999999999999993</v>
      </c>
      <c r="AM62" s="7">
        <v>3874</v>
      </c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1"/>
    </row>
    <row r="63" spans="1:64" ht="13">
      <c r="A63" s="6" t="s">
        <v>165</v>
      </c>
      <c r="B63" s="6" t="s">
        <v>166</v>
      </c>
      <c r="C63" s="31">
        <v>1160</v>
      </c>
      <c r="D63" s="24">
        <v>405</v>
      </c>
      <c r="E63" s="24">
        <v>890</v>
      </c>
      <c r="F63" s="8">
        <v>45.4</v>
      </c>
      <c r="G63" s="9">
        <v>285</v>
      </c>
      <c r="H63" s="8">
        <v>30.9</v>
      </c>
      <c r="I63" s="8">
        <v>265</v>
      </c>
      <c r="J63" s="8">
        <v>320</v>
      </c>
      <c r="K63" s="8">
        <v>82.4</v>
      </c>
      <c r="L63" s="9">
        <v>35</v>
      </c>
      <c r="M63" s="9">
        <v>170</v>
      </c>
      <c r="N63" s="9">
        <v>205</v>
      </c>
      <c r="O63" s="9">
        <v>365</v>
      </c>
      <c r="P63" s="9">
        <v>185</v>
      </c>
      <c r="Q63" s="9">
        <v>60</v>
      </c>
      <c r="R63" s="9">
        <v>10</v>
      </c>
      <c r="S63" s="9">
        <v>115</v>
      </c>
      <c r="T63" s="8">
        <v>1985</v>
      </c>
      <c r="U63" s="8">
        <v>13</v>
      </c>
      <c r="V63" s="8">
        <v>1</v>
      </c>
      <c r="W63" s="7">
        <v>4.5</v>
      </c>
      <c r="X63" s="7">
        <v>116.4</v>
      </c>
      <c r="Y63" s="7">
        <v>109.6</v>
      </c>
      <c r="Z63" s="7">
        <v>6.8</v>
      </c>
      <c r="AA63" s="7">
        <v>35.5</v>
      </c>
      <c r="AB63" s="7">
        <v>1.97</v>
      </c>
      <c r="AC63" s="7">
        <v>23.1</v>
      </c>
      <c r="AD63" s="7">
        <v>2.1</v>
      </c>
      <c r="AE63" s="7">
        <v>10.1</v>
      </c>
      <c r="AF63" s="7">
        <v>6.2</v>
      </c>
      <c r="AG63" s="7">
        <v>11.8</v>
      </c>
      <c r="AH63" s="7">
        <v>50.4</v>
      </c>
      <c r="AI63" s="7">
        <v>56.3</v>
      </c>
      <c r="AJ63" s="7">
        <v>31.2</v>
      </c>
      <c r="AK63" s="7">
        <v>105.74</v>
      </c>
      <c r="AL63" s="7">
        <v>14.1</v>
      </c>
      <c r="AM63" s="7">
        <v>3346</v>
      </c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1"/>
    </row>
    <row r="64" spans="1:64" ht="13">
      <c r="A64" s="6" t="s">
        <v>167</v>
      </c>
      <c r="B64" s="6" t="s">
        <v>168</v>
      </c>
      <c r="C64" s="31">
        <v>1159</v>
      </c>
      <c r="D64" s="24">
        <v>389</v>
      </c>
      <c r="E64" s="24">
        <v>850</v>
      </c>
      <c r="F64" s="8">
        <v>45.8</v>
      </c>
      <c r="G64" s="9">
        <v>288</v>
      </c>
      <c r="H64" s="8">
        <v>34</v>
      </c>
      <c r="I64" s="8">
        <v>274</v>
      </c>
      <c r="J64" s="8">
        <v>331</v>
      </c>
      <c r="K64" s="8">
        <v>83.1</v>
      </c>
      <c r="L64" s="9">
        <v>86</v>
      </c>
      <c r="M64" s="9">
        <v>295</v>
      </c>
      <c r="N64" s="9">
        <v>382</v>
      </c>
      <c r="O64" s="9">
        <v>137</v>
      </c>
      <c r="P64" s="9">
        <v>137</v>
      </c>
      <c r="Q64" s="9">
        <v>50</v>
      </c>
      <c r="R64" s="9">
        <v>22</v>
      </c>
      <c r="S64" s="9">
        <v>166</v>
      </c>
      <c r="T64" s="8">
        <v>1901</v>
      </c>
      <c r="U64" s="8">
        <v>8</v>
      </c>
      <c r="V64" s="8">
        <v>0</v>
      </c>
      <c r="W64" s="7">
        <v>1.3</v>
      </c>
      <c r="X64" s="7">
        <v>113.8</v>
      </c>
      <c r="Y64" s="7">
        <v>112.2</v>
      </c>
      <c r="Z64" s="7">
        <v>1.6</v>
      </c>
      <c r="AA64" s="7">
        <v>9</v>
      </c>
      <c r="AB64" s="7">
        <v>1.01</v>
      </c>
      <c r="AC64" s="7">
        <v>10.7</v>
      </c>
      <c r="AD64" s="7">
        <v>4.0999999999999996</v>
      </c>
      <c r="AE64" s="7">
        <v>13.3</v>
      </c>
      <c r="AF64" s="7">
        <v>8.8000000000000007</v>
      </c>
      <c r="AG64" s="7">
        <v>10.6</v>
      </c>
      <c r="AH64" s="7">
        <v>51.6</v>
      </c>
      <c r="AI64" s="7">
        <v>57.9</v>
      </c>
      <c r="AJ64" s="7">
        <v>22.2</v>
      </c>
      <c r="AK64" s="7">
        <v>101.52</v>
      </c>
      <c r="AL64" s="7">
        <v>9.1999999999999993</v>
      </c>
      <c r="AM64" s="7">
        <v>4556</v>
      </c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1"/>
    </row>
    <row r="65" spans="1:64" ht="13">
      <c r="A65" s="6" t="s">
        <v>169</v>
      </c>
      <c r="B65" s="6" t="s">
        <v>170</v>
      </c>
      <c r="C65" s="31">
        <v>1159</v>
      </c>
      <c r="D65" s="24">
        <v>416</v>
      </c>
      <c r="E65" s="24">
        <v>869</v>
      </c>
      <c r="F65" s="8">
        <v>48</v>
      </c>
      <c r="G65" s="9">
        <v>271</v>
      </c>
      <c r="H65" s="8">
        <v>40.6</v>
      </c>
      <c r="I65" s="8">
        <v>214</v>
      </c>
      <c r="J65" s="8">
        <v>252</v>
      </c>
      <c r="K65" s="8">
        <v>86.5</v>
      </c>
      <c r="L65" s="9">
        <v>63</v>
      </c>
      <c r="M65" s="9">
        <v>113</v>
      </c>
      <c r="N65" s="9">
        <v>170</v>
      </c>
      <c r="O65" s="9">
        <v>265</v>
      </c>
      <c r="P65" s="9">
        <v>158</v>
      </c>
      <c r="Q65" s="9">
        <v>44</v>
      </c>
      <c r="R65" s="9">
        <v>6</v>
      </c>
      <c r="S65" s="9">
        <v>145</v>
      </c>
      <c r="T65" s="8">
        <v>1758</v>
      </c>
      <c r="U65" s="8">
        <v>2</v>
      </c>
      <c r="V65" s="8">
        <v>0</v>
      </c>
      <c r="W65" s="7">
        <v>-4.5</v>
      </c>
      <c r="X65" s="7">
        <v>110.4</v>
      </c>
      <c r="Y65" s="7">
        <v>117.9</v>
      </c>
      <c r="Z65" s="7">
        <v>-7.5</v>
      </c>
      <c r="AA65" s="7">
        <v>24.6</v>
      </c>
      <c r="AB65" s="7">
        <v>1.65</v>
      </c>
      <c r="AC65" s="7">
        <v>18.899999999999999</v>
      </c>
      <c r="AD65" s="7">
        <v>3.3</v>
      </c>
      <c r="AE65" s="7">
        <v>6</v>
      </c>
      <c r="AF65" s="7">
        <v>4.7</v>
      </c>
      <c r="AG65" s="7">
        <v>11.5</v>
      </c>
      <c r="AH65" s="7">
        <v>54.3</v>
      </c>
      <c r="AI65" s="7">
        <v>59.3</v>
      </c>
      <c r="AJ65" s="7">
        <v>26.4</v>
      </c>
      <c r="AK65" s="7">
        <v>101.38</v>
      </c>
      <c r="AL65" s="7">
        <v>10.6</v>
      </c>
      <c r="AM65" s="7">
        <v>3709</v>
      </c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1"/>
    </row>
    <row r="66" spans="1:64" ht="13">
      <c r="A66" s="6" t="s">
        <v>171</v>
      </c>
      <c r="B66" s="6" t="s">
        <v>172</v>
      </c>
      <c r="C66" s="31">
        <v>1144</v>
      </c>
      <c r="D66" s="24">
        <v>408</v>
      </c>
      <c r="E66" s="24">
        <v>864</v>
      </c>
      <c r="F66" s="8">
        <v>47.2</v>
      </c>
      <c r="G66" s="9">
        <v>624</v>
      </c>
      <c r="H66" s="8">
        <v>40.700000000000003</v>
      </c>
      <c r="I66" s="8">
        <v>72</v>
      </c>
      <c r="J66" s="8">
        <v>88</v>
      </c>
      <c r="K66" s="8">
        <v>84.5</v>
      </c>
      <c r="L66" s="9">
        <v>104</v>
      </c>
      <c r="M66" s="9">
        <v>208</v>
      </c>
      <c r="N66" s="9">
        <v>304</v>
      </c>
      <c r="O66" s="9">
        <v>280</v>
      </c>
      <c r="P66" s="9">
        <v>80</v>
      </c>
      <c r="Q66" s="9">
        <v>72</v>
      </c>
      <c r="R66" s="9">
        <v>16</v>
      </c>
      <c r="S66" s="9">
        <v>120</v>
      </c>
      <c r="T66" s="8">
        <v>2096</v>
      </c>
      <c r="U66" s="8">
        <v>5</v>
      </c>
      <c r="V66" s="8">
        <v>0</v>
      </c>
      <c r="W66" s="7">
        <v>5.4</v>
      </c>
      <c r="X66" s="7">
        <v>118.4</v>
      </c>
      <c r="Y66" s="7">
        <v>108.9</v>
      </c>
      <c r="Z66" s="7">
        <v>9.5</v>
      </c>
      <c r="AA66" s="7">
        <v>18.399999999999999</v>
      </c>
      <c r="AB66" s="7">
        <v>3.36</v>
      </c>
      <c r="AC66" s="7">
        <v>22.1</v>
      </c>
      <c r="AD66" s="7">
        <v>4.2</v>
      </c>
      <c r="AE66" s="7">
        <v>8.6999999999999993</v>
      </c>
      <c r="AF66" s="7">
        <v>6.5</v>
      </c>
      <c r="AG66" s="7">
        <v>6.6</v>
      </c>
      <c r="AH66" s="7">
        <v>62</v>
      </c>
      <c r="AI66" s="7">
        <v>63.3</v>
      </c>
      <c r="AJ66" s="7">
        <v>18.600000000000001</v>
      </c>
      <c r="AK66" s="7">
        <v>96.45</v>
      </c>
      <c r="AL66" s="7">
        <v>11.6</v>
      </c>
      <c r="AM66" s="7">
        <v>4561</v>
      </c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1"/>
    </row>
    <row r="67" spans="1:64" ht="13">
      <c r="A67" s="6" t="s">
        <v>173</v>
      </c>
      <c r="B67" s="6" t="s">
        <v>174</v>
      </c>
      <c r="C67" s="31">
        <v>1136</v>
      </c>
      <c r="D67" s="24">
        <v>424</v>
      </c>
      <c r="E67" s="24">
        <v>920</v>
      </c>
      <c r="F67" s="8">
        <v>46.2</v>
      </c>
      <c r="G67" s="9">
        <v>464</v>
      </c>
      <c r="H67" s="8">
        <v>37.9</v>
      </c>
      <c r="I67" s="8">
        <v>112</v>
      </c>
      <c r="J67" s="8">
        <v>144</v>
      </c>
      <c r="K67" s="8">
        <v>77.599999999999994</v>
      </c>
      <c r="L67" s="9">
        <v>96</v>
      </c>
      <c r="M67" s="9">
        <v>392</v>
      </c>
      <c r="N67" s="9">
        <v>480</v>
      </c>
      <c r="O67" s="9">
        <v>184</v>
      </c>
      <c r="P67" s="9">
        <v>112</v>
      </c>
      <c r="Q67" s="9">
        <v>56</v>
      </c>
      <c r="R67" s="9">
        <v>72</v>
      </c>
      <c r="S67" s="9">
        <v>192</v>
      </c>
      <c r="T67" s="8">
        <v>2264</v>
      </c>
      <c r="U67" s="8">
        <v>10</v>
      </c>
      <c r="V67" s="8">
        <v>0</v>
      </c>
      <c r="W67" s="7">
        <v>4.3</v>
      </c>
      <c r="X67" s="7">
        <v>116.2</v>
      </c>
      <c r="Y67" s="7">
        <v>108.8</v>
      </c>
      <c r="Z67" s="7">
        <v>7.4</v>
      </c>
      <c r="AA67" s="7">
        <v>12.3</v>
      </c>
      <c r="AB67" s="7">
        <v>1.68</v>
      </c>
      <c r="AC67" s="7">
        <v>14.2</v>
      </c>
      <c r="AD67" s="7">
        <v>4.0999999999999996</v>
      </c>
      <c r="AE67" s="7">
        <v>17.100000000000001</v>
      </c>
      <c r="AF67" s="7">
        <v>10.6</v>
      </c>
      <c r="AG67" s="7">
        <v>8.5</v>
      </c>
      <c r="AH67" s="7">
        <v>55.6</v>
      </c>
      <c r="AI67" s="7">
        <v>57.7</v>
      </c>
      <c r="AJ67" s="7">
        <v>21</v>
      </c>
      <c r="AK67" s="7">
        <v>99.34</v>
      </c>
      <c r="AL67" s="7">
        <v>11</v>
      </c>
      <c r="AM67" s="7">
        <v>4554</v>
      </c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1"/>
    </row>
    <row r="68" spans="1:64" ht="13">
      <c r="A68" s="6" t="s">
        <v>175</v>
      </c>
      <c r="B68" s="6" t="s">
        <v>176</v>
      </c>
      <c r="C68" s="31">
        <v>1126</v>
      </c>
      <c r="D68" s="24">
        <v>362</v>
      </c>
      <c r="E68" s="24">
        <v>918</v>
      </c>
      <c r="F68" s="8">
        <v>39.1</v>
      </c>
      <c r="G68" s="9">
        <v>509</v>
      </c>
      <c r="H68" s="8">
        <v>34.299999999999997</v>
      </c>
      <c r="I68" s="8">
        <v>235</v>
      </c>
      <c r="J68" s="8">
        <v>288</v>
      </c>
      <c r="K68" s="8">
        <v>81.8</v>
      </c>
      <c r="L68" s="9">
        <v>27</v>
      </c>
      <c r="M68" s="9">
        <v>228</v>
      </c>
      <c r="N68" s="9">
        <v>255</v>
      </c>
      <c r="O68" s="9">
        <v>375</v>
      </c>
      <c r="P68" s="9">
        <v>181</v>
      </c>
      <c r="Q68" s="9">
        <v>47</v>
      </c>
      <c r="R68" s="9">
        <v>7</v>
      </c>
      <c r="S68" s="9">
        <v>114</v>
      </c>
      <c r="T68" s="8">
        <v>1977</v>
      </c>
      <c r="U68" s="8">
        <v>4</v>
      </c>
      <c r="V68" s="8">
        <v>0</v>
      </c>
      <c r="W68" s="7">
        <v>-7.6</v>
      </c>
      <c r="X68" s="7">
        <v>110.1</v>
      </c>
      <c r="Y68" s="7">
        <v>122</v>
      </c>
      <c r="Z68" s="7">
        <v>-11.9</v>
      </c>
      <c r="AA68" s="7">
        <v>27.2</v>
      </c>
      <c r="AB68" s="7">
        <v>2.06</v>
      </c>
      <c r="AC68" s="7">
        <v>23.6</v>
      </c>
      <c r="AD68" s="7">
        <v>1.2</v>
      </c>
      <c r="AE68" s="7">
        <v>10.4</v>
      </c>
      <c r="AF68" s="7">
        <v>5.8</v>
      </c>
      <c r="AG68" s="7">
        <v>11.5</v>
      </c>
      <c r="AH68" s="7">
        <v>48.5</v>
      </c>
      <c r="AI68" s="7">
        <v>53.9</v>
      </c>
      <c r="AJ68" s="7">
        <v>23.7</v>
      </c>
      <c r="AK68" s="7">
        <v>101.25</v>
      </c>
      <c r="AL68" s="7">
        <v>9.3000000000000007</v>
      </c>
      <c r="AM68" s="7">
        <v>4454</v>
      </c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1"/>
    </row>
    <row r="69" spans="1:64" ht="13">
      <c r="A69" s="6" t="s">
        <v>177</v>
      </c>
      <c r="B69" s="6" t="s">
        <v>178</v>
      </c>
      <c r="C69" s="31">
        <v>1124</v>
      </c>
      <c r="D69" s="24">
        <v>382</v>
      </c>
      <c r="E69" s="24">
        <v>837</v>
      </c>
      <c r="F69" s="8">
        <v>45.4</v>
      </c>
      <c r="G69" s="9">
        <v>440</v>
      </c>
      <c r="H69" s="8">
        <v>36.1</v>
      </c>
      <c r="I69" s="8">
        <v>201</v>
      </c>
      <c r="J69" s="8">
        <v>228</v>
      </c>
      <c r="K69" s="8">
        <v>88.7</v>
      </c>
      <c r="L69" s="9">
        <v>48</v>
      </c>
      <c r="M69" s="9">
        <v>223</v>
      </c>
      <c r="N69" s="9">
        <v>270</v>
      </c>
      <c r="O69" s="9">
        <v>186</v>
      </c>
      <c r="P69" s="9">
        <v>101</v>
      </c>
      <c r="Q69" s="9">
        <v>58</v>
      </c>
      <c r="R69" s="9">
        <v>37</v>
      </c>
      <c r="S69" s="9">
        <v>111</v>
      </c>
      <c r="T69" s="8">
        <v>1908</v>
      </c>
      <c r="U69" s="8">
        <v>2</v>
      </c>
      <c r="V69" s="8">
        <v>0</v>
      </c>
      <c r="W69" s="7">
        <v>-7.2</v>
      </c>
      <c r="X69" s="7">
        <v>109</v>
      </c>
      <c r="Y69" s="7">
        <v>118.7</v>
      </c>
      <c r="Z69" s="7">
        <v>-9.6999999999999993</v>
      </c>
      <c r="AA69" s="7">
        <v>15.7</v>
      </c>
      <c r="AB69" s="7">
        <v>1.83</v>
      </c>
      <c r="AC69" s="7">
        <v>15.4</v>
      </c>
      <c r="AD69" s="7">
        <v>2.4</v>
      </c>
      <c r="AE69" s="7">
        <v>11.7</v>
      </c>
      <c r="AF69" s="7">
        <v>6.9</v>
      </c>
      <c r="AG69" s="7">
        <v>8.4</v>
      </c>
      <c r="AH69" s="7">
        <v>54.8</v>
      </c>
      <c r="AI69" s="7">
        <v>59.8</v>
      </c>
      <c r="AJ69" s="7">
        <v>22.9</v>
      </c>
      <c r="AK69" s="7">
        <v>102.03</v>
      </c>
      <c r="AL69" s="7">
        <v>11</v>
      </c>
      <c r="AM69" s="7">
        <v>3941</v>
      </c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1"/>
    </row>
    <row r="70" spans="1:64" ht="13">
      <c r="A70" s="6" t="s">
        <v>179</v>
      </c>
      <c r="B70" s="6" t="s">
        <v>180</v>
      </c>
      <c r="C70" s="31">
        <v>1123</v>
      </c>
      <c r="D70" s="24">
        <v>389</v>
      </c>
      <c r="E70" s="24">
        <v>814</v>
      </c>
      <c r="F70" s="8">
        <v>48.1</v>
      </c>
      <c r="G70" s="9">
        <v>396</v>
      </c>
      <c r="H70" s="8">
        <v>39.6</v>
      </c>
      <c r="I70" s="8">
        <v>187</v>
      </c>
      <c r="J70" s="8">
        <v>238</v>
      </c>
      <c r="K70" s="8">
        <v>77.3</v>
      </c>
      <c r="L70" s="9">
        <v>94</v>
      </c>
      <c r="M70" s="9">
        <v>382</v>
      </c>
      <c r="N70" s="9">
        <v>468</v>
      </c>
      <c r="O70" s="9">
        <v>108</v>
      </c>
      <c r="P70" s="9">
        <v>122</v>
      </c>
      <c r="Q70" s="9">
        <v>58</v>
      </c>
      <c r="R70" s="9">
        <v>144</v>
      </c>
      <c r="S70" s="9">
        <v>180</v>
      </c>
      <c r="T70" s="8">
        <v>2326</v>
      </c>
      <c r="U70" s="8">
        <v>13</v>
      </c>
      <c r="V70" s="8">
        <v>0</v>
      </c>
      <c r="W70" s="7">
        <v>2.8</v>
      </c>
      <c r="X70" s="7">
        <v>116.1</v>
      </c>
      <c r="Y70" s="7">
        <v>111.5</v>
      </c>
      <c r="Z70" s="7">
        <v>4.7</v>
      </c>
      <c r="AA70" s="7">
        <v>7.2</v>
      </c>
      <c r="AB70" s="7">
        <v>0.9</v>
      </c>
      <c r="AC70" s="7">
        <v>9.6999999999999993</v>
      </c>
      <c r="AD70" s="7">
        <v>4.3</v>
      </c>
      <c r="AE70" s="7">
        <v>16.899999999999999</v>
      </c>
      <c r="AF70" s="7">
        <v>10.9</v>
      </c>
      <c r="AG70" s="7">
        <v>10.7</v>
      </c>
      <c r="AH70" s="7">
        <v>57.7</v>
      </c>
      <c r="AI70" s="7">
        <v>61.2</v>
      </c>
      <c r="AJ70" s="7">
        <v>20.7</v>
      </c>
      <c r="AK70" s="7">
        <v>100.19</v>
      </c>
      <c r="AL70" s="7">
        <v>10.3</v>
      </c>
      <c r="AM70" s="7">
        <v>4533</v>
      </c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1"/>
    </row>
    <row r="71" spans="1:64" ht="13">
      <c r="A71" s="6" t="s">
        <v>181</v>
      </c>
      <c r="B71" s="6" t="s">
        <v>182</v>
      </c>
      <c r="C71" s="31">
        <v>1118</v>
      </c>
      <c r="D71" s="24">
        <v>410</v>
      </c>
      <c r="E71" s="24">
        <v>936</v>
      </c>
      <c r="F71" s="8">
        <v>43.9</v>
      </c>
      <c r="G71" s="9">
        <v>429</v>
      </c>
      <c r="H71" s="8">
        <v>32.5</v>
      </c>
      <c r="I71" s="8">
        <v>156</v>
      </c>
      <c r="J71" s="8">
        <v>176</v>
      </c>
      <c r="K71" s="8">
        <v>86.5</v>
      </c>
      <c r="L71" s="9">
        <v>33</v>
      </c>
      <c r="M71" s="9">
        <v>215</v>
      </c>
      <c r="N71" s="9">
        <v>247</v>
      </c>
      <c r="O71" s="9">
        <v>364</v>
      </c>
      <c r="P71" s="9">
        <v>156</v>
      </c>
      <c r="Q71" s="9">
        <v>59</v>
      </c>
      <c r="R71" s="9">
        <v>39</v>
      </c>
      <c r="S71" s="9">
        <v>156</v>
      </c>
      <c r="T71" s="8">
        <v>2093</v>
      </c>
      <c r="U71" s="8">
        <v>4</v>
      </c>
      <c r="V71" s="8">
        <v>0</v>
      </c>
      <c r="W71" s="7">
        <v>1.8</v>
      </c>
      <c r="X71" s="7">
        <v>117</v>
      </c>
      <c r="Y71" s="7">
        <v>114.5</v>
      </c>
      <c r="Z71" s="7">
        <v>2.5</v>
      </c>
      <c r="AA71" s="7">
        <v>24.6</v>
      </c>
      <c r="AB71" s="7">
        <v>2.2799999999999998</v>
      </c>
      <c r="AC71" s="7">
        <v>23.6</v>
      </c>
      <c r="AD71" s="7">
        <v>1.4</v>
      </c>
      <c r="AE71" s="7">
        <v>10.4</v>
      </c>
      <c r="AF71" s="7">
        <v>5.9</v>
      </c>
      <c r="AG71" s="7">
        <v>10.4</v>
      </c>
      <c r="AH71" s="7">
        <v>51.3</v>
      </c>
      <c r="AI71" s="7">
        <v>54.9</v>
      </c>
      <c r="AJ71" s="7">
        <v>23.6</v>
      </c>
      <c r="AK71" s="7">
        <v>101.33</v>
      </c>
      <c r="AL71" s="7">
        <v>9.9</v>
      </c>
      <c r="AM71" s="7">
        <v>4339</v>
      </c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1"/>
    </row>
    <row r="72" spans="1:64" ht="13">
      <c r="A72" s="6" t="s">
        <v>183</v>
      </c>
      <c r="B72" s="6" t="s">
        <v>184</v>
      </c>
      <c r="C72" s="31">
        <v>1118</v>
      </c>
      <c r="D72" s="24">
        <v>409</v>
      </c>
      <c r="E72" s="24">
        <v>856</v>
      </c>
      <c r="F72" s="8">
        <v>47.6</v>
      </c>
      <c r="G72" s="9">
        <v>405</v>
      </c>
      <c r="H72" s="8">
        <v>35.200000000000003</v>
      </c>
      <c r="I72" s="8">
        <v>156</v>
      </c>
      <c r="J72" s="8">
        <v>189</v>
      </c>
      <c r="K72" s="8">
        <v>83.6</v>
      </c>
      <c r="L72" s="9">
        <v>83</v>
      </c>
      <c r="M72" s="9">
        <v>423</v>
      </c>
      <c r="N72" s="9">
        <v>506</v>
      </c>
      <c r="O72" s="9">
        <v>170</v>
      </c>
      <c r="P72" s="9">
        <v>147</v>
      </c>
      <c r="Q72" s="9">
        <v>51</v>
      </c>
      <c r="R72" s="9">
        <v>175</v>
      </c>
      <c r="S72" s="9">
        <v>106</v>
      </c>
      <c r="T72" s="8">
        <v>2512</v>
      </c>
      <c r="U72" s="8">
        <v>28</v>
      </c>
      <c r="V72" s="8">
        <v>1</v>
      </c>
      <c r="W72" s="7">
        <v>2.2000000000000002</v>
      </c>
      <c r="X72" s="7">
        <v>112.5</v>
      </c>
      <c r="Y72" s="7">
        <v>110</v>
      </c>
      <c r="Z72" s="7">
        <v>2.5</v>
      </c>
      <c r="AA72" s="7">
        <v>18.399999999999999</v>
      </c>
      <c r="AB72" s="7">
        <v>1.1299999999999999</v>
      </c>
      <c r="AC72" s="7">
        <v>13.4</v>
      </c>
      <c r="AD72" s="7">
        <v>5.4</v>
      </c>
      <c r="AE72" s="7">
        <v>25.5</v>
      </c>
      <c r="AF72" s="7">
        <v>15.9</v>
      </c>
      <c r="AG72" s="7">
        <v>11.9</v>
      </c>
      <c r="AH72" s="7">
        <v>55.9</v>
      </c>
      <c r="AI72" s="7">
        <v>59.4</v>
      </c>
      <c r="AJ72" s="7">
        <v>30</v>
      </c>
      <c r="AK72" s="7">
        <v>101</v>
      </c>
      <c r="AL72" s="7">
        <v>16.8</v>
      </c>
      <c r="AM72" s="7">
        <v>3223</v>
      </c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1"/>
    </row>
    <row r="73" spans="1:64" ht="13">
      <c r="A73" s="6" t="s">
        <v>185</v>
      </c>
      <c r="B73" s="6" t="s">
        <v>186</v>
      </c>
      <c r="C73" s="31">
        <v>1107</v>
      </c>
      <c r="D73" s="24">
        <v>451</v>
      </c>
      <c r="E73" s="24">
        <v>640</v>
      </c>
      <c r="F73" s="8">
        <v>70.599999999999994</v>
      </c>
      <c r="G73" s="9">
        <v>8</v>
      </c>
      <c r="H73" s="8">
        <v>0</v>
      </c>
      <c r="I73" s="8">
        <v>197</v>
      </c>
      <c r="J73" s="8">
        <v>279</v>
      </c>
      <c r="K73" s="8">
        <v>71.8</v>
      </c>
      <c r="L73" s="9">
        <v>213</v>
      </c>
      <c r="M73" s="9">
        <v>582</v>
      </c>
      <c r="N73" s="9">
        <v>795</v>
      </c>
      <c r="O73" s="9">
        <v>156</v>
      </c>
      <c r="P73" s="9">
        <v>98</v>
      </c>
      <c r="Q73" s="9">
        <v>74</v>
      </c>
      <c r="R73" s="9">
        <v>74</v>
      </c>
      <c r="S73" s="9">
        <v>123</v>
      </c>
      <c r="T73" s="8">
        <v>2649</v>
      </c>
      <c r="U73" s="8">
        <v>40</v>
      </c>
      <c r="V73" s="8">
        <v>0</v>
      </c>
      <c r="W73" s="7">
        <v>6.3</v>
      </c>
      <c r="X73" s="7">
        <v>121.9</v>
      </c>
      <c r="Y73" s="7">
        <v>111.3</v>
      </c>
      <c r="Z73" s="7">
        <v>10.5</v>
      </c>
      <c r="AA73" s="7">
        <v>9.1</v>
      </c>
      <c r="AB73" s="7">
        <v>1.63</v>
      </c>
      <c r="AC73" s="7">
        <v>15.5</v>
      </c>
      <c r="AD73" s="7">
        <v>9.5</v>
      </c>
      <c r="AE73" s="7">
        <v>23.8</v>
      </c>
      <c r="AF73" s="7">
        <v>16.899999999999999</v>
      </c>
      <c r="AG73" s="7">
        <v>9.5</v>
      </c>
      <c r="AH73" s="7">
        <v>70.599999999999994</v>
      </c>
      <c r="AI73" s="7">
        <v>72.400000000000006</v>
      </c>
      <c r="AJ73" s="7">
        <v>15.6</v>
      </c>
      <c r="AK73" s="7">
        <v>101.43</v>
      </c>
      <c r="AL73" s="7">
        <v>14.8</v>
      </c>
      <c r="AM73" s="7">
        <v>4853</v>
      </c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1"/>
    </row>
    <row r="74" spans="1:64" ht="13">
      <c r="A74" s="6" t="s">
        <v>187</v>
      </c>
      <c r="B74" s="6" t="s">
        <v>188</v>
      </c>
      <c r="C74" s="31">
        <v>1095</v>
      </c>
      <c r="D74" s="24">
        <v>383</v>
      </c>
      <c r="E74" s="24">
        <v>825</v>
      </c>
      <c r="F74" s="8">
        <v>46.7</v>
      </c>
      <c r="G74" s="9">
        <v>420</v>
      </c>
      <c r="H74" s="8">
        <v>38.5</v>
      </c>
      <c r="I74" s="8">
        <v>165</v>
      </c>
      <c r="J74" s="8">
        <v>218</v>
      </c>
      <c r="K74" s="8">
        <v>75.7</v>
      </c>
      <c r="L74" s="9">
        <v>60</v>
      </c>
      <c r="M74" s="9">
        <v>263</v>
      </c>
      <c r="N74" s="9">
        <v>323</v>
      </c>
      <c r="O74" s="9">
        <v>225</v>
      </c>
      <c r="P74" s="9">
        <v>143</v>
      </c>
      <c r="Q74" s="9">
        <v>75</v>
      </c>
      <c r="R74" s="9">
        <v>23</v>
      </c>
      <c r="S74" s="9">
        <v>135</v>
      </c>
      <c r="T74" s="8">
        <v>1973</v>
      </c>
      <c r="U74" s="8">
        <v>4</v>
      </c>
      <c r="V74" s="8">
        <v>0</v>
      </c>
      <c r="W74" s="7">
        <v>-3.5</v>
      </c>
      <c r="X74" s="7">
        <v>111.9</v>
      </c>
      <c r="Y74" s="7">
        <v>118.1</v>
      </c>
      <c r="Z74" s="7">
        <v>-6.2</v>
      </c>
      <c r="AA74" s="7">
        <v>17.2</v>
      </c>
      <c r="AB74" s="7">
        <v>1.62</v>
      </c>
      <c r="AC74" s="7">
        <v>17.899999999999999</v>
      </c>
      <c r="AD74" s="7">
        <v>2.8</v>
      </c>
      <c r="AE74" s="7">
        <v>12.6</v>
      </c>
      <c r="AF74" s="7">
        <v>7.7</v>
      </c>
      <c r="AG74" s="7">
        <v>11</v>
      </c>
      <c r="AH74" s="7">
        <v>56.5</v>
      </c>
      <c r="AI74" s="7">
        <v>59.5</v>
      </c>
      <c r="AJ74" s="7">
        <v>21.8</v>
      </c>
      <c r="AK74" s="7">
        <v>100.7</v>
      </c>
      <c r="AL74" s="7">
        <v>10.5</v>
      </c>
      <c r="AM74" s="7">
        <v>4223</v>
      </c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1"/>
    </row>
    <row r="75" spans="1:64" ht="13">
      <c r="A75" s="6" t="s">
        <v>189</v>
      </c>
      <c r="B75" s="6" t="s">
        <v>190</v>
      </c>
      <c r="C75" s="31">
        <v>1088</v>
      </c>
      <c r="D75" s="24">
        <v>358</v>
      </c>
      <c r="E75" s="24">
        <v>762</v>
      </c>
      <c r="F75" s="8">
        <v>47</v>
      </c>
      <c r="G75" s="9">
        <v>390</v>
      </c>
      <c r="H75" s="8">
        <v>40.5</v>
      </c>
      <c r="I75" s="8">
        <v>218</v>
      </c>
      <c r="J75" s="8">
        <v>256</v>
      </c>
      <c r="K75" s="8">
        <v>84.6</v>
      </c>
      <c r="L75" s="9">
        <v>45</v>
      </c>
      <c r="M75" s="9">
        <v>211</v>
      </c>
      <c r="N75" s="9">
        <v>256</v>
      </c>
      <c r="O75" s="9">
        <v>90</v>
      </c>
      <c r="P75" s="9">
        <v>83</v>
      </c>
      <c r="Q75" s="9">
        <v>51</v>
      </c>
      <c r="R75" s="9">
        <v>13</v>
      </c>
      <c r="S75" s="9">
        <v>154</v>
      </c>
      <c r="T75" s="8">
        <v>1645</v>
      </c>
      <c r="U75" s="8">
        <v>2</v>
      </c>
      <c r="V75" s="8">
        <v>0</v>
      </c>
      <c r="W75" s="7">
        <v>1.4</v>
      </c>
      <c r="X75" s="7">
        <v>115.9</v>
      </c>
      <c r="Y75" s="7">
        <v>113.9</v>
      </c>
      <c r="Z75" s="7">
        <v>2</v>
      </c>
      <c r="AA75" s="7">
        <v>7.7</v>
      </c>
      <c r="AB75" s="7">
        <v>1.1200000000000001</v>
      </c>
      <c r="AC75" s="7">
        <v>8.6999999999999993</v>
      </c>
      <c r="AD75" s="7">
        <v>2.4</v>
      </c>
      <c r="AE75" s="7">
        <v>11.7</v>
      </c>
      <c r="AF75" s="7">
        <v>7.1</v>
      </c>
      <c r="AG75" s="7">
        <v>7.8</v>
      </c>
      <c r="AH75" s="7">
        <v>57.3</v>
      </c>
      <c r="AI75" s="7">
        <v>62.3</v>
      </c>
      <c r="AJ75" s="7">
        <v>22.1</v>
      </c>
      <c r="AK75" s="7">
        <v>104.77</v>
      </c>
      <c r="AL75" s="7">
        <v>10.1</v>
      </c>
      <c r="AM75" s="7">
        <v>3803</v>
      </c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1"/>
    </row>
    <row r="76" spans="1:64" ht="13">
      <c r="A76" s="6" t="s">
        <v>191</v>
      </c>
      <c r="B76" s="6" t="s">
        <v>192</v>
      </c>
      <c r="C76" s="31">
        <v>1080</v>
      </c>
      <c r="D76" s="24">
        <v>378</v>
      </c>
      <c r="E76" s="24">
        <v>840</v>
      </c>
      <c r="F76" s="8">
        <v>44.8</v>
      </c>
      <c r="G76" s="9">
        <v>348</v>
      </c>
      <c r="H76" s="8">
        <v>37.4</v>
      </c>
      <c r="I76" s="8">
        <v>198</v>
      </c>
      <c r="J76" s="8">
        <v>258</v>
      </c>
      <c r="K76" s="8">
        <v>76.3</v>
      </c>
      <c r="L76" s="9">
        <v>90</v>
      </c>
      <c r="M76" s="9">
        <v>180</v>
      </c>
      <c r="N76" s="9">
        <v>270</v>
      </c>
      <c r="O76" s="9">
        <v>156</v>
      </c>
      <c r="P76" s="9">
        <v>102</v>
      </c>
      <c r="Q76" s="9">
        <v>60</v>
      </c>
      <c r="R76" s="9">
        <v>48</v>
      </c>
      <c r="S76" s="9">
        <v>102</v>
      </c>
      <c r="T76" s="8">
        <v>1866</v>
      </c>
      <c r="U76" s="8">
        <v>3</v>
      </c>
      <c r="V76" s="8">
        <v>0</v>
      </c>
      <c r="W76" s="7">
        <v>-1.7</v>
      </c>
      <c r="X76" s="7">
        <v>109.4</v>
      </c>
      <c r="Y76" s="7">
        <v>111.7</v>
      </c>
      <c r="Z76" s="7">
        <v>-2.2999999999999998</v>
      </c>
      <c r="AA76" s="7">
        <v>13.7</v>
      </c>
      <c r="AB76" s="7">
        <v>1.6</v>
      </c>
      <c r="AC76" s="7">
        <v>13.1</v>
      </c>
      <c r="AD76" s="7">
        <v>4.5</v>
      </c>
      <c r="AE76" s="7">
        <v>9.5</v>
      </c>
      <c r="AF76" s="7">
        <v>6.9</v>
      </c>
      <c r="AG76" s="7">
        <v>8.1999999999999993</v>
      </c>
      <c r="AH76" s="7">
        <v>52.6</v>
      </c>
      <c r="AI76" s="7">
        <v>56.6</v>
      </c>
      <c r="AJ76" s="7">
        <v>23.8</v>
      </c>
      <c r="AK76" s="7">
        <v>99.96</v>
      </c>
      <c r="AL76" s="7">
        <v>10.5</v>
      </c>
      <c r="AM76" s="7">
        <v>3831</v>
      </c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1"/>
    </row>
    <row r="77" spans="1:64" ht="13">
      <c r="A77" s="6" t="s">
        <v>193</v>
      </c>
      <c r="B77" s="6" t="s">
        <v>194</v>
      </c>
      <c r="C77" s="31">
        <v>1072</v>
      </c>
      <c r="D77" s="24">
        <v>456</v>
      </c>
      <c r="E77" s="24">
        <v>920</v>
      </c>
      <c r="F77" s="8">
        <v>49.3</v>
      </c>
      <c r="G77" s="9">
        <v>236</v>
      </c>
      <c r="H77" s="8">
        <v>34</v>
      </c>
      <c r="I77" s="8">
        <v>84</v>
      </c>
      <c r="J77" s="8">
        <v>137</v>
      </c>
      <c r="K77" s="8">
        <v>59.3</v>
      </c>
      <c r="L77" s="9">
        <v>122</v>
      </c>
      <c r="M77" s="9">
        <v>327</v>
      </c>
      <c r="N77" s="9">
        <v>448</v>
      </c>
      <c r="O77" s="9">
        <v>334</v>
      </c>
      <c r="P77" s="9">
        <v>152</v>
      </c>
      <c r="Q77" s="9">
        <v>228</v>
      </c>
      <c r="R77" s="9">
        <v>53</v>
      </c>
      <c r="S77" s="9">
        <v>175</v>
      </c>
      <c r="T77" s="8">
        <v>2812</v>
      </c>
      <c r="U77" s="8">
        <v>9</v>
      </c>
      <c r="V77" s="8">
        <v>0</v>
      </c>
      <c r="W77" s="7">
        <v>-0.9</v>
      </c>
      <c r="X77" s="7">
        <v>113.3</v>
      </c>
      <c r="Y77" s="7">
        <v>114.2</v>
      </c>
      <c r="Z77" s="7">
        <v>-0.9</v>
      </c>
      <c r="AA77" s="7">
        <v>17.399999999999999</v>
      </c>
      <c r="AB77" s="7">
        <v>2.15</v>
      </c>
      <c r="AC77" s="7">
        <v>22.6</v>
      </c>
      <c r="AD77" s="7">
        <v>4.5999999999999996</v>
      </c>
      <c r="AE77" s="7">
        <v>12.7</v>
      </c>
      <c r="AF77" s="7">
        <v>8.5</v>
      </c>
      <c r="AG77" s="7">
        <v>10.5</v>
      </c>
      <c r="AH77" s="7">
        <v>53.6</v>
      </c>
      <c r="AI77" s="7">
        <v>54.5</v>
      </c>
      <c r="AJ77" s="7">
        <v>17.8</v>
      </c>
      <c r="AK77" s="7">
        <v>104.17</v>
      </c>
      <c r="AL77" s="7">
        <v>9.9</v>
      </c>
      <c r="AM77" s="7">
        <v>5574</v>
      </c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1"/>
    </row>
    <row r="78" spans="1:64" ht="13">
      <c r="A78" s="6" t="s">
        <v>195</v>
      </c>
      <c r="B78" s="6" t="s">
        <v>196</v>
      </c>
      <c r="C78" s="31">
        <v>1072</v>
      </c>
      <c r="D78" s="24">
        <v>353</v>
      </c>
      <c r="E78" s="24">
        <v>747</v>
      </c>
      <c r="F78" s="8">
        <v>47.5</v>
      </c>
      <c r="G78" s="9">
        <v>410</v>
      </c>
      <c r="H78" s="8">
        <v>39</v>
      </c>
      <c r="I78" s="8">
        <v>200</v>
      </c>
      <c r="J78" s="8">
        <v>222</v>
      </c>
      <c r="K78" s="8">
        <v>89.3</v>
      </c>
      <c r="L78" s="9">
        <v>51</v>
      </c>
      <c r="M78" s="9">
        <v>194</v>
      </c>
      <c r="N78" s="9">
        <v>245</v>
      </c>
      <c r="O78" s="9">
        <v>194</v>
      </c>
      <c r="P78" s="9">
        <v>97</v>
      </c>
      <c r="Q78" s="9">
        <v>51</v>
      </c>
      <c r="R78" s="9">
        <v>23</v>
      </c>
      <c r="S78" s="9">
        <v>103</v>
      </c>
      <c r="T78" s="8">
        <v>1790</v>
      </c>
      <c r="U78" s="8">
        <v>2</v>
      </c>
      <c r="V78" s="8">
        <v>0</v>
      </c>
      <c r="W78" s="7">
        <v>-3.5</v>
      </c>
      <c r="X78" s="7">
        <v>110.9</v>
      </c>
      <c r="Y78" s="7">
        <v>116.7</v>
      </c>
      <c r="Z78" s="7">
        <v>-5.8</v>
      </c>
      <c r="AA78" s="7">
        <v>17.899999999999999</v>
      </c>
      <c r="AB78" s="7">
        <v>1.96</v>
      </c>
      <c r="AC78" s="7">
        <v>17.2</v>
      </c>
      <c r="AD78" s="7">
        <v>3</v>
      </c>
      <c r="AE78" s="7">
        <v>11.3</v>
      </c>
      <c r="AF78" s="7">
        <v>7</v>
      </c>
      <c r="AG78" s="7">
        <v>8.8000000000000007</v>
      </c>
      <c r="AH78" s="7">
        <v>58.2</v>
      </c>
      <c r="AI78" s="7">
        <v>63.2</v>
      </c>
      <c r="AJ78" s="7">
        <v>22.4</v>
      </c>
      <c r="AK78" s="7">
        <v>97.41</v>
      </c>
      <c r="AL78" s="7">
        <v>12.4</v>
      </c>
      <c r="AM78" s="7">
        <v>3657</v>
      </c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1"/>
    </row>
    <row r="79" spans="1:64" ht="13">
      <c r="A79" s="6" t="s">
        <v>197</v>
      </c>
      <c r="B79" s="6" t="s">
        <v>198</v>
      </c>
      <c r="C79" s="31">
        <v>1050</v>
      </c>
      <c r="D79" s="24">
        <v>383</v>
      </c>
      <c r="E79" s="24">
        <v>893</v>
      </c>
      <c r="F79" s="8">
        <v>42.9</v>
      </c>
      <c r="G79" s="9">
        <v>473</v>
      </c>
      <c r="H79" s="8">
        <v>39.700000000000003</v>
      </c>
      <c r="I79" s="8">
        <v>98</v>
      </c>
      <c r="J79" s="8">
        <v>120</v>
      </c>
      <c r="K79" s="8">
        <v>81.8</v>
      </c>
      <c r="L79" s="9">
        <v>75</v>
      </c>
      <c r="M79" s="9">
        <v>203</v>
      </c>
      <c r="N79" s="9">
        <v>278</v>
      </c>
      <c r="O79" s="9">
        <v>128</v>
      </c>
      <c r="P79" s="9">
        <v>75</v>
      </c>
      <c r="Q79" s="9">
        <v>60</v>
      </c>
      <c r="R79" s="9">
        <v>15</v>
      </c>
      <c r="S79" s="9">
        <v>240</v>
      </c>
      <c r="T79" s="8">
        <v>1725</v>
      </c>
      <c r="U79" s="8">
        <v>0</v>
      </c>
      <c r="V79" s="8">
        <v>0</v>
      </c>
      <c r="W79" s="7">
        <v>2.8</v>
      </c>
      <c r="X79" s="7">
        <v>113.5</v>
      </c>
      <c r="Y79" s="7">
        <v>108.8</v>
      </c>
      <c r="Z79" s="7">
        <v>4.7</v>
      </c>
      <c r="AA79" s="7">
        <v>7.6</v>
      </c>
      <c r="AB79" s="7">
        <v>1.68</v>
      </c>
      <c r="AC79" s="7">
        <v>11.1</v>
      </c>
      <c r="AD79" s="7">
        <v>2.8</v>
      </c>
      <c r="AE79" s="7">
        <v>8.1</v>
      </c>
      <c r="AF79" s="7">
        <v>5.4</v>
      </c>
      <c r="AG79" s="7">
        <v>6.6</v>
      </c>
      <c r="AH79" s="7">
        <v>53.3</v>
      </c>
      <c r="AI79" s="7">
        <v>55.5</v>
      </c>
      <c r="AJ79" s="7">
        <v>17.600000000000001</v>
      </c>
      <c r="AK79" s="7">
        <v>98.94</v>
      </c>
      <c r="AL79" s="7">
        <v>6.7</v>
      </c>
      <c r="AM79" s="7">
        <v>4913</v>
      </c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1"/>
    </row>
    <row r="80" spans="1:64" ht="13">
      <c r="A80" s="6" t="s">
        <v>199</v>
      </c>
      <c r="B80" s="6" t="s">
        <v>200</v>
      </c>
      <c r="C80" s="31">
        <v>1047</v>
      </c>
      <c r="D80" s="24">
        <v>400</v>
      </c>
      <c r="E80" s="24">
        <v>770</v>
      </c>
      <c r="F80" s="8">
        <v>52.5</v>
      </c>
      <c r="G80" s="9">
        <v>254</v>
      </c>
      <c r="H80" s="8">
        <v>33.299999999999997</v>
      </c>
      <c r="I80" s="8">
        <v>162</v>
      </c>
      <c r="J80" s="8">
        <v>208</v>
      </c>
      <c r="K80" s="8">
        <v>77.599999999999994</v>
      </c>
      <c r="L80" s="9">
        <v>162</v>
      </c>
      <c r="M80" s="9">
        <v>578</v>
      </c>
      <c r="N80" s="9">
        <v>739</v>
      </c>
      <c r="O80" s="9">
        <v>454</v>
      </c>
      <c r="P80" s="9">
        <v>162</v>
      </c>
      <c r="Q80" s="9">
        <v>116</v>
      </c>
      <c r="R80" s="9">
        <v>31</v>
      </c>
      <c r="S80" s="9">
        <v>200</v>
      </c>
      <c r="T80" s="8">
        <v>2895</v>
      </c>
      <c r="U80" s="8">
        <v>34</v>
      </c>
      <c r="V80" s="8">
        <v>9</v>
      </c>
      <c r="W80" s="7">
        <v>2.6</v>
      </c>
      <c r="X80" s="7">
        <v>117.9</v>
      </c>
      <c r="Y80" s="7">
        <v>114.3</v>
      </c>
      <c r="Z80" s="7">
        <v>3.6</v>
      </c>
      <c r="AA80" s="7">
        <v>20.6</v>
      </c>
      <c r="AB80" s="7">
        <v>2.87</v>
      </c>
      <c r="AC80" s="7">
        <v>30.8</v>
      </c>
      <c r="AD80" s="7">
        <v>5.7</v>
      </c>
      <c r="AE80" s="7">
        <v>20.3</v>
      </c>
      <c r="AF80" s="7">
        <v>13</v>
      </c>
      <c r="AG80" s="7">
        <v>10.8</v>
      </c>
      <c r="AH80" s="7">
        <v>57.9</v>
      </c>
      <c r="AI80" s="7">
        <v>61.1</v>
      </c>
      <c r="AJ80" s="7">
        <v>15.1</v>
      </c>
      <c r="AK80" s="7">
        <v>97.79</v>
      </c>
      <c r="AL80" s="7">
        <v>11.9</v>
      </c>
      <c r="AM80" s="7">
        <v>5898</v>
      </c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1"/>
    </row>
    <row r="81" spans="1:64" ht="13">
      <c r="A81" s="6" t="s">
        <v>201</v>
      </c>
      <c r="B81" s="6" t="s">
        <v>202</v>
      </c>
      <c r="C81" s="31">
        <v>1043</v>
      </c>
      <c r="D81" s="24">
        <v>397</v>
      </c>
      <c r="E81" s="24">
        <v>890</v>
      </c>
      <c r="F81" s="8">
        <v>44.3</v>
      </c>
      <c r="G81" s="9">
        <v>429</v>
      </c>
      <c r="H81" s="8">
        <v>36.799999999999997</v>
      </c>
      <c r="I81" s="8">
        <v>96</v>
      </c>
      <c r="J81" s="8">
        <v>122</v>
      </c>
      <c r="K81" s="8">
        <v>79.2</v>
      </c>
      <c r="L81" s="9">
        <v>32</v>
      </c>
      <c r="M81" s="9">
        <v>224</v>
      </c>
      <c r="N81" s="9">
        <v>256</v>
      </c>
      <c r="O81" s="9">
        <v>186</v>
      </c>
      <c r="P81" s="9">
        <v>90</v>
      </c>
      <c r="Q81" s="9">
        <v>83</v>
      </c>
      <c r="R81" s="9">
        <v>32</v>
      </c>
      <c r="S81" s="9">
        <v>109</v>
      </c>
      <c r="T81" s="8">
        <v>1882</v>
      </c>
      <c r="U81" s="8">
        <v>2</v>
      </c>
      <c r="V81" s="8">
        <v>0</v>
      </c>
      <c r="W81" s="7">
        <v>-4.0999999999999996</v>
      </c>
      <c r="X81" s="7">
        <v>111.9</v>
      </c>
      <c r="Y81" s="7">
        <v>118.1</v>
      </c>
      <c r="Z81" s="7">
        <v>-6.2</v>
      </c>
      <c r="AA81" s="7">
        <v>13.9</v>
      </c>
      <c r="AB81" s="7">
        <v>2.08</v>
      </c>
      <c r="AC81" s="7">
        <v>15.2</v>
      </c>
      <c r="AD81" s="7">
        <v>1.6</v>
      </c>
      <c r="AE81" s="7">
        <v>10.7</v>
      </c>
      <c r="AF81" s="7">
        <v>6.2</v>
      </c>
      <c r="AG81" s="7">
        <v>7.3</v>
      </c>
      <c r="AH81" s="7">
        <v>53.2</v>
      </c>
      <c r="AI81" s="7">
        <v>55.3</v>
      </c>
      <c r="AJ81" s="7">
        <v>21.7</v>
      </c>
      <c r="AK81" s="7">
        <v>100.8</v>
      </c>
      <c r="AL81" s="7">
        <v>9.1999999999999993</v>
      </c>
      <c r="AM81" s="7">
        <v>4163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1"/>
    </row>
    <row r="82" spans="1:64" ht="13">
      <c r="A82" s="6" t="s">
        <v>203</v>
      </c>
      <c r="B82" s="6" t="s">
        <v>204</v>
      </c>
      <c r="C82" s="31">
        <v>1040</v>
      </c>
      <c r="D82" s="24">
        <v>392</v>
      </c>
      <c r="E82" s="24">
        <v>776</v>
      </c>
      <c r="F82" s="8">
        <v>50.9</v>
      </c>
      <c r="G82" s="9">
        <v>376</v>
      </c>
      <c r="H82" s="8">
        <v>37.299999999999997</v>
      </c>
      <c r="I82" s="8">
        <v>112</v>
      </c>
      <c r="J82" s="8">
        <v>136</v>
      </c>
      <c r="K82" s="8">
        <v>82.6</v>
      </c>
      <c r="L82" s="9">
        <v>112</v>
      </c>
      <c r="M82" s="9">
        <v>288</v>
      </c>
      <c r="N82" s="9">
        <v>400</v>
      </c>
      <c r="O82" s="9">
        <v>144</v>
      </c>
      <c r="P82" s="9">
        <v>88</v>
      </c>
      <c r="Q82" s="9">
        <v>48</v>
      </c>
      <c r="R82" s="9">
        <v>152</v>
      </c>
      <c r="S82" s="9">
        <v>168</v>
      </c>
      <c r="T82" s="8">
        <v>2248</v>
      </c>
      <c r="U82" s="8">
        <v>4</v>
      </c>
      <c r="V82" s="8">
        <v>0</v>
      </c>
      <c r="W82" s="7">
        <v>1.7</v>
      </c>
      <c r="X82" s="7">
        <v>114.8</v>
      </c>
      <c r="Y82" s="7">
        <v>112.7</v>
      </c>
      <c r="Z82" s="7">
        <v>2.2000000000000002</v>
      </c>
      <c r="AA82" s="7">
        <v>7.8</v>
      </c>
      <c r="AB82" s="7">
        <v>1.7</v>
      </c>
      <c r="AC82" s="7">
        <v>13.5</v>
      </c>
      <c r="AD82" s="7">
        <v>4.5999999999999996</v>
      </c>
      <c r="AE82" s="7">
        <v>10.7</v>
      </c>
      <c r="AF82" s="7">
        <v>7.8</v>
      </c>
      <c r="AG82" s="7">
        <v>7.9</v>
      </c>
      <c r="AH82" s="7">
        <v>59.9</v>
      </c>
      <c r="AI82" s="7">
        <v>62.4</v>
      </c>
      <c r="AJ82" s="7">
        <v>15.7</v>
      </c>
      <c r="AK82" s="7">
        <v>100.24</v>
      </c>
      <c r="AL82" s="7">
        <v>8.6999999999999993</v>
      </c>
      <c r="AM82" s="7">
        <v>5325</v>
      </c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1"/>
    </row>
    <row r="83" spans="1:64" ht="13">
      <c r="A83" s="6" t="s">
        <v>205</v>
      </c>
      <c r="B83" s="6" t="s">
        <v>206</v>
      </c>
      <c r="C83" s="31">
        <v>1022</v>
      </c>
      <c r="D83" s="24">
        <v>371</v>
      </c>
      <c r="E83" s="24">
        <v>798</v>
      </c>
      <c r="F83" s="8">
        <v>46.5</v>
      </c>
      <c r="G83" s="9">
        <v>280</v>
      </c>
      <c r="H83" s="8">
        <v>37.799999999999997</v>
      </c>
      <c r="I83" s="8">
        <v>175</v>
      </c>
      <c r="J83" s="8">
        <v>224</v>
      </c>
      <c r="K83" s="8">
        <v>78.099999999999994</v>
      </c>
      <c r="L83" s="9">
        <v>126</v>
      </c>
      <c r="M83" s="9">
        <v>441</v>
      </c>
      <c r="N83" s="9">
        <v>567</v>
      </c>
      <c r="O83" s="9">
        <v>504</v>
      </c>
      <c r="P83" s="9">
        <v>203</v>
      </c>
      <c r="Q83" s="9">
        <v>84</v>
      </c>
      <c r="R83" s="9">
        <v>42</v>
      </c>
      <c r="S83" s="9">
        <v>119</v>
      </c>
      <c r="T83" s="8">
        <v>2639</v>
      </c>
      <c r="U83" s="8">
        <v>30</v>
      </c>
      <c r="V83" s="8">
        <v>7</v>
      </c>
      <c r="W83" s="7">
        <v>-1</v>
      </c>
      <c r="X83" s="7">
        <v>113.1</v>
      </c>
      <c r="Y83" s="7">
        <v>114.4</v>
      </c>
      <c r="Z83" s="7">
        <v>-1.4</v>
      </c>
      <c r="AA83" s="7">
        <v>32.200000000000003</v>
      </c>
      <c r="AB83" s="7">
        <v>2.4900000000000002</v>
      </c>
      <c r="AC83" s="7">
        <v>31.4</v>
      </c>
      <c r="AD83" s="7">
        <v>5.9</v>
      </c>
      <c r="AE83" s="7">
        <v>19.2</v>
      </c>
      <c r="AF83" s="7">
        <v>12.7</v>
      </c>
      <c r="AG83" s="7">
        <v>12.6</v>
      </c>
      <c r="AH83" s="7">
        <v>53.1</v>
      </c>
      <c r="AI83" s="7">
        <v>57</v>
      </c>
      <c r="AJ83" s="7">
        <v>21.4</v>
      </c>
      <c r="AK83" s="7">
        <v>104.47</v>
      </c>
      <c r="AL83" s="7">
        <v>13</v>
      </c>
      <c r="AM83" s="7">
        <v>4605</v>
      </c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1"/>
    </row>
    <row r="84" spans="1:64" ht="13">
      <c r="A84" s="6" t="s">
        <v>207</v>
      </c>
      <c r="B84" s="6" t="s">
        <v>208</v>
      </c>
      <c r="C84" s="31">
        <v>1009</v>
      </c>
      <c r="D84" s="24">
        <v>344</v>
      </c>
      <c r="E84" s="24">
        <v>681</v>
      </c>
      <c r="F84" s="8">
        <v>50.8</v>
      </c>
      <c r="G84" s="9">
        <v>361</v>
      </c>
      <c r="H84" s="8">
        <v>43.3</v>
      </c>
      <c r="I84" s="8">
        <v>164</v>
      </c>
      <c r="J84" s="8">
        <v>197</v>
      </c>
      <c r="K84" s="8">
        <v>80.900000000000006</v>
      </c>
      <c r="L84" s="9">
        <v>98</v>
      </c>
      <c r="M84" s="9">
        <v>213</v>
      </c>
      <c r="N84" s="9">
        <v>312</v>
      </c>
      <c r="O84" s="9">
        <v>139</v>
      </c>
      <c r="P84" s="9">
        <v>49</v>
      </c>
      <c r="Q84" s="9">
        <v>41</v>
      </c>
      <c r="R84" s="9">
        <v>16</v>
      </c>
      <c r="S84" s="9">
        <v>74</v>
      </c>
      <c r="T84" s="8">
        <v>1697</v>
      </c>
      <c r="U84" s="8">
        <v>1</v>
      </c>
      <c r="V84" s="8">
        <v>0</v>
      </c>
      <c r="W84" s="7">
        <v>-0.3</v>
      </c>
      <c r="X84" s="7">
        <v>114.5</v>
      </c>
      <c r="Y84" s="7">
        <v>115.6</v>
      </c>
      <c r="Z84" s="7">
        <v>-1.2</v>
      </c>
      <c r="AA84" s="7">
        <v>8.5</v>
      </c>
      <c r="AB84" s="7">
        <v>2.72</v>
      </c>
      <c r="AC84" s="7">
        <v>14.2</v>
      </c>
      <c r="AD84" s="7">
        <v>4.2</v>
      </c>
      <c r="AE84" s="7">
        <v>9.1</v>
      </c>
      <c r="AF84" s="7">
        <v>6.7</v>
      </c>
      <c r="AG84" s="7">
        <v>5.2</v>
      </c>
      <c r="AH84" s="7">
        <v>62.2</v>
      </c>
      <c r="AI84" s="7">
        <v>65.599999999999994</v>
      </c>
      <c r="AJ84" s="7">
        <v>15.7</v>
      </c>
      <c r="AK84" s="7">
        <v>100.08</v>
      </c>
      <c r="AL84" s="7">
        <v>9.1999999999999993</v>
      </c>
      <c r="AM84" s="7">
        <v>4662</v>
      </c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1"/>
    </row>
    <row r="85" spans="1:64" ht="13">
      <c r="A85" s="6" t="s">
        <v>209</v>
      </c>
      <c r="B85" s="6" t="s">
        <v>210</v>
      </c>
      <c r="C85" s="31">
        <v>1008</v>
      </c>
      <c r="D85" s="24">
        <v>360</v>
      </c>
      <c r="E85" s="24">
        <v>878</v>
      </c>
      <c r="F85" s="8">
        <v>41.2</v>
      </c>
      <c r="G85" s="9">
        <v>554</v>
      </c>
      <c r="H85" s="8">
        <v>39.1</v>
      </c>
      <c r="I85" s="8">
        <v>65</v>
      </c>
      <c r="J85" s="8">
        <v>72</v>
      </c>
      <c r="K85" s="8">
        <v>90.5</v>
      </c>
      <c r="L85" s="9">
        <v>43</v>
      </c>
      <c r="M85" s="9">
        <v>202</v>
      </c>
      <c r="N85" s="9">
        <v>245</v>
      </c>
      <c r="O85" s="9">
        <v>144</v>
      </c>
      <c r="P85" s="9">
        <v>86</v>
      </c>
      <c r="Q85" s="9">
        <v>50</v>
      </c>
      <c r="R85" s="9">
        <v>29</v>
      </c>
      <c r="S85" s="9">
        <v>79</v>
      </c>
      <c r="T85" s="8">
        <v>1670</v>
      </c>
      <c r="U85" s="8">
        <v>0</v>
      </c>
      <c r="V85" s="8">
        <v>0</v>
      </c>
      <c r="W85" s="7">
        <v>-1.1000000000000001</v>
      </c>
      <c r="X85" s="7">
        <v>112.8</v>
      </c>
      <c r="Y85" s="7">
        <v>115.2</v>
      </c>
      <c r="Z85" s="7">
        <v>-2.4</v>
      </c>
      <c r="AA85" s="7">
        <v>10.4</v>
      </c>
      <c r="AB85" s="7">
        <v>1.65</v>
      </c>
      <c r="AC85" s="7">
        <v>12.7</v>
      </c>
      <c r="AD85" s="7">
        <v>2.2000000000000002</v>
      </c>
      <c r="AE85" s="7">
        <v>9.6999999999999993</v>
      </c>
      <c r="AF85" s="7">
        <v>6</v>
      </c>
      <c r="AG85" s="7">
        <v>7.7</v>
      </c>
      <c r="AH85" s="7">
        <v>53.5</v>
      </c>
      <c r="AI85" s="7">
        <v>55.2</v>
      </c>
      <c r="AJ85" s="7">
        <v>21.4</v>
      </c>
      <c r="AK85" s="7">
        <v>100.53</v>
      </c>
      <c r="AL85" s="7">
        <v>8.3000000000000007</v>
      </c>
      <c r="AM85" s="7">
        <v>4123</v>
      </c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1"/>
    </row>
    <row r="86" spans="1:64" ht="13">
      <c r="A86" s="6" t="s">
        <v>211</v>
      </c>
      <c r="B86" s="6" t="s">
        <v>212</v>
      </c>
      <c r="C86" s="31">
        <v>1000</v>
      </c>
      <c r="D86" s="24">
        <v>387</v>
      </c>
      <c r="E86" s="24">
        <v>803</v>
      </c>
      <c r="F86" s="8">
        <v>47.7</v>
      </c>
      <c r="G86" s="9">
        <v>263</v>
      </c>
      <c r="H86" s="8">
        <v>34.5</v>
      </c>
      <c r="I86" s="8">
        <v>146</v>
      </c>
      <c r="J86" s="8">
        <v>168</v>
      </c>
      <c r="K86" s="8">
        <v>86.1</v>
      </c>
      <c r="L86" s="9">
        <v>66</v>
      </c>
      <c r="M86" s="9">
        <v>365</v>
      </c>
      <c r="N86" s="9">
        <v>431</v>
      </c>
      <c r="O86" s="9">
        <v>161</v>
      </c>
      <c r="P86" s="9">
        <v>88</v>
      </c>
      <c r="Q86" s="9">
        <v>73</v>
      </c>
      <c r="R86" s="9">
        <v>58</v>
      </c>
      <c r="S86" s="9">
        <v>139</v>
      </c>
      <c r="T86" s="8">
        <v>2073</v>
      </c>
      <c r="U86" s="8">
        <v>5</v>
      </c>
      <c r="V86" s="8">
        <v>0</v>
      </c>
      <c r="W86" s="7">
        <v>2.6</v>
      </c>
      <c r="X86" s="7">
        <v>114.7</v>
      </c>
      <c r="Y86" s="7">
        <v>110.8</v>
      </c>
      <c r="Z86" s="7">
        <v>3.9</v>
      </c>
      <c r="AA86" s="7">
        <v>9.5</v>
      </c>
      <c r="AB86" s="7">
        <v>1.91</v>
      </c>
      <c r="AC86" s="7">
        <v>14.4</v>
      </c>
      <c r="AD86" s="7">
        <v>2.8</v>
      </c>
      <c r="AE86" s="7">
        <v>15.5</v>
      </c>
      <c r="AF86" s="7">
        <v>9.1999999999999993</v>
      </c>
      <c r="AG86" s="7">
        <v>7.6</v>
      </c>
      <c r="AH86" s="7">
        <v>53.4</v>
      </c>
      <c r="AI86" s="7">
        <v>57.1</v>
      </c>
      <c r="AJ86" s="7">
        <v>17.3</v>
      </c>
      <c r="AK86" s="7">
        <v>100.89</v>
      </c>
      <c r="AL86" s="7">
        <v>10</v>
      </c>
      <c r="AM86" s="7">
        <v>4845</v>
      </c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1"/>
    </row>
    <row r="87" spans="1:64" ht="13">
      <c r="A87" s="6" t="s">
        <v>213</v>
      </c>
      <c r="B87" s="6" t="s">
        <v>214</v>
      </c>
      <c r="C87" s="31">
        <v>1000</v>
      </c>
      <c r="D87" s="24">
        <v>402</v>
      </c>
      <c r="E87" s="24">
        <v>836</v>
      </c>
      <c r="F87" s="8">
        <v>47.7</v>
      </c>
      <c r="G87" s="9">
        <v>303</v>
      </c>
      <c r="H87" s="8">
        <v>33</v>
      </c>
      <c r="I87" s="8">
        <v>107</v>
      </c>
      <c r="J87" s="8">
        <v>131</v>
      </c>
      <c r="K87" s="8">
        <v>81.3</v>
      </c>
      <c r="L87" s="9">
        <v>131</v>
      </c>
      <c r="M87" s="9">
        <v>344</v>
      </c>
      <c r="N87" s="9">
        <v>467</v>
      </c>
      <c r="O87" s="9">
        <v>164</v>
      </c>
      <c r="P87" s="9">
        <v>98</v>
      </c>
      <c r="Q87" s="9">
        <v>107</v>
      </c>
      <c r="R87" s="9">
        <v>74</v>
      </c>
      <c r="S87" s="9">
        <v>221</v>
      </c>
      <c r="T87" s="8">
        <v>2263</v>
      </c>
      <c r="U87" s="8">
        <v>10</v>
      </c>
      <c r="V87" s="8">
        <v>0</v>
      </c>
      <c r="W87" s="7">
        <v>2.1</v>
      </c>
      <c r="X87" s="7">
        <v>113.9</v>
      </c>
      <c r="Y87" s="7">
        <v>109.9</v>
      </c>
      <c r="Z87" s="7">
        <v>4</v>
      </c>
      <c r="AA87" s="7">
        <v>9.1</v>
      </c>
      <c r="AB87" s="7">
        <v>1.72</v>
      </c>
      <c r="AC87" s="7">
        <v>14.2</v>
      </c>
      <c r="AD87" s="7">
        <v>4.8</v>
      </c>
      <c r="AE87" s="7">
        <v>12.6</v>
      </c>
      <c r="AF87" s="7">
        <v>8.6999999999999993</v>
      </c>
      <c r="AG87" s="7">
        <v>8.3000000000000007</v>
      </c>
      <c r="AH87" s="7">
        <v>53.7</v>
      </c>
      <c r="AI87" s="7">
        <v>56.2</v>
      </c>
      <c r="AJ87" s="7">
        <v>16</v>
      </c>
      <c r="AK87" s="7">
        <v>98.07</v>
      </c>
      <c r="AL87" s="7">
        <v>8.6</v>
      </c>
      <c r="AM87" s="7">
        <v>5323</v>
      </c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1"/>
    </row>
    <row r="88" spans="1:64" ht="13">
      <c r="A88" s="6" t="s">
        <v>215</v>
      </c>
      <c r="B88" s="6" t="s">
        <v>216</v>
      </c>
      <c r="C88" s="31">
        <v>998</v>
      </c>
      <c r="D88" s="24">
        <v>375</v>
      </c>
      <c r="E88" s="24">
        <v>833</v>
      </c>
      <c r="F88" s="8">
        <v>44.9</v>
      </c>
      <c r="G88" s="9">
        <v>293</v>
      </c>
      <c r="H88" s="8">
        <v>32.299999999999997</v>
      </c>
      <c r="I88" s="8">
        <v>158</v>
      </c>
      <c r="J88" s="8">
        <v>233</v>
      </c>
      <c r="K88" s="8">
        <v>66.099999999999994</v>
      </c>
      <c r="L88" s="9">
        <v>105</v>
      </c>
      <c r="M88" s="9">
        <v>270</v>
      </c>
      <c r="N88" s="9">
        <v>368</v>
      </c>
      <c r="O88" s="9">
        <v>458</v>
      </c>
      <c r="P88" s="9">
        <v>240</v>
      </c>
      <c r="Q88" s="9">
        <v>105</v>
      </c>
      <c r="R88" s="9">
        <v>38</v>
      </c>
      <c r="S88" s="9">
        <v>188</v>
      </c>
      <c r="T88" s="8">
        <v>2310</v>
      </c>
      <c r="U88" s="8">
        <v>13</v>
      </c>
      <c r="V88" s="8">
        <v>4</v>
      </c>
      <c r="W88" s="7">
        <v>-0.3</v>
      </c>
      <c r="X88" s="7">
        <v>115.7</v>
      </c>
      <c r="Y88" s="7">
        <v>116.2</v>
      </c>
      <c r="Z88" s="7">
        <v>-0.6</v>
      </c>
      <c r="AA88" s="7">
        <v>28.9</v>
      </c>
      <c r="AB88" s="7">
        <v>1.89</v>
      </c>
      <c r="AC88" s="7">
        <v>27.9</v>
      </c>
      <c r="AD88" s="7">
        <v>5</v>
      </c>
      <c r="AE88" s="7">
        <v>11.9</v>
      </c>
      <c r="AF88" s="7">
        <v>8.6</v>
      </c>
      <c r="AG88" s="7">
        <v>14.8</v>
      </c>
      <c r="AH88" s="7">
        <v>50.5</v>
      </c>
      <c r="AI88" s="7">
        <v>53.2</v>
      </c>
      <c r="AJ88" s="7">
        <v>23</v>
      </c>
      <c r="AK88" s="7">
        <v>103.3</v>
      </c>
      <c r="AL88" s="7">
        <v>9.3000000000000007</v>
      </c>
      <c r="AM88" s="7">
        <v>4504</v>
      </c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1"/>
    </row>
    <row r="89" spans="1:64" ht="13">
      <c r="A89" s="6" t="s">
        <v>217</v>
      </c>
      <c r="B89" s="6" t="s">
        <v>218</v>
      </c>
      <c r="C89" s="31">
        <v>992</v>
      </c>
      <c r="D89" s="24">
        <v>385</v>
      </c>
      <c r="E89" s="24">
        <v>681</v>
      </c>
      <c r="F89" s="8">
        <v>56.7</v>
      </c>
      <c r="G89" s="9">
        <v>148</v>
      </c>
      <c r="H89" s="8">
        <v>32.4</v>
      </c>
      <c r="I89" s="8">
        <v>163</v>
      </c>
      <c r="J89" s="8">
        <v>215</v>
      </c>
      <c r="K89" s="8">
        <v>75.900000000000006</v>
      </c>
      <c r="L89" s="9">
        <v>222</v>
      </c>
      <c r="M89" s="9">
        <v>437</v>
      </c>
      <c r="N89" s="9">
        <v>659</v>
      </c>
      <c r="O89" s="9">
        <v>170</v>
      </c>
      <c r="P89" s="9">
        <v>89</v>
      </c>
      <c r="Q89" s="9">
        <v>67</v>
      </c>
      <c r="R89" s="9">
        <v>67</v>
      </c>
      <c r="S89" s="9">
        <v>192</v>
      </c>
      <c r="T89" s="8">
        <v>2353</v>
      </c>
      <c r="U89" s="8">
        <v>28</v>
      </c>
      <c r="V89" s="8">
        <v>0</v>
      </c>
      <c r="W89" s="7">
        <v>0.5</v>
      </c>
      <c r="X89" s="7">
        <v>114.9</v>
      </c>
      <c r="Y89" s="7">
        <v>113.7</v>
      </c>
      <c r="Z89" s="7">
        <v>1.1000000000000001</v>
      </c>
      <c r="AA89" s="7">
        <v>11.3</v>
      </c>
      <c r="AB89" s="7">
        <v>1.87</v>
      </c>
      <c r="AC89" s="7">
        <v>16.2</v>
      </c>
      <c r="AD89" s="7">
        <v>10.3</v>
      </c>
      <c r="AE89" s="7">
        <v>21.3</v>
      </c>
      <c r="AF89" s="7">
        <v>15.7</v>
      </c>
      <c r="AG89" s="7">
        <v>8.6999999999999993</v>
      </c>
      <c r="AH89" s="7">
        <v>60.2</v>
      </c>
      <c r="AI89" s="7">
        <v>63.4</v>
      </c>
      <c r="AJ89" s="7">
        <v>16.899999999999999</v>
      </c>
      <c r="AK89" s="7">
        <v>104.52</v>
      </c>
      <c r="AL89" s="7">
        <v>12.2</v>
      </c>
      <c r="AM89" s="7">
        <v>4489</v>
      </c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1"/>
    </row>
    <row r="90" spans="1:64" ht="13">
      <c r="A90" s="6" t="s">
        <v>219</v>
      </c>
      <c r="B90" s="6" t="s">
        <v>220</v>
      </c>
      <c r="C90" s="31">
        <v>983</v>
      </c>
      <c r="D90" s="24">
        <v>338</v>
      </c>
      <c r="E90" s="24">
        <v>825</v>
      </c>
      <c r="F90" s="8">
        <v>40.6</v>
      </c>
      <c r="G90" s="9">
        <v>368</v>
      </c>
      <c r="H90" s="8">
        <v>34.200000000000003</v>
      </c>
      <c r="I90" s="8">
        <v>180</v>
      </c>
      <c r="J90" s="8">
        <v>218</v>
      </c>
      <c r="K90" s="8">
        <v>83.8</v>
      </c>
      <c r="L90" s="9">
        <v>30</v>
      </c>
      <c r="M90" s="9">
        <v>173</v>
      </c>
      <c r="N90" s="9">
        <v>195</v>
      </c>
      <c r="O90" s="9">
        <v>405</v>
      </c>
      <c r="P90" s="9">
        <v>143</v>
      </c>
      <c r="Q90" s="9">
        <v>68</v>
      </c>
      <c r="R90" s="9">
        <v>15</v>
      </c>
      <c r="S90" s="9">
        <v>180</v>
      </c>
      <c r="T90" s="8">
        <v>1913</v>
      </c>
      <c r="U90" s="8">
        <v>7</v>
      </c>
      <c r="V90" s="8">
        <v>0</v>
      </c>
      <c r="W90" s="7">
        <v>-1</v>
      </c>
      <c r="X90" s="7">
        <v>111.8</v>
      </c>
      <c r="Y90" s="7">
        <v>112.8</v>
      </c>
      <c r="Z90" s="7">
        <v>-0.9</v>
      </c>
      <c r="AA90" s="7">
        <v>28.7</v>
      </c>
      <c r="AB90" s="7">
        <v>2.85</v>
      </c>
      <c r="AC90" s="7">
        <v>27.6</v>
      </c>
      <c r="AD90" s="7">
        <v>1.2</v>
      </c>
      <c r="AE90" s="7">
        <v>8</v>
      </c>
      <c r="AF90" s="7">
        <v>4.5999999999999996</v>
      </c>
      <c r="AG90" s="7">
        <v>9.6999999999999993</v>
      </c>
      <c r="AH90" s="7">
        <v>48.3</v>
      </c>
      <c r="AI90" s="7">
        <v>53.1</v>
      </c>
      <c r="AJ90" s="7">
        <v>21.1</v>
      </c>
      <c r="AK90" s="7">
        <v>100.49</v>
      </c>
      <c r="AL90" s="7">
        <v>9.1</v>
      </c>
      <c r="AM90" s="7">
        <v>4393</v>
      </c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1"/>
    </row>
    <row r="91" spans="1:64" ht="13">
      <c r="A91" s="6" t="s">
        <v>221</v>
      </c>
      <c r="B91" s="6" t="s">
        <v>222</v>
      </c>
      <c r="C91" s="31">
        <v>978</v>
      </c>
      <c r="D91" s="24">
        <v>370</v>
      </c>
      <c r="E91" s="24">
        <v>770</v>
      </c>
      <c r="F91" s="8">
        <v>48.2</v>
      </c>
      <c r="G91" s="9">
        <v>277</v>
      </c>
      <c r="H91" s="8">
        <v>31.8</v>
      </c>
      <c r="I91" s="8">
        <v>146</v>
      </c>
      <c r="J91" s="8">
        <v>193</v>
      </c>
      <c r="K91" s="8">
        <v>77.3</v>
      </c>
      <c r="L91" s="9">
        <v>116</v>
      </c>
      <c r="M91" s="9">
        <v>262</v>
      </c>
      <c r="N91" s="9">
        <v>370</v>
      </c>
      <c r="O91" s="9">
        <v>123</v>
      </c>
      <c r="P91" s="9">
        <v>77</v>
      </c>
      <c r="Q91" s="9">
        <v>46</v>
      </c>
      <c r="R91" s="9">
        <v>23</v>
      </c>
      <c r="S91" s="9">
        <v>116</v>
      </c>
      <c r="T91" s="8">
        <v>1748</v>
      </c>
      <c r="U91" s="8">
        <v>3</v>
      </c>
      <c r="V91" s="8">
        <v>0</v>
      </c>
      <c r="W91" s="7">
        <v>-2.8</v>
      </c>
      <c r="X91" s="7">
        <v>110.1</v>
      </c>
      <c r="Y91" s="7">
        <v>115.9</v>
      </c>
      <c r="Z91" s="7">
        <v>-5.8</v>
      </c>
      <c r="AA91" s="7">
        <v>10.5</v>
      </c>
      <c r="AB91" s="7">
        <v>1.62</v>
      </c>
      <c r="AC91" s="7">
        <v>11.9</v>
      </c>
      <c r="AD91" s="7">
        <v>5.7</v>
      </c>
      <c r="AE91" s="7">
        <v>13.6</v>
      </c>
      <c r="AF91" s="7">
        <v>9.6</v>
      </c>
      <c r="AG91" s="7">
        <v>7.3</v>
      </c>
      <c r="AH91" s="7">
        <v>53.8</v>
      </c>
      <c r="AI91" s="7">
        <v>57.2</v>
      </c>
      <c r="AJ91" s="7">
        <v>20.7</v>
      </c>
      <c r="AK91" s="7">
        <v>102.06</v>
      </c>
      <c r="AL91" s="7">
        <v>10.3</v>
      </c>
      <c r="AM91" s="7">
        <v>3912</v>
      </c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1"/>
    </row>
    <row r="92" spans="1:64" ht="13">
      <c r="A92" s="6" t="s">
        <v>223</v>
      </c>
      <c r="B92" s="6" t="s">
        <v>224</v>
      </c>
      <c r="C92" s="31">
        <v>973</v>
      </c>
      <c r="D92" s="24">
        <v>386</v>
      </c>
      <c r="E92" s="24">
        <v>697</v>
      </c>
      <c r="F92" s="8">
        <v>55.7</v>
      </c>
      <c r="G92" s="9">
        <v>90</v>
      </c>
      <c r="H92" s="8">
        <v>27.5</v>
      </c>
      <c r="I92" s="8">
        <v>166</v>
      </c>
      <c r="J92" s="8">
        <v>248</v>
      </c>
      <c r="K92" s="8">
        <v>68.400000000000006</v>
      </c>
      <c r="L92" s="9">
        <v>193</v>
      </c>
      <c r="M92" s="9">
        <v>373</v>
      </c>
      <c r="N92" s="9">
        <v>566</v>
      </c>
      <c r="O92" s="9">
        <v>262</v>
      </c>
      <c r="P92" s="9">
        <v>138</v>
      </c>
      <c r="Q92" s="9">
        <v>97</v>
      </c>
      <c r="R92" s="9">
        <v>90</v>
      </c>
      <c r="S92" s="9">
        <v>166</v>
      </c>
      <c r="T92" s="8">
        <v>2463</v>
      </c>
      <c r="U92" s="8">
        <v>21</v>
      </c>
      <c r="V92" s="8">
        <v>3</v>
      </c>
      <c r="W92" s="7">
        <v>3.9</v>
      </c>
      <c r="X92" s="7">
        <v>114.2</v>
      </c>
      <c r="Y92" s="7">
        <v>107.9</v>
      </c>
      <c r="Z92" s="7">
        <v>6.3</v>
      </c>
      <c r="AA92" s="7">
        <v>16.7</v>
      </c>
      <c r="AB92" s="7">
        <v>1.92</v>
      </c>
      <c r="AC92" s="7">
        <v>21.9</v>
      </c>
      <c r="AD92" s="7">
        <v>7.8</v>
      </c>
      <c r="AE92" s="7">
        <v>15.9</v>
      </c>
      <c r="AF92" s="7">
        <v>11.8</v>
      </c>
      <c r="AG92" s="7">
        <v>11.4</v>
      </c>
      <c r="AH92" s="7">
        <v>57.5</v>
      </c>
      <c r="AI92" s="7">
        <v>60.2</v>
      </c>
      <c r="AJ92" s="7">
        <v>17.2</v>
      </c>
      <c r="AK92" s="7">
        <v>100</v>
      </c>
      <c r="AL92" s="7">
        <v>12.9</v>
      </c>
      <c r="AM92" s="7">
        <v>4626</v>
      </c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1"/>
    </row>
    <row r="93" spans="1:64" ht="13">
      <c r="A93" s="6" t="s">
        <v>225</v>
      </c>
      <c r="B93" s="6" t="s">
        <v>226</v>
      </c>
      <c r="C93" s="31">
        <v>963</v>
      </c>
      <c r="D93" s="24">
        <v>303</v>
      </c>
      <c r="E93" s="24">
        <v>600</v>
      </c>
      <c r="F93" s="8">
        <v>50.4</v>
      </c>
      <c r="G93" s="9">
        <v>105</v>
      </c>
      <c r="H93" s="8">
        <v>30.8</v>
      </c>
      <c r="I93" s="8">
        <v>330</v>
      </c>
      <c r="J93" s="8">
        <v>391</v>
      </c>
      <c r="K93" s="8">
        <v>84.2</v>
      </c>
      <c r="L93" s="9">
        <v>127</v>
      </c>
      <c r="M93" s="9">
        <v>171</v>
      </c>
      <c r="N93" s="9">
        <v>297</v>
      </c>
      <c r="O93" s="9">
        <v>297</v>
      </c>
      <c r="P93" s="9">
        <v>72</v>
      </c>
      <c r="Q93" s="9">
        <v>77</v>
      </c>
      <c r="R93" s="9">
        <v>17</v>
      </c>
      <c r="S93" s="9">
        <v>50</v>
      </c>
      <c r="T93" s="8">
        <v>1975</v>
      </c>
      <c r="U93" s="8">
        <v>6</v>
      </c>
      <c r="V93" s="8">
        <v>3</v>
      </c>
      <c r="W93" s="7">
        <v>4.5</v>
      </c>
      <c r="X93" s="7">
        <v>115.9</v>
      </c>
      <c r="Y93" s="7">
        <v>109.6</v>
      </c>
      <c r="Z93" s="7">
        <v>6.3</v>
      </c>
      <c r="AA93" s="7">
        <v>26</v>
      </c>
      <c r="AB93" s="7">
        <v>4.03</v>
      </c>
      <c r="AC93" s="7">
        <v>26.2</v>
      </c>
      <c r="AD93" s="7">
        <v>7</v>
      </c>
      <c r="AE93" s="7">
        <v>10.1</v>
      </c>
      <c r="AF93" s="7">
        <v>8.5</v>
      </c>
      <c r="AG93" s="7">
        <v>6.5</v>
      </c>
      <c r="AH93" s="7">
        <v>53.1</v>
      </c>
      <c r="AI93" s="7">
        <v>62.6</v>
      </c>
      <c r="AJ93" s="7">
        <v>20.3</v>
      </c>
      <c r="AK93" s="7">
        <v>98.95</v>
      </c>
      <c r="AL93" s="7">
        <v>14.5</v>
      </c>
      <c r="AM93" s="7">
        <v>3608</v>
      </c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1"/>
    </row>
    <row r="94" spans="1:64" ht="13">
      <c r="A94" s="6" t="s">
        <v>227</v>
      </c>
      <c r="B94" s="6" t="s">
        <v>228</v>
      </c>
      <c r="C94" s="31">
        <v>962</v>
      </c>
      <c r="D94" s="24">
        <v>371</v>
      </c>
      <c r="E94" s="24">
        <v>845</v>
      </c>
      <c r="F94" s="8">
        <v>43.6</v>
      </c>
      <c r="G94" s="9">
        <v>312</v>
      </c>
      <c r="H94" s="8">
        <v>30.7</v>
      </c>
      <c r="I94" s="8">
        <v>130</v>
      </c>
      <c r="J94" s="8">
        <v>202</v>
      </c>
      <c r="K94" s="8">
        <v>63.4</v>
      </c>
      <c r="L94" s="9">
        <v>52</v>
      </c>
      <c r="M94" s="9">
        <v>319</v>
      </c>
      <c r="N94" s="9">
        <v>371</v>
      </c>
      <c r="O94" s="9">
        <v>150</v>
      </c>
      <c r="P94" s="9">
        <v>143</v>
      </c>
      <c r="Q94" s="9">
        <v>39</v>
      </c>
      <c r="R94" s="9">
        <v>20</v>
      </c>
      <c r="S94" s="9">
        <v>117</v>
      </c>
      <c r="T94" s="8">
        <v>1658</v>
      </c>
      <c r="U94" s="8">
        <v>6</v>
      </c>
      <c r="V94" s="8">
        <v>0</v>
      </c>
      <c r="W94" s="7">
        <v>-6.4</v>
      </c>
      <c r="X94" s="7">
        <v>105.8</v>
      </c>
      <c r="Y94" s="7">
        <v>116.1</v>
      </c>
      <c r="Z94" s="7">
        <v>-10.3</v>
      </c>
      <c r="AA94" s="7">
        <v>12.3</v>
      </c>
      <c r="AB94" s="7">
        <v>1.04</v>
      </c>
      <c r="AC94" s="7">
        <v>12.3</v>
      </c>
      <c r="AD94" s="7">
        <v>2.7</v>
      </c>
      <c r="AE94" s="7">
        <v>15.5</v>
      </c>
      <c r="AF94" s="7">
        <v>9.1</v>
      </c>
      <c r="AG94" s="7">
        <v>11.8</v>
      </c>
      <c r="AH94" s="7">
        <v>49.3</v>
      </c>
      <c r="AI94" s="7">
        <v>51.4</v>
      </c>
      <c r="AJ94" s="7">
        <v>23.3</v>
      </c>
      <c r="AK94" s="7">
        <v>102.96</v>
      </c>
      <c r="AL94" s="7">
        <v>8</v>
      </c>
      <c r="AM94" s="7">
        <v>4158</v>
      </c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1"/>
    </row>
    <row r="95" spans="1:64" ht="13">
      <c r="A95" s="6" t="s">
        <v>229</v>
      </c>
      <c r="B95" s="6" t="s">
        <v>230</v>
      </c>
      <c r="C95" s="31">
        <v>945</v>
      </c>
      <c r="D95" s="24">
        <v>360</v>
      </c>
      <c r="E95" s="24">
        <v>780</v>
      </c>
      <c r="F95" s="8">
        <v>45.8</v>
      </c>
      <c r="G95" s="9">
        <v>345</v>
      </c>
      <c r="H95" s="8">
        <v>35.5</v>
      </c>
      <c r="I95" s="8">
        <v>105</v>
      </c>
      <c r="J95" s="8">
        <v>150</v>
      </c>
      <c r="K95" s="8">
        <v>71.099999999999994</v>
      </c>
      <c r="L95" s="9">
        <v>83</v>
      </c>
      <c r="M95" s="9">
        <v>180</v>
      </c>
      <c r="N95" s="9">
        <v>270</v>
      </c>
      <c r="O95" s="9">
        <v>90</v>
      </c>
      <c r="P95" s="9">
        <v>90</v>
      </c>
      <c r="Q95" s="9">
        <v>53</v>
      </c>
      <c r="R95" s="9">
        <v>38</v>
      </c>
      <c r="S95" s="9">
        <v>150</v>
      </c>
      <c r="T95" s="8">
        <v>1575</v>
      </c>
      <c r="U95" s="8">
        <v>1</v>
      </c>
      <c r="V95" s="8">
        <v>0</v>
      </c>
      <c r="W95" s="7">
        <v>-1.6</v>
      </c>
      <c r="X95" s="7">
        <v>112.3</v>
      </c>
      <c r="Y95" s="7">
        <v>115</v>
      </c>
      <c r="Z95" s="7">
        <v>-2.7</v>
      </c>
      <c r="AA95" s="7">
        <v>6.8</v>
      </c>
      <c r="AB95" s="7">
        <v>1</v>
      </c>
      <c r="AC95" s="7">
        <v>9</v>
      </c>
      <c r="AD95" s="7">
        <v>4.4000000000000004</v>
      </c>
      <c r="AE95" s="7">
        <v>9.9</v>
      </c>
      <c r="AF95" s="7">
        <v>7.1</v>
      </c>
      <c r="AG95" s="7">
        <v>9</v>
      </c>
      <c r="AH95" s="7">
        <v>53.7</v>
      </c>
      <c r="AI95" s="7">
        <v>55.8</v>
      </c>
      <c r="AJ95" s="7">
        <v>20.3</v>
      </c>
      <c r="AK95" s="7">
        <v>104.57</v>
      </c>
      <c r="AL95" s="7">
        <v>7.1</v>
      </c>
      <c r="AM95" s="7">
        <v>4011</v>
      </c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1"/>
    </row>
    <row r="96" spans="1:64" ht="13">
      <c r="A96" s="6" t="s">
        <v>231</v>
      </c>
      <c r="B96" s="6" t="s">
        <v>232</v>
      </c>
      <c r="C96" s="31">
        <v>942</v>
      </c>
      <c r="D96" s="24">
        <v>365</v>
      </c>
      <c r="E96" s="24">
        <v>821</v>
      </c>
      <c r="F96" s="8">
        <v>44.4</v>
      </c>
      <c r="G96" s="9">
        <v>448</v>
      </c>
      <c r="H96" s="8">
        <v>34.299999999999997</v>
      </c>
      <c r="I96" s="8">
        <v>61</v>
      </c>
      <c r="J96" s="8">
        <v>68</v>
      </c>
      <c r="K96" s="8">
        <v>83.3</v>
      </c>
      <c r="L96" s="9">
        <v>144</v>
      </c>
      <c r="M96" s="9">
        <v>365</v>
      </c>
      <c r="N96" s="9">
        <v>509</v>
      </c>
      <c r="O96" s="9">
        <v>106</v>
      </c>
      <c r="P96" s="9">
        <v>61</v>
      </c>
      <c r="Q96" s="9">
        <v>61</v>
      </c>
      <c r="R96" s="9">
        <v>68</v>
      </c>
      <c r="S96" s="9">
        <v>182</v>
      </c>
      <c r="T96" s="8">
        <v>2044</v>
      </c>
      <c r="U96" s="8">
        <v>11</v>
      </c>
      <c r="V96" s="8">
        <v>0</v>
      </c>
      <c r="W96" s="7">
        <v>0.6</v>
      </c>
      <c r="X96" s="7">
        <v>114.8</v>
      </c>
      <c r="Y96" s="7">
        <v>113.4</v>
      </c>
      <c r="Z96" s="7">
        <v>1.5</v>
      </c>
      <c r="AA96" s="7">
        <v>5.5</v>
      </c>
      <c r="AB96" s="7">
        <v>1.82</v>
      </c>
      <c r="AC96" s="7">
        <v>10.7</v>
      </c>
      <c r="AD96" s="7">
        <v>5.6</v>
      </c>
      <c r="AE96" s="7">
        <v>13.4</v>
      </c>
      <c r="AF96" s="7">
        <v>9.5</v>
      </c>
      <c r="AG96" s="7">
        <v>5.9</v>
      </c>
      <c r="AH96" s="7">
        <v>53.8</v>
      </c>
      <c r="AI96" s="7">
        <v>55.3</v>
      </c>
      <c r="AJ96" s="7">
        <v>14.8</v>
      </c>
      <c r="AK96" s="7">
        <v>100.09</v>
      </c>
      <c r="AL96" s="7">
        <v>7.5</v>
      </c>
      <c r="AM96" s="7">
        <v>5428</v>
      </c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1"/>
    </row>
    <row r="97" spans="1:64" ht="13">
      <c r="A97" s="6" t="s">
        <v>233</v>
      </c>
      <c r="B97" s="6" t="s">
        <v>234</v>
      </c>
      <c r="C97" s="31">
        <v>920</v>
      </c>
      <c r="D97" s="24">
        <v>374</v>
      </c>
      <c r="E97" s="24">
        <v>546</v>
      </c>
      <c r="F97" s="8">
        <v>69.2</v>
      </c>
      <c r="G97" s="8">
        <v>0</v>
      </c>
      <c r="H97" s="8">
        <v>0</v>
      </c>
      <c r="I97" s="8">
        <v>164</v>
      </c>
      <c r="J97" s="8">
        <v>242</v>
      </c>
      <c r="K97" s="8">
        <v>66.900000000000006</v>
      </c>
      <c r="L97" s="9">
        <v>281</v>
      </c>
      <c r="M97" s="9">
        <v>530</v>
      </c>
      <c r="N97" s="9">
        <v>803</v>
      </c>
      <c r="O97" s="9">
        <v>211</v>
      </c>
      <c r="P97" s="9">
        <v>133</v>
      </c>
      <c r="Q97" s="9">
        <v>55</v>
      </c>
      <c r="R97" s="9">
        <v>86</v>
      </c>
      <c r="S97" s="9">
        <v>250</v>
      </c>
      <c r="T97" s="8">
        <v>2496</v>
      </c>
      <c r="U97" s="8">
        <v>41</v>
      </c>
      <c r="V97" s="8">
        <v>0</v>
      </c>
      <c r="W97" s="7">
        <v>0.5</v>
      </c>
      <c r="X97" s="7">
        <v>115.5</v>
      </c>
      <c r="Y97" s="7">
        <v>114</v>
      </c>
      <c r="Z97" s="7">
        <v>1.5</v>
      </c>
      <c r="AA97" s="7">
        <v>14.1</v>
      </c>
      <c r="AB97" s="7">
        <v>1.54</v>
      </c>
      <c r="AC97" s="7">
        <v>21</v>
      </c>
      <c r="AD97" s="7">
        <v>13.7</v>
      </c>
      <c r="AE97" s="7">
        <v>25.9</v>
      </c>
      <c r="AF97" s="7">
        <v>19.899999999999999</v>
      </c>
      <c r="AG97" s="7">
        <v>13.6</v>
      </c>
      <c r="AH97" s="7">
        <v>69.2</v>
      </c>
      <c r="AI97" s="7">
        <v>70.3</v>
      </c>
      <c r="AJ97" s="7">
        <v>16.100000000000001</v>
      </c>
      <c r="AK97" s="7">
        <v>101.29</v>
      </c>
      <c r="AL97" s="7">
        <v>14</v>
      </c>
      <c r="AM97" s="7">
        <v>4278</v>
      </c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1"/>
    </row>
    <row r="98" spans="1:64" ht="13">
      <c r="A98" s="6" t="s">
        <v>235</v>
      </c>
      <c r="B98" s="6" t="s">
        <v>236</v>
      </c>
      <c r="C98" s="31">
        <v>912</v>
      </c>
      <c r="D98" s="24">
        <v>357</v>
      </c>
      <c r="E98" s="24">
        <v>730</v>
      </c>
      <c r="F98" s="8">
        <v>48.8</v>
      </c>
      <c r="G98" s="9">
        <v>342</v>
      </c>
      <c r="H98" s="8">
        <v>38.299999999999997</v>
      </c>
      <c r="I98" s="8">
        <v>76</v>
      </c>
      <c r="J98" s="8">
        <v>91</v>
      </c>
      <c r="K98" s="8">
        <v>83.1</v>
      </c>
      <c r="L98" s="9">
        <v>84</v>
      </c>
      <c r="M98" s="9">
        <v>213</v>
      </c>
      <c r="N98" s="9">
        <v>296</v>
      </c>
      <c r="O98" s="9">
        <v>137</v>
      </c>
      <c r="P98" s="9">
        <v>68</v>
      </c>
      <c r="Q98" s="9">
        <v>61</v>
      </c>
      <c r="R98" s="9">
        <v>15</v>
      </c>
      <c r="S98" s="9">
        <v>99</v>
      </c>
      <c r="T98" s="8">
        <v>1634</v>
      </c>
      <c r="U98" s="8">
        <v>2</v>
      </c>
      <c r="V98" s="8">
        <v>0</v>
      </c>
      <c r="W98" s="7">
        <v>6.8</v>
      </c>
      <c r="X98" s="7">
        <v>120.7</v>
      </c>
      <c r="Y98" s="7">
        <v>106.6</v>
      </c>
      <c r="Z98" s="7">
        <v>14.2</v>
      </c>
      <c r="AA98" s="7">
        <v>10.199999999999999</v>
      </c>
      <c r="AB98" s="7">
        <v>1.94</v>
      </c>
      <c r="AC98" s="7">
        <v>13.8</v>
      </c>
      <c r="AD98" s="7">
        <v>4.5999999999999996</v>
      </c>
      <c r="AE98" s="7">
        <v>11.3</v>
      </c>
      <c r="AF98" s="7">
        <v>8.1</v>
      </c>
      <c r="AG98" s="7">
        <v>7.1</v>
      </c>
      <c r="AH98" s="7">
        <v>57.7</v>
      </c>
      <c r="AI98" s="7">
        <v>59.6</v>
      </c>
      <c r="AJ98" s="7">
        <v>20</v>
      </c>
      <c r="AK98" s="7">
        <v>101.91</v>
      </c>
      <c r="AL98" s="7">
        <v>10.5</v>
      </c>
      <c r="AM98" s="7">
        <v>3698</v>
      </c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1"/>
    </row>
    <row r="99" spans="1:64" ht="13">
      <c r="A99" s="6" t="s">
        <v>237</v>
      </c>
      <c r="B99" s="6" t="s">
        <v>238</v>
      </c>
      <c r="C99" s="31">
        <v>911</v>
      </c>
      <c r="D99" s="24">
        <v>359</v>
      </c>
      <c r="E99" s="24">
        <v>711</v>
      </c>
      <c r="F99" s="8">
        <v>50.8</v>
      </c>
      <c r="G99" s="9">
        <v>221</v>
      </c>
      <c r="H99" s="8">
        <v>27.5</v>
      </c>
      <c r="I99" s="8">
        <v>131</v>
      </c>
      <c r="J99" s="8">
        <v>159</v>
      </c>
      <c r="K99" s="8">
        <v>81.3</v>
      </c>
      <c r="L99" s="9">
        <v>76</v>
      </c>
      <c r="M99" s="9">
        <v>255</v>
      </c>
      <c r="N99" s="9">
        <v>331</v>
      </c>
      <c r="O99" s="9">
        <v>207</v>
      </c>
      <c r="P99" s="9">
        <v>110</v>
      </c>
      <c r="Q99" s="9">
        <v>69</v>
      </c>
      <c r="R99" s="9">
        <v>14</v>
      </c>
      <c r="S99" s="9">
        <v>110</v>
      </c>
      <c r="T99" s="8">
        <v>1753</v>
      </c>
      <c r="U99" s="8">
        <v>6</v>
      </c>
      <c r="V99" s="8">
        <v>0</v>
      </c>
      <c r="W99" s="7">
        <v>-2</v>
      </c>
      <c r="X99" s="7">
        <v>111.5</v>
      </c>
      <c r="Y99" s="7">
        <v>114.7</v>
      </c>
      <c r="Z99" s="7">
        <v>-3.2</v>
      </c>
      <c r="AA99" s="7">
        <v>16.100000000000001</v>
      </c>
      <c r="AB99" s="7">
        <v>1.86</v>
      </c>
      <c r="AC99" s="7">
        <v>18.899999999999999</v>
      </c>
      <c r="AD99" s="7">
        <v>4</v>
      </c>
      <c r="AE99" s="7">
        <v>12.5</v>
      </c>
      <c r="AF99" s="7">
        <v>8.4</v>
      </c>
      <c r="AG99" s="7">
        <v>10.199999999999999</v>
      </c>
      <c r="AH99" s="7">
        <v>55.1</v>
      </c>
      <c r="AI99" s="7">
        <v>58.4</v>
      </c>
      <c r="AJ99" s="7">
        <v>19.7</v>
      </c>
      <c r="AK99" s="7">
        <v>101.27</v>
      </c>
      <c r="AL99" s="7">
        <v>10.5</v>
      </c>
      <c r="AM99" s="7">
        <v>4046</v>
      </c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1"/>
    </row>
    <row r="100" spans="1:64" ht="13">
      <c r="A100" s="6" t="s">
        <v>239</v>
      </c>
      <c r="B100" s="6" t="s">
        <v>240</v>
      </c>
      <c r="C100" s="31">
        <v>910</v>
      </c>
      <c r="D100" s="24">
        <v>328</v>
      </c>
      <c r="E100" s="24">
        <v>787</v>
      </c>
      <c r="F100" s="8">
        <v>41.7</v>
      </c>
      <c r="G100" s="9">
        <v>549</v>
      </c>
      <c r="H100" s="8">
        <v>37</v>
      </c>
      <c r="I100" s="8">
        <v>49</v>
      </c>
      <c r="J100" s="8">
        <v>66</v>
      </c>
      <c r="K100" s="8">
        <v>82.8</v>
      </c>
      <c r="L100" s="9">
        <v>49</v>
      </c>
      <c r="M100" s="9">
        <v>213</v>
      </c>
      <c r="N100" s="9">
        <v>262</v>
      </c>
      <c r="O100" s="9">
        <v>131</v>
      </c>
      <c r="P100" s="9">
        <v>90</v>
      </c>
      <c r="Q100" s="9">
        <v>66</v>
      </c>
      <c r="R100" s="9">
        <v>25</v>
      </c>
      <c r="S100" s="9">
        <v>131</v>
      </c>
      <c r="T100" s="8">
        <v>1615</v>
      </c>
      <c r="U100" s="8">
        <v>0</v>
      </c>
      <c r="V100" s="8">
        <v>0</v>
      </c>
      <c r="W100" s="7">
        <v>1.7</v>
      </c>
      <c r="X100" s="7">
        <v>112.3</v>
      </c>
      <c r="Y100" s="7">
        <v>110.1</v>
      </c>
      <c r="Z100" s="7">
        <v>2.2000000000000002</v>
      </c>
      <c r="AA100" s="7">
        <v>10.6</v>
      </c>
      <c r="AB100" s="7">
        <v>1.47</v>
      </c>
      <c r="AC100" s="7">
        <v>13</v>
      </c>
      <c r="AD100" s="7">
        <v>2.5</v>
      </c>
      <c r="AE100" s="7">
        <v>11.1</v>
      </c>
      <c r="AF100" s="7">
        <v>6.6</v>
      </c>
      <c r="AG100" s="7">
        <v>8.8000000000000007</v>
      </c>
      <c r="AH100" s="7">
        <v>54.6</v>
      </c>
      <c r="AI100" s="7">
        <v>56</v>
      </c>
      <c r="AJ100" s="7">
        <v>19.600000000000001</v>
      </c>
      <c r="AK100" s="7">
        <v>100.82</v>
      </c>
      <c r="AL100" s="7">
        <v>8.5</v>
      </c>
      <c r="AM100" s="7">
        <v>3937</v>
      </c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1"/>
    </row>
    <row r="101" spans="1:64" ht="13">
      <c r="A101" s="13" t="s">
        <v>241</v>
      </c>
      <c r="B101" s="6" t="s">
        <v>242</v>
      </c>
      <c r="C101" s="31">
        <v>906</v>
      </c>
      <c r="D101" s="24">
        <v>348</v>
      </c>
      <c r="E101" s="24">
        <v>744</v>
      </c>
      <c r="F101" s="8">
        <v>47</v>
      </c>
      <c r="G101" s="9">
        <v>240</v>
      </c>
      <c r="H101" s="8">
        <v>29.3</v>
      </c>
      <c r="I101" s="8">
        <v>138</v>
      </c>
      <c r="J101" s="8">
        <v>186</v>
      </c>
      <c r="K101" s="8">
        <v>75.099999999999994</v>
      </c>
      <c r="L101" s="9">
        <v>96</v>
      </c>
      <c r="M101" s="9">
        <v>270</v>
      </c>
      <c r="N101" s="9">
        <v>366</v>
      </c>
      <c r="O101" s="9">
        <v>108</v>
      </c>
      <c r="P101" s="9">
        <v>78</v>
      </c>
      <c r="Q101" s="9">
        <v>90</v>
      </c>
      <c r="R101" s="9">
        <v>30</v>
      </c>
      <c r="S101" s="9">
        <v>180</v>
      </c>
      <c r="T101" s="8">
        <v>1794</v>
      </c>
      <c r="U101" s="8">
        <v>10</v>
      </c>
      <c r="V101" s="8">
        <v>0</v>
      </c>
      <c r="W101" s="7">
        <v>-4.3</v>
      </c>
      <c r="X101" s="7">
        <v>110.7</v>
      </c>
      <c r="Y101" s="7">
        <v>116.4</v>
      </c>
      <c r="Z101" s="7">
        <v>-5.7</v>
      </c>
      <c r="AA101" s="7">
        <v>7.9</v>
      </c>
      <c r="AB101" s="7">
        <v>1.35</v>
      </c>
      <c r="AC101" s="7">
        <v>10.7</v>
      </c>
      <c r="AD101" s="7">
        <v>4.5999999999999996</v>
      </c>
      <c r="AE101" s="7">
        <v>14</v>
      </c>
      <c r="AF101" s="7">
        <v>9.1</v>
      </c>
      <c r="AG101" s="7">
        <v>8</v>
      </c>
      <c r="AH101" s="7">
        <v>51.8</v>
      </c>
      <c r="AI101" s="7">
        <v>55.1</v>
      </c>
      <c r="AJ101" s="7">
        <v>18.600000000000001</v>
      </c>
      <c r="AK101" s="7">
        <v>98.68</v>
      </c>
      <c r="AL101" s="7">
        <v>8.4</v>
      </c>
      <c r="AM101" s="7">
        <v>4266</v>
      </c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1"/>
    </row>
    <row r="102" spans="1:64" ht="13">
      <c r="A102" s="6" t="s">
        <v>243</v>
      </c>
      <c r="B102" s="6" t="s">
        <v>244</v>
      </c>
      <c r="C102" s="31">
        <v>901</v>
      </c>
      <c r="D102" s="24">
        <v>345</v>
      </c>
      <c r="E102" s="24">
        <v>694</v>
      </c>
      <c r="F102" s="8">
        <v>49.7</v>
      </c>
      <c r="G102" s="9">
        <v>265</v>
      </c>
      <c r="H102" s="8">
        <v>38.6</v>
      </c>
      <c r="I102" s="8">
        <v>111</v>
      </c>
      <c r="J102" s="8">
        <v>138</v>
      </c>
      <c r="K102" s="8">
        <v>80.3</v>
      </c>
      <c r="L102" s="9">
        <v>32</v>
      </c>
      <c r="M102" s="9">
        <v>143</v>
      </c>
      <c r="N102" s="9">
        <v>175</v>
      </c>
      <c r="O102" s="9">
        <v>196</v>
      </c>
      <c r="P102" s="9">
        <v>101</v>
      </c>
      <c r="Q102" s="9">
        <v>58</v>
      </c>
      <c r="R102" s="9">
        <v>27</v>
      </c>
      <c r="S102" s="9">
        <v>138</v>
      </c>
      <c r="T102" s="8">
        <v>1564</v>
      </c>
      <c r="U102" s="8">
        <v>1</v>
      </c>
      <c r="V102" s="8">
        <v>0</v>
      </c>
      <c r="W102" s="7">
        <v>-5.2</v>
      </c>
      <c r="X102" s="7">
        <v>110.6</v>
      </c>
      <c r="Y102" s="7">
        <v>118.6</v>
      </c>
      <c r="Z102" s="7">
        <v>-8</v>
      </c>
      <c r="AA102" s="7">
        <v>17.7</v>
      </c>
      <c r="AB102" s="7">
        <v>1.97</v>
      </c>
      <c r="AC102" s="7">
        <v>18.600000000000001</v>
      </c>
      <c r="AD102" s="7">
        <v>2.1</v>
      </c>
      <c r="AE102" s="7">
        <v>8.3000000000000007</v>
      </c>
      <c r="AF102" s="7">
        <v>5.4</v>
      </c>
      <c r="AG102" s="7">
        <v>9.4</v>
      </c>
      <c r="AH102" s="7">
        <v>57.1</v>
      </c>
      <c r="AI102" s="7">
        <v>59.8</v>
      </c>
      <c r="AJ102" s="7">
        <v>21.9</v>
      </c>
      <c r="AK102" s="7">
        <v>100.02</v>
      </c>
      <c r="AL102" s="7">
        <v>9.3000000000000007</v>
      </c>
      <c r="AM102" s="7">
        <v>3552</v>
      </c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1"/>
    </row>
    <row r="103" spans="1:64" ht="13">
      <c r="A103" s="6" t="s">
        <v>245</v>
      </c>
      <c r="B103" s="6" t="s">
        <v>246</v>
      </c>
      <c r="C103" s="31">
        <v>893</v>
      </c>
      <c r="D103" s="24">
        <v>296</v>
      </c>
      <c r="E103" s="24">
        <v>700</v>
      </c>
      <c r="F103" s="8">
        <v>42.3</v>
      </c>
      <c r="G103" s="9">
        <v>400</v>
      </c>
      <c r="H103" s="8">
        <v>34.6</v>
      </c>
      <c r="I103" s="8">
        <v>160</v>
      </c>
      <c r="J103" s="8">
        <v>183</v>
      </c>
      <c r="K103" s="8">
        <v>87.6</v>
      </c>
      <c r="L103" s="9">
        <v>71</v>
      </c>
      <c r="M103" s="9">
        <v>207</v>
      </c>
      <c r="N103" s="9">
        <v>277</v>
      </c>
      <c r="O103" s="9">
        <v>71</v>
      </c>
      <c r="P103" s="9">
        <v>66</v>
      </c>
      <c r="Q103" s="9">
        <v>33</v>
      </c>
      <c r="R103" s="9">
        <v>19</v>
      </c>
      <c r="S103" s="9">
        <v>80</v>
      </c>
      <c r="T103" s="8">
        <v>1415</v>
      </c>
      <c r="U103" s="8">
        <v>5</v>
      </c>
      <c r="V103" s="8">
        <v>0</v>
      </c>
      <c r="W103" s="7">
        <v>-4</v>
      </c>
      <c r="X103" s="7">
        <v>111.4</v>
      </c>
      <c r="Y103" s="7">
        <v>117.5</v>
      </c>
      <c r="Z103" s="7">
        <v>-6.1</v>
      </c>
      <c r="AA103" s="7">
        <v>7.4</v>
      </c>
      <c r="AB103" s="7">
        <v>1.06</v>
      </c>
      <c r="AC103" s="7">
        <v>7.7</v>
      </c>
      <c r="AD103" s="7">
        <v>4.5999999999999996</v>
      </c>
      <c r="AE103" s="7">
        <v>13.4</v>
      </c>
      <c r="AF103" s="7">
        <v>9</v>
      </c>
      <c r="AG103" s="7">
        <v>7.2</v>
      </c>
      <c r="AH103" s="7">
        <v>52.1</v>
      </c>
      <c r="AI103" s="7">
        <v>57.1</v>
      </c>
      <c r="AJ103" s="7">
        <v>23.1</v>
      </c>
      <c r="AK103" s="7">
        <v>101.64</v>
      </c>
      <c r="AL103" s="7">
        <v>10.3</v>
      </c>
      <c r="AM103" s="7">
        <v>3127</v>
      </c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1"/>
    </row>
    <row r="104" spans="1:64" ht="13">
      <c r="A104" s="6" t="s">
        <v>247</v>
      </c>
      <c r="B104" s="6" t="s">
        <v>248</v>
      </c>
      <c r="C104" s="31">
        <v>881</v>
      </c>
      <c r="D104" s="24">
        <v>328</v>
      </c>
      <c r="E104" s="24">
        <v>718</v>
      </c>
      <c r="F104" s="8">
        <v>45.8</v>
      </c>
      <c r="G104" s="9">
        <v>359</v>
      </c>
      <c r="H104" s="8">
        <v>37.5</v>
      </c>
      <c r="I104" s="8">
        <v>94</v>
      </c>
      <c r="J104" s="8">
        <v>125</v>
      </c>
      <c r="K104" s="8">
        <v>72.2</v>
      </c>
      <c r="L104" s="9">
        <v>172</v>
      </c>
      <c r="M104" s="9">
        <v>281</v>
      </c>
      <c r="N104" s="9">
        <v>452</v>
      </c>
      <c r="O104" s="9">
        <v>172</v>
      </c>
      <c r="P104" s="9">
        <v>109</v>
      </c>
      <c r="Q104" s="9">
        <v>117</v>
      </c>
      <c r="R104" s="9">
        <v>47</v>
      </c>
      <c r="S104" s="9">
        <v>226</v>
      </c>
      <c r="T104" s="8">
        <v>2075</v>
      </c>
      <c r="U104" s="8">
        <v>4</v>
      </c>
      <c r="V104" s="8">
        <v>0</v>
      </c>
      <c r="W104" s="7">
        <v>-1.5</v>
      </c>
      <c r="X104" s="7">
        <v>111.5</v>
      </c>
      <c r="Y104" s="7">
        <v>113.3</v>
      </c>
      <c r="Z104" s="7">
        <v>-1.8</v>
      </c>
      <c r="AA104" s="7">
        <v>9.6</v>
      </c>
      <c r="AB104" s="7">
        <v>1.61</v>
      </c>
      <c r="AC104" s="7">
        <v>16.600000000000001</v>
      </c>
      <c r="AD104" s="7">
        <v>6.3</v>
      </c>
      <c r="AE104" s="7">
        <v>11</v>
      </c>
      <c r="AF104" s="7">
        <v>8.6</v>
      </c>
      <c r="AG104" s="7">
        <v>10.3</v>
      </c>
      <c r="AH104" s="7">
        <v>55.2</v>
      </c>
      <c r="AI104" s="7">
        <v>57.2</v>
      </c>
      <c r="AJ104" s="7">
        <v>14.3</v>
      </c>
      <c r="AK104" s="7">
        <v>99.38</v>
      </c>
      <c r="AL104" s="7">
        <v>7.6</v>
      </c>
      <c r="AM104" s="7">
        <v>5267</v>
      </c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1"/>
    </row>
    <row r="105" spans="1:64" ht="13">
      <c r="A105" s="6" t="s">
        <v>249</v>
      </c>
      <c r="B105" s="6" t="s">
        <v>250</v>
      </c>
      <c r="C105" s="31">
        <v>875</v>
      </c>
      <c r="D105" s="24">
        <v>322</v>
      </c>
      <c r="E105" s="24">
        <v>616</v>
      </c>
      <c r="F105" s="8">
        <v>51.6</v>
      </c>
      <c r="G105" s="9">
        <v>252</v>
      </c>
      <c r="H105" s="8">
        <v>43.9</v>
      </c>
      <c r="I105" s="8">
        <v>126</v>
      </c>
      <c r="J105" s="8">
        <v>147</v>
      </c>
      <c r="K105" s="8">
        <v>87.2</v>
      </c>
      <c r="L105" s="9">
        <v>49</v>
      </c>
      <c r="M105" s="9">
        <v>126</v>
      </c>
      <c r="N105" s="9">
        <v>175</v>
      </c>
      <c r="O105" s="9">
        <v>238</v>
      </c>
      <c r="P105" s="9">
        <v>91</v>
      </c>
      <c r="Q105" s="9">
        <v>77</v>
      </c>
      <c r="R105" s="8">
        <v>0</v>
      </c>
      <c r="S105" s="9">
        <v>105</v>
      </c>
      <c r="T105" s="8">
        <v>1589</v>
      </c>
      <c r="U105" s="8">
        <v>0</v>
      </c>
      <c r="V105" s="8">
        <v>0</v>
      </c>
      <c r="W105" s="7">
        <v>4.3</v>
      </c>
      <c r="X105" s="14">
        <v>120.3</v>
      </c>
      <c r="Y105" s="14">
        <v>110.4</v>
      </c>
      <c r="Z105" s="14">
        <v>9.9</v>
      </c>
      <c r="AA105" s="14">
        <v>24.1</v>
      </c>
      <c r="AB105" s="14">
        <v>2.58</v>
      </c>
      <c r="AC105" s="14">
        <v>23.5</v>
      </c>
      <c r="AD105" s="14">
        <v>3.6</v>
      </c>
      <c r="AE105" s="14">
        <v>8.3000000000000007</v>
      </c>
      <c r="AF105" s="14">
        <v>6</v>
      </c>
      <c r="AG105" s="14">
        <v>9.1</v>
      </c>
      <c r="AH105" s="14">
        <v>60.6</v>
      </c>
      <c r="AI105" s="14">
        <v>64.3</v>
      </c>
      <c r="AJ105" s="14">
        <v>22.9</v>
      </c>
      <c r="AK105" s="14">
        <v>101.92</v>
      </c>
      <c r="AL105" s="14">
        <v>13.4</v>
      </c>
      <c r="AM105" s="14">
        <v>2960</v>
      </c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5"/>
    </row>
    <row r="106" spans="1:64" ht="13">
      <c r="A106" s="6" t="s">
        <v>251</v>
      </c>
      <c r="B106" s="6" t="s">
        <v>252</v>
      </c>
      <c r="C106" s="31">
        <v>871</v>
      </c>
      <c r="D106" s="24">
        <v>328</v>
      </c>
      <c r="E106" s="24">
        <v>831</v>
      </c>
      <c r="F106" s="8">
        <v>39.4</v>
      </c>
      <c r="G106" s="9">
        <v>342</v>
      </c>
      <c r="H106" s="8">
        <v>30.8</v>
      </c>
      <c r="I106" s="8">
        <v>114</v>
      </c>
      <c r="J106" s="8">
        <v>168</v>
      </c>
      <c r="K106" s="8">
        <v>67.900000000000006</v>
      </c>
      <c r="L106" s="9">
        <v>127</v>
      </c>
      <c r="M106" s="9">
        <v>308</v>
      </c>
      <c r="N106" s="9">
        <v>436</v>
      </c>
      <c r="O106" s="9">
        <v>161</v>
      </c>
      <c r="P106" s="9">
        <v>114</v>
      </c>
      <c r="Q106" s="9">
        <v>47</v>
      </c>
      <c r="R106" s="9">
        <v>101</v>
      </c>
      <c r="S106" s="9">
        <v>147</v>
      </c>
      <c r="T106" s="8">
        <v>1956</v>
      </c>
      <c r="U106" s="8">
        <v>10</v>
      </c>
      <c r="V106" s="8">
        <v>0</v>
      </c>
      <c r="W106" s="7">
        <v>-8.1</v>
      </c>
      <c r="X106" s="7">
        <v>102.7</v>
      </c>
      <c r="Y106" s="7">
        <v>116.4</v>
      </c>
      <c r="Z106" s="7">
        <v>-13.7</v>
      </c>
      <c r="AA106" s="7">
        <v>13.9</v>
      </c>
      <c r="AB106" s="7">
        <v>1.41</v>
      </c>
      <c r="AC106" s="7">
        <v>13.7</v>
      </c>
      <c r="AD106" s="7">
        <v>6</v>
      </c>
      <c r="AE106" s="7">
        <v>15.8</v>
      </c>
      <c r="AF106" s="7">
        <v>10.8</v>
      </c>
      <c r="AG106" s="7">
        <v>9.6999999999999993</v>
      </c>
      <c r="AH106" s="7">
        <v>45.7</v>
      </c>
      <c r="AI106" s="7">
        <v>48.2</v>
      </c>
      <c r="AJ106" s="7">
        <v>23</v>
      </c>
      <c r="AK106" s="7">
        <v>104.3</v>
      </c>
      <c r="AL106" s="7">
        <v>8.4</v>
      </c>
      <c r="AM106" s="7">
        <v>3939</v>
      </c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1"/>
    </row>
    <row r="107" spans="1:64" ht="13">
      <c r="A107" s="6" t="s">
        <v>253</v>
      </c>
      <c r="B107" s="6" t="s">
        <v>254</v>
      </c>
      <c r="C107" s="31">
        <v>869</v>
      </c>
      <c r="D107" s="24">
        <v>284</v>
      </c>
      <c r="E107" s="24">
        <v>679</v>
      </c>
      <c r="F107" s="8">
        <v>41.6</v>
      </c>
      <c r="G107" s="9">
        <v>324</v>
      </c>
      <c r="H107" s="8">
        <v>33.4</v>
      </c>
      <c r="I107" s="8">
        <v>198</v>
      </c>
      <c r="J107" s="8">
        <v>245</v>
      </c>
      <c r="K107" s="8">
        <v>80.2</v>
      </c>
      <c r="L107" s="9">
        <v>16</v>
      </c>
      <c r="M107" s="9">
        <v>190</v>
      </c>
      <c r="N107" s="9">
        <v>205</v>
      </c>
      <c r="O107" s="9">
        <v>348</v>
      </c>
      <c r="P107" s="9">
        <v>103</v>
      </c>
      <c r="Q107" s="9">
        <v>71</v>
      </c>
      <c r="R107" s="9">
        <v>16</v>
      </c>
      <c r="S107" s="9">
        <v>119</v>
      </c>
      <c r="T107" s="8">
        <v>1809</v>
      </c>
      <c r="U107" s="8">
        <v>5</v>
      </c>
      <c r="V107" s="8">
        <v>0</v>
      </c>
      <c r="W107" s="7">
        <v>-2.8</v>
      </c>
      <c r="X107" s="7">
        <v>110.1</v>
      </c>
      <c r="Y107" s="7">
        <v>115.1</v>
      </c>
      <c r="Z107" s="7">
        <v>-5</v>
      </c>
      <c r="AA107" s="7">
        <v>22.8</v>
      </c>
      <c r="AB107" s="7">
        <v>3.42</v>
      </c>
      <c r="AC107" s="7">
        <v>28.3</v>
      </c>
      <c r="AD107" s="7">
        <v>0.8</v>
      </c>
      <c r="AE107" s="7">
        <v>8.6</v>
      </c>
      <c r="AF107" s="7">
        <v>4.8</v>
      </c>
      <c r="AG107" s="7">
        <v>8.3000000000000007</v>
      </c>
      <c r="AH107" s="7">
        <v>49.6</v>
      </c>
      <c r="AI107" s="7">
        <v>55.3</v>
      </c>
      <c r="AJ107" s="7">
        <v>17.5</v>
      </c>
      <c r="AK107" s="7">
        <v>101.4</v>
      </c>
      <c r="AL107" s="7">
        <v>8.9</v>
      </c>
      <c r="AM107" s="7">
        <v>4515</v>
      </c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1"/>
    </row>
    <row r="108" spans="1:64" ht="13">
      <c r="A108" s="6" t="s">
        <v>255</v>
      </c>
      <c r="B108" s="6" t="s">
        <v>256</v>
      </c>
      <c r="C108" s="31">
        <v>864</v>
      </c>
      <c r="D108" s="24">
        <v>338</v>
      </c>
      <c r="E108" s="24">
        <v>511</v>
      </c>
      <c r="F108" s="8">
        <v>66.900000000000006</v>
      </c>
      <c r="G108" s="8">
        <v>0</v>
      </c>
      <c r="H108" s="8">
        <v>0</v>
      </c>
      <c r="I108" s="8">
        <v>187</v>
      </c>
      <c r="J108" s="8">
        <v>274</v>
      </c>
      <c r="K108" s="8">
        <v>67.400000000000006</v>
      </c>
      <c r="L108" s="9">
        <v>266</v>
      </c>
      <c r="M108" s="9">
        <v>518</v>
      </c>
      <c r="N108" s="9">
        <v>785</v>
      </c>
      <c r="O108" s="9">
        <v>130</v>
      </c>
      <c r="P108" s="9">
        <v>86</v>
      </c>
      <c r="Q108" s="9">
        <v>58</v>
      </c>
      <c r="R108" s="9">
        <v>101</v>
      </c>
      <c r="S108" s="9">
        <v>180</v>
      </c>
      <c r="T108" s="8">
        <v>2390</v>
      </c>
      <c r="U108" s="8">
        <v>36</v>
      </c>
      <c r="V108" s="8">
        <v>0</v>
      </c>
      <c r="W108" s="7">
        <v>4.5</v>
      </c>
      <c r="X108" s="7">
        <v>114.3</v>
      </c>
      <c r="Y108" s="7">
        <v>107.6</v>
      </c>
      <c r="Z108" s="7">
        <v>6.7</v>
      </c>
      <c r="AA108" s="7">
        <v>7.5</v>
      </c>
      <c r="AB108" s="7">
        <v>1.43</v>
      </c>
      <c r="AC108" s="7">
        <v>14.9</v>
      </c>
      <c r="AD108" s="7">
        <v>11.1</v>
      </c>
      <c r="AE108" s="7">
        <v>21</v>
      </c>
      <c r="AF108" s="7">
        <v>16.100000000000001</v>
      </c>
      <c r="AG108" s="7">
        <v>10.5</v>
      </c>
      <c r="AH108" s="7">
        <v>66.900000000000006</v>
      </c>
      <c r="AI108" s="7">
        <v>68.7</v>
      </c>
      <c r="AJ108" s="7">
        <v>12.9</v>
      </c>
      <c r="AK108" s="7">
        <v>97.63</v>
      </c>
      <c r="AL108" s="7">
        <v>12.6</v>
      </c>
      <c r="AM108" s="7">
        <v>4858</v>
      </c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1"/>
    </row>
    <row r="109" spans="1:64" ht="13">
      <c r="A109" s="13" t="s">
        <v>257</v>
      </c>
      <c r="B109" s="6" t="s">
        <v>258</v>
      </c>
      <c r="C109" s="31">
        <v>847</v>
      </c>
      <c r="D109" s="24">
        <v>277</v>
      </c>
      <c r="E109" s="24">
        <v>678</v>
      </c>
      <c r="F109" s="8">
        <v>40.6</v>
      </c>
      <c r="G109" s="9">
        <v>454</v>
      </c>
      <c r="H109" s="8">
        <v>36.799999999999997</v>
      </c>
      <c r="I109" s="8">
        <v>123</v>
      </c>
      <c r="J109" s="8">
        <v>146</v>
      </c>
      <c r="K109" s="8">
        <v>85.5</v>
      </c>
      <c r="L109" s="9">
        <v>15</v>
      </c>
      <c r="M109" s="9">
        <v>162</v>
      </c>
      <c r="N109" s="9">
        <v>185</v>
      </c>
      <c r="O109" s="9">
        <v>123</v>
      </c>
      <c r="P109" s="9">
        <v>46</v>
      </c>
      <c r="Q109" s="9">
        <v>39</v>
      </c>
      <c r="R109" s="9">
        <v>8</v>
      </c>
      <c r="S109" s="9">
        <v>92</v>
      </c>
      <c r="T109" s="8">
        <v>1332</v>
      </c>
      <c r="U109" s="8">
        <v>0</v>
      </c>
      <c r="V109" s="8">
        <v>0</v>
      </c>
      <c r="W109" s="7">
        <v>0.3</v>
      </c>
      <c r="X109" s="7">
        <v>113.8</v>
      </c>
      <c r="Y109" s="7">
        <v>114.2</v>
      </c>
      <c r="Z109" s="7">
        <v>-0.5</v>
      </c>
      <c r="AA109" s="7">
        <v>7.4</v>
      </c>
      <c r="AB109" s="7">
        <v>2.56</v>
      </c>
      <c r="AC109" s="7">
        <v>13.6</v>
      </c>
      <c r="AD109" s="7">
        <v>0.8</v>
      </c>
      <c r="AE109" s="7">
        <v>7.5</v>
      </c>
      <c r="AF109" s="7">
        <v>4.2</v>
      </c>
      <c r="AG109" s="7">
        <v>5.3</v>
      </c>
      <c r="AH109" s="7">
        <v>52.9</v>
      </c>
      <c r="AI109" s="7">
        <v>56.7</v>
      </c>
      <c r="AJ109" s="7">
        <v>15.1</v>
      </c>
      <c r="AK109" s="7">
        <v>100.66</v>
      </c>
      <c r="AL109" s="7">
        <v>6.6</v>
      </c>
      <c r="AM109" s="7">
        <v>4535</v>
      </c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1"/>
    </row>
    <row r="110" spans="1:64" ht="13">
      <c r="A110" s="6" t="s">
        <v>259</v>
      </c>
      <c r="B110" s="6" t="s">
        <v>260</v>
      </c>
      <c r="C110" s="31">
        <v>846</v>
      </c>
      <c r="D110" s="24">
        <v>288</v>
      </c>
      <c r="E110" s="24">
        <v>762</v>
      </c>
      <c r="F110" s="8">
        <v>37.799999999999997</v>
      </c>
      <c r="G110" s="9">
        <v>462</v>
      </c>
      <c r="H110" s="8">
        <v>34.5</v>
      </c>
      <c r="I110" s="8">
        <v>114</v>
      </c>
      <c r="J110" s="8">
        <v>138</v>
      </c>
      <c r="K110" s="8">
        <v>81</v>
      </c>
      <c r="L110" s="9">
        <v>30</v>
      </c>
      <c r="M110" s="9">
        <v>192</v>
      </c>
      <c r="N110" s="9">
        <v>222</v>
      </c>
      <c r="O110" s="9">
        <v>336</v>
      </c>
      <c r="P110" s="9">
        <v>90</v>
      </c>
      <c r="Q110" s="9">
        <v>96</v>
      </c>
      <c r="R110" s="9">
        <v>24</v>
      </c>
      <c r="S110" s="9">
        <v>138</v>
      </c>
      <c r="T110" s="8">
        <v>1878</v>
      </c>
      <c r="U110" s="8">
        <v>4</v>
      </c>
      <c r="V110" s="8">
        <v>0</v>
      </c>
      <c r="W110" s="7">
        <v>4.4000000000000004</v>
      </c>
      <c r="X110" s="7">
        <v>115</v>
      </c>
      <c r="Y110" s="7">
        <v>108.8</v>
      </c>
      <c r="Z110" s="7">
        <v>6.2</v>
      </c>
      <c r="AA110" s="7">
        <v>21.7</v>
      </c>
      <c r="AB110" s="7">
        <v>3.83</v>
      </c>
      <c r="AC110" s="7">
        <v>27</v>
      </c>
      <c r="AD110" s="7">
        <v>1.4</v>
      </c>
      <c r="AE110" s="7">
        <v>8.9</v>
      </c>
      <c r="AF110" s="7">
        <v>4.9000000000000004</v>
      </c>
      <c r="AG110" s="7">
        <v>7.1</v>
      </c>
      <c r="AH110" s="7">
        <v>48.3</v>
      </c>
      <c r="AI110" s="7">
        <v>51.5</v>
      </c>
      <c r="AJ110" s="7">
        <v>17.600000000000001</v>
      </c>
      <c r="AK110" s="7">
        <v>98.18</v>
      </c>
      <c r="AL110" s="7">
        <v>9.3000000000000007</v>
      </c>
      <c r="AM110" s="7">
        <v>4316</v>
      </c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1"/>
    </row>
    <row r="111" spans="1:64" ht="13">
      <c r="A111" s="6" t="s">
        <v>261</v>
      </c>
      <c r="B111" s="6" t="s">
        <v>262</v>
      </c>
      <c r="C111" s="31">
        <v>842</v>
      </c>
      <c r="D111" s="24">
        <v>348</v>
      </c>
      <c r="E111" s="24">
        <v>624</v>
      </c>
      <c r="F111" s="8">
        <v>55</v>
      </c>
      <c r="G111" s="9">
        <v>41</v>
      </c>
      <c r="H111" s="8">
        <v>21.6</v>
      </c>
      <c r="I111" s="8">
        <v>146</v>
      </c>
      <c r="J111" s="8">
        <v>162</v>
      </c>
      <c r="K111" s="8">
        <v>87.9</v>
      </c>
      <c r="L111" s="9">
        <v>186</v>
      </c>
      <c r="M111" s="9">
        <v>437</v>
      </c>
      <c r="N111" s="9">
        <v>624</v>
      </c>
      <c r="O111" s="9">
        <v>162</v>
      </c>
      <c r="P111" s="9">
        <v>122</v>
      </c>
      <c r="Q111" s="9">
        <v>41</v>
      </c>
      <c r="R111" s="9">
        <v>49</v>
      </c>
      <c r="S111" s="9">
        <v>178</v>
      </c>
      <c r="T111" s="8">
        <v>1968</v>
      </c>
      <c r="U111" s="8">
        <v>21</v>
      </c>
      <c r="V111" s="8">
        <v>0</v>
      </c>
      <c r="W111" s="7">
        <v>-3.8</v>
      </c>
      <c r="X111" s="7">
        <v>109.2</v>
      </c>
      <c r="Y111" s="7">
        <v>118.8</v>
      </c>
      <c r="Z111" s="7">
        <v>-9.6</v>
      </c>
      <c r="AA111" s="7">
        <v>17.100000000000001</v>
      </c>
      <c r="AB111" s="7">
        <v>1.37</v>
      </c>
      <c r="AC111" s="7">
        <v>16.600000000000001</v>
      </c>
      <c r="AD111" s="7">
        <v>12.2</v>
      </c>
      <c r="AE111" s="7">
        <v>28.6</v>
      </c>
      <c r="AF111" s="7">
        <v>20.3</v>
      </c>
      <c r="AG111" s="7">
        <v>12.2</v>
      </c>
      <c r="AH111" s="7">
        <v>55.7</v>
      </c>
      <c r="AI111" s="7">
        <v>60.2</v>
      </c>
      <c r="AJ111" s="7">
        <v>22.2</v>
      </c>
      <c r="AK111" s="7">
        <v>101.28</v>
      </c>
      <c r="AL111" s="7">
        <v>14.7</v>
      </c>
      <c r="AM111" s="7">
        <v>3217</v>
      </c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1"/>
    </row>
    <row r="112" spans="1:64" ht="13">
      <c r="A112" s="13" t="s">
        <v>263</v>
      </c>
      <c r="B112" s="6" t="s">
        <v>264</v>
      </c>
      <c r="C112" s="31">
        <v>838</v>
      </c>
      <c r="D112" s="24">
        <v>302</v>
      </c>
      <c r="E112" s="24">
        <v>667</v>
      </c>
      <c r="F112" s="8">
        <v>45.3</v>
      </c>
      <c r="G112" s="9">
        <v>239</v>
      </c>
      <c r="H112" s="8">
        <v>38.1</v>
      </c>
      <c r="I112" s="8">
        <v>143</v>
      </c>
      <c r="J112" s="8">
        <v>200</v>
      </c>
      <c r="K112" s="8">
        <v>72.2</v>
      </c>
      <c r="L112" s="9">
        <v>80</v>
      </c>
      <c r="M112" s="9">
        <v>359</v>
      </c>
      <c r="N112" s="9">
        <v>445</v>
      </c>
      <c r="O112" s="9">
        <v>131</v>
      </c>
      <c r="P112" s="9">
        <v>120</v>
      </c>
      <c r="Q112" s="9">
        <v>63</v>
      </c>
      <c r="R112" s="9">
        <v>63</v>
      </c>
      <c r="S112" s="9">
        <v>131</v>
      </c>
      <c r="T112" s="8">
        <v>1813</v>
      </c>
      <c r="U112" s="8">
        <v>14</v>
      </c>
      <c r="V112" s="8">
        <v>0</v>
      </c>
      <c r="W112" s="7">
        <v>0.9</v>
      </c>
      <c r="X112" s="7">
        <v>114.2</v>
      </c>
      <c r="Y112" s="7">
        <v>113.2</v>
      </c>
      <c r="Z112" s="7">
        <v>1.1000000000000001</v>
      </c>
      <c r="AA112" s="7">
        <v>9.8000000000000007</v>
      </c>
      <c r="AB112" s="7">
        <v>1.1100000000000001</v>
      </c>
      <c r="AC112" s="7">
        <v>13.1</v>
      </c>
      <c r="AD112" s="7">
        <v>4.4000000000000004</v>
      </c>
      <c r="AE112" s="7">
        <v>18.3</v>
      </c>
      <c r="AF112" s="7">
        <v>11.5</v>
      </c>
      <c r="AG112" s="7">
        <v>11.8</v>
      </c>
      <c r="AH112" s="7">
        <v>52.1</v>
      </c>
      <c r="AI112" s="7">
        <v>55.6</v>
      </c>
      <c r="AJ112" s="7">
        <v>19.8</v>
      </c>
      <c r="AK112" s="7">
        <v>101.66</v>
      </c>
      <c r="AL112" s="7">
        <v>9.6999999999999993</v>
      </c>
      <c r="AM112" s="7">
        <v>3889</v>
      </c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1"/>
    </row>
    <row r="113" spans="1:64" ht="13">
      <c r="A113" s="6" t="s">
        <v>265</v>
      </c>
      <c r="B113" s="6" t="s">
        <v>266</v>
      </c>
      <c r="C113" s="31">
        <v>838</v>
      </c>
      <c r="D113" s="24">
        <v>284</v>
      </c>
      <c r="E113" s="24">
        <v>686</v>
      </c>
      <c r="F113" s="8">
        <v>41.9</v>
      </c>
      <c r="G113" s="9">
        <v>297</v>
      </c>
      <c r="H113" s="8">
        <v>35.4</v>
      </c>
      <c r="I113" s="8">
        <v>158</v>
      </c>
      <c r="J113" s="8">
        <v>205</v>
      </c>
      <c r="K113" s="8">
        <v>76.7</v>
      </c>
      <c r="L113" s="9">
        <v>53</v>
      </c>
      <c r="M113" s="9">
        <v>145</v>
      </c>
      <c r="N113" s="9">
        <v>198</v>
      </c>
      <c r="O113" s="9">
        <v>337</v>
      </c>
      <c r="P113" s="9">
        <v>178</v>
      </c>
      <c r="Q113" s="9">
        <v>66</v>
      </c>
      <c r="R113" s="9">
        <v>13</v>
      </c>
      <c r="S113" s="9">
        <v>178</v>
      </c>
      <c r="T113" s="8">
        <v>1643</v>
      </c>
      <c r="U113" s="8">
        <v>2</v>
      </c>
      <c r="V113" s="8">
        <v>0</v>
      </c>
      <c r="W113" s="7">
        <v>-0.6</v>
      </c>
      <c r="X113" s="7">
        <v>112.5</v>
      </c>
      <c r="Y113" s="7">
        <v>113.7</v>
      </c>
      <c r="Z113" s="7">
        <v>-1.3</v>
      </c>
      <c r="AA113" s="7">
        <v>27.4</v>
      </c>
      <c r="AB113" s="7">
        <v>1.89</v>
      </c>
      <c r="AC113" s="7">
        <v>25.9</v>
      </c>
      <c r="AD113" s="7">
        <v>2.8</v>
      </c>
      <c r="AE113" s="7">
        <v>8.3000000000000007</v>
      </c>
      <c r="AF113" s="7">
        <v>5.4</v>
      </c>
      <c r="AG113" s="7">
        <v>13.7</v>
      </c>
      <c r="AH113" s="7">
        <v>49.6</v>
      </c>
      <c r="AI113" s="7">
        <v>54</v>
      </c>
      <c r="AJ113" s="7">
        <v>22</v>
      </c>
      <c r="AK113" s="7">
        <v>100.99</v>
      </c>
      <c r="AL113" s="7">
        <v>8.4</v>
      </c>
      <c r="AM113" s="7">
        <v>3705</v>
      </c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1"/>
    </row>
    <row r="114" spans="1:64" ht="13">
      <c r="A114" s="6" t="s">
        <v>267</v>
      </c>
      <c r="B114" s="6" t="s">
        <v>268</v>
      </c>
      <c r="C114" s="31">
        <v>837</v>
      </c>
      <c r="D114" s="24">
        <v>300</v>
      </c>
      <c r="E114" s="24">
        <v>782</v>
      </c>
      <c r="F114" s="8">
        <v>38.9</v>
      </c>
      <c r="G114" s="9">
        <v>403</v>
      </c>
      <c r="H114" s="8">
        <v>31.4</v>
      </c>
      <c r="I114" s="8">
        <v>111</v>
      </c>
      <c r="J114" s="8">
        <v>142</v>
      </c>
      <c r="K114" s="8">
        <v>77</v>
      </c>
      <c r="L114" s="9">
        <v>63</v>
      </c>
      <c r="M114" s="9">
        <v>237</v>
      </c>
      <c r="N114" s="9">
        <v>300</v>
      </c>
      <c r="O114" s="9">
        <v>174</v>
      </c>
      <c r="P114" s="9">
        <v>119</v>
      </c>
      <c r="Q114" s="9">
        <v>79</v>
      </c>
      <c r="R114" s="9">
        <v>32</v>
      </c>
      <c r="S114" s="9">
        <v>205</v>
      </c>
      <c r="T114" s="8">
        <v>1675</v>
      </c>
      <c r="U114" s="8">
        <v>0</v>
      </c>
      <c r="V114" s="8">
        <v>0</v>
      </c>
      <c r="W114" s="7">
        <v>-5.4</v>
      </c>
      <c r="X114" s="7">
        <v>104.1</v>
      </c>
      <c r="Y114" s="7">
        <v>114.4</v>
      </c>
      <c r="Z114" s="7">
        <v>-10.3</v>
      </c>
      <c r="AA114" s="7">
        <v>14.8</v>
      </c>
      <c r="AB114" s="7">
        <v>1.51</v>
      </c>
      <c r="AC114" s="7">
        <v>15.5</v>
      </c>
      <c r="AD114" s="7">
        <v>3.1</v>
      </c>
      <c r="AE114" s="7">
        <v>12.5</v>
      </c>
      <c r="AF114" s="7">
        <v>7.6</v>
      </c>
      <c r="AG114" s="7">
        <v>10.3</v>
      </c>
      <c r="AH114" s="7">
        <v>47</v>
      </c>
      <c r="AI114" s="7">
        <v>49.9</v>
      </c>
      <c r="AJ114" s="7">
        <v>21.2</v>
      </c>
      <c r="AK114" s="7">
        <v>98.77</v>
      </c>
      <c r="AL114" s="7">
        <v>7</v>
      </c>
      <c r="AM114" s="7">
        <v>3954</v>
      </c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1"/>
    </row>
    <row r="115" spans="1:64" ht="13">
      <c r="A115" s="6" t="s">
        <v>269</v>
      </c>
      <c r="B115" s="6" t="s">
        <v>270</v>
      </c>
      <c r="C115" s="31">
        <v>830</v>
      </c>
      <c r="D115" s="24">
        <v>316</v>
      </c>
      <c r="E115" s="24">
        <v>600</v>
      </c>
      <c r="F115" s="8">
        <v>52.9</v>
      </c>
      <c r="G115" s="9">
        <v>300</v>
      </c>
      <c r="H115" s="8">
        <v>36.5</v>
      </c>
      <c r="I115" s="8">
        <v>87</v>
      </c>
      <c r="J115" s="8">
        <v>111</v>
      </c>
      <c r="K115" s="8">
        <v>78.099999999999994</v>
      </c>
      <c r="L115" s="9">
        <v>55</v>
      </c>
      <c r="M115" s="9">
        <v>261</v>
      </c>
      <c r="N115" s="9">
        <v>316</v>
      </c>
      <c r="O115" s="9">
        <v>126</v>
      </c>
      <c r="P115" s="9">
        <v>71</v>
      </c>
      <c r="Q115" s="9">
        <v>47</v>
      </c>
      <c r="R115" s="9">
        <v>32</v>
      </c>
      <c r="S115" s="9">
        <v>111</v>
      </c>
      <c r="T115" s="8">
        <v>1564</v>
      </c>
      <c r="U115" s="8">
        <v>2</v>
      </c>
      <c r="V115" s="8">
        <v>0</v>
      </c>
      <c r="W115" s="7">
        <v>-1</v>
      </c>
      <c r="X115" s="7">
        <v>113.6</v>
      </c>
      <c r="Y115" s="7">
        <v>116.1</v>
      </c>
      <c r="Z115" s="7">
        <v>-2.6</v>
      </c>
      <c r="AA115" s="7">
        <v>11.6</v>
      </c>
      <c r="AB115" s="7">
        <v>1.88</v>
      </c>
      <c r="AC115" s="7">
        <v>15.2</v>
      </c>
      <c r="AD115" s="7">
        <v>3.6</v>
      </c>
      <c r="AE115" s="7">
        <v>16.7</v>
      </c>
      <c r="AF115" s="7">
        <v>10.1</v>
      </c>
      <c r="AG115" s="7">
        <v>8.1</v>
      </c>
      <c r="AH115" s="7">
        <v>62.1</v>
      </c>
      <c r="AI115" s="7">
        <v>64.2</v>
      </c>
      <c r="AJ115" s="7">
        <v>19.100000000000001</v>
      </c>
      <c r="AK115" s="7">
        <v>103.97</v>
      </c>
      <c r="AL115" s="7">
        <v>11.5</v>
      </c>
      <c r="AM115" s="7">
        <v>3350</v>
      </c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1"/>
    </row>
    <row r="116" spans="1:64" ht="13">
      <c r="A116" s="6" t="s">
        <v>271</v>
      </c>
      <c r="B116" s="6" t="s">
        <v>272</v>
      </c>
      <c r="C116" s="31">
        <v>827</v>
      </c>
      <c r="D116" s="24">
        <v>365</v>
      </c>
      <c r="E116" s="24">
        <v>581</v>
      </c>
      <c r="F116" s="8">
        <v>62.7</v>
      </c>
      <c r="G116" s="9">
        <v>6</v>
      </c>
      <c r="H116" s="8">
        <v>33.299999999999997</v>
      </c>
      <c r="I116" s="8">
        <v>97</v>
      </c>
      <c r="J116" s="8">
        <v>143</v>
      </c>
      <c r="K116" s="8">
        <v>67.400000000000006</v>
      </c>
      <c r="L116" s="9">
        <v>188</v>
      </c>
      <c r="M116" s="9">
        <v>359</v>
      </c>
      <c r="N116" s="9">
        <v>547</v>
      </c>
      <c r="O116" s="9">
        <v>160</v>
      </c>
      <c r="P116" s="9">
        <v>108</v>
      </c>
      <c r="Q116" s="9">
        <v>68</v>
      </c>
      <c r="R116" s="9">
        <v>68</v>
      </c>
      <c r="S116" s="9">
        <v>177</v>
      </c>
      <c r="T116" s="8">
        <v>2018</v>
      </c>
      <c r="U116" s="8">
        <v>23</v>
      </c>
      <c r="V116" s="8">
        <v>0</v>
      </c>
      <c r="W116" s="7">
        <v>-0.6</v>
      </c>
      <c r="X116" s="7">
        <v>111.2</v>
      </c>
      <c r="Y116" s="7">
        <v>111.9</v>
      </c>
      <c r="Z116" s="7">
        <v>-0.7</v>
      </c>
      <c r="AA116" s="7">
        <v>13.6</v>
      </c>
      <c r="AB116" s="7">
        <v>1.42</v>
      </c>
      <c r="AC116" s="7">
        <v>17.399999999999999</v>
      </c>
      <c r="AD116" s="7">
        <v>11</v>
      </c>
      <c r="AE116" s="7">
        <v>20.6</v>
      </c>
      <c r="AF116" s="7">
        <v>15.8</v>
      </c>
      <c r="AG116" s="7">
        <v>12.2</v>
      </c>
      <c r="AH116" s="7">
        <v>62.8</v>
      </c>
      <c r="AI116" s="7">
        <v>64.099999999999994</v>
      </c>
      <c r="AJ116" s="7">
        <v>18.399999999999999</v>
      </c>
      <c r="AK116" s="7">
        <v>101.44</v>
      </c>
      <c r="AL116" s="7">
        <v>13.3</v>
      </c>
      <c r="AM116" s="7">
        <v>3557</v>
      </c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1"/>
    </row>
    <row r="117" spans="1:64" ht="13">
      <c r="A117" s="6" t="s">
        <v>273</v>
      </c>
      <c r="B117" s="6" t="s">
        <v>274</v>
      </c>
      <c r="C117" s="31">
        <v>826</v>
      </c>
      <c r="D117" s="24">
        <v>308</v>
      </c>
      <c r="E117" s="24">
        <v>680</v>
      </c>
      <c r="F117" s="8">
        <v>44.8</v>
      </c>
      <c r="G117" s="9">
        <v>405</v>
      </c>
      <c r="H117" s="8">
        <v>41.4</v>
      </c>
      <c r="I117" s="8">
        <v>49</v>
      </c>
      <c r="J117" s="8">
        <v>57</v>
      </c>
      <c r="K117" s="8">
        <v>89.5</v>
      </c>
      <c r="L117" s="9">
        <v>41</v>
      </c>
      <c r="M117" s="9">
        <v>154</v>
      </c>
      <c r="N117" s="9">
        <v>194</v>
      </c>
      <c r="O117" s="9">
        <v>429</v>
      </c>
      <c r="P117" s="9">
        <v>89</v>
      </c>
      <c r="Q117" s="9">
        <v>73</v>
      </c>
      <c r="R117" s="9">
        <v>8</v>
      </c>
      <c r="S117" s="9">
        <v>65</v>
      </c>
      <c r="T117" s="8">
        <v>1847</v>
      </c>
      <c r="U117" s="8">
        <v>6</v>
      </c>
      <c r="V117" s="8">
        <v>0</v>
      </c>
      <c r="W117" s="7">
        <v>-1.1000000000000001</v>
      </c>
      <c r="X117" s="7">
        <v>113.6</v>
      </c>
      <c r="Y117" s="7">
        <v>116.1</v>
      </c>
      <c r="Z117" s="7">
        <v>-2.5</v>
      </c>
      <c r="AA117" s="7">
        <v>27.6</v>
      </c>
      <c r="AB117" s="7">
        <v>4.71</v>
      </c>
      <c r="AC117" s="7">
        <v>34.9</v>
      </c>
      <c r="AD117" s="7">
        <v>1.9</v>
      </c>
      <c r="AE117" s="7">
        <v>6.9</v>
      </c>
      <c r="AF117" s="7">
        <v>4.5</v>
      </c>
      <c r="AG117" s="7">
        <v>7.4</v>
      </c>
      <c r="AH117" s="7">
        <v>57</v>
      </c>
      <c r="AI117" s="7">
        <v>58.5</v>
      </c>
      <c r="AJ117" s="7">
        <v>16</v>
      </c>
      <c r="AK117" s="7">
        <v>99.19</v>
      </c>
      <c r="AL117" s="7">
        <v>9.9</v>
      </c>
      <c r="AM117" s="7">
        <v>4500</v>
      </c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1"/>
    </row>
    <row r="118" spans="1:64" ht="13">
      <c r="A118" s="6" t="s">
        <v>275</v>
      </c>
      <c r="B118" s="6" t="s">
        <v>276</v>
      </c>
      <c r="C118" s="31">
        <v>822</v>
      </c>
      <c r="D118" s="24">
        <v>284</v>
      </c>
      <c r="E118" s="24">
        <v>679</v>
      </c>
      <c r="F118" s="8">
        <v>42.5</v>
      </c>
      <c r="G118" s="9">
        <v>395</v>
      </c>
      <c r="H118" s="8">
        <v>35.200000000000003</v>
      </c>
      <c r="I118" s="8">
        <v>111</v>
      </c>
      <c r="J118" s="8">
        <v>134</v>
      </c>
      <c r="K118" s="8">
        <v>82.2</v>
      </c>
      <c r="L118" s="9">
        <v>87</v>
      </c>
      <c r="M118" s="9">
        <v>182</v>
      </c>
      <c r="N118" s="9">
        <v>269</v>
      </c>
      <c r="O118" s="9">
        <v>134</v>
      </c>
      <c r="P118" s="9">
        <v>71</v>
      </c>
      <c r="Q118" s="9">
        <v>47</v>
      </c>
      <c r="R118" s="9">
        <v>8</v>
      </c>
      <c r="S118" s="9">
        <v>142</v>
      </c>
      <c r="T118" s="8">
        <v>1438</v>
      </c>
      <c r="U118" s="8">
        <v>1</v>
      </c>
      <c r="V118" s="8">
        <v>0</v>
      </c>
      <c r="W118" s="7">
        <v>2.4</v>
      </c>
      <c r="X118" s="7">
        <v>116.7</v>
      </c>
      <c r="Y118" s="7">
        <v>111.9</v>
      </c>
      <c r="Z118" s="7">
        <v>4.7</v>
      </c>
      <c r="AA118" s="7">
        <v>8.1999999999999993</v>
      </c>
      <c r="AB118" s="7">
        <v>1.96</v>
      </c>
      <c r="AC118" s="7">
        <v>14.4</v>
      </c>
      <c r="AD118" s="7">
        <v>4</v>
      </c>
      <c r="AE118" s="7">
        <v>8.3000000000000007</v>
      </c>
      <c r="AF118" s="7">
        <v>6.1</v>
      </c>
      <c r="AG118" s="7">
        <v>7.4</v>
      </c>
      <c r="AH118" s="7">
        <v>52.7</v>
      </c>
      <c r="AI118" s="7">
        <v>56</v>
      </c>
      <c r="AJ118" s="7">
        <v>15.6</v>
      </c>
      <c r="AK118" s="7">
        <v>104.64</v>
      </c>
      <c r="AL118" s="7">
        <v>6.5</v>
      </c>
      <c r="AM118" s="7">
        <v>4444</v>
      </c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1"/>
    </row>
    <row r="119" spans="1:64" ht="13">
      <c r="A119" s="13" t="s">
        <v>277</v>
      </c>
      <c r="B119" s="6" t="s">
        <v>278</v>
      </c>
      <c r="C119" s="31">
        <v>821</v>
      </c>
      <c r="D119" s="24">
        <v>281</v>
      </c>
      <c r="E119" s="24">
        <v>659</v>
      </c>
      <c r="F119" s="8">
        <v>43.1</v>
      </c>
      <c r="G119" s="9">
        <v>437</v>
      </c>
      <c r="H119" s="8">
        <v>41.6</v>
      </c>
      <c r="I119" s="8">
        <v>81</v>
      </c>
      <c r="J119" s="8">
        <v>89</v>
      </c>
      <c r="K119" s="8">
        <v>84.8</v>
      </c>
      <c r="L119" s="9">
        <v>22</v>
      </c>
      <c r="M119" s="9">
        <v>148</v>
      </c>
      <c r="N119" s="9">
        <v>170</v>
      </c>
      <c r="O119" s="9">
        <v>89</v>
      </c>
      <c r="P119" s="9">
        <v>44</v>
      </c>
      <c r="Q119" s="9">
        <v>74</v>
      </c>
      <c r="R119" s="9">
        <v>7</v>
      </c>
      <c r="S119" s="9">
        <v>126</v>
      </c>
      <c r="T119" s="8">
        <v>1339</v>
      </c>
      <c r="U119" s="8">
        <v>0</v>
      </c>
      <c r="V119" s="8">
        <v>0</v>
      </c>
      <c r="W119" s="7">
        <v>0.9</v>
      </c>
      <c r="X119" s="7">
        <v>115.9</v>
      </c>
      <c r="Y119" s="7">
        <v>114</v>
      </c>
      <c r="Z119" s="7">
        <v>1.9</v>
      </c>
      <c r="AA119" s="7">
        <v>6.4</v>
      </c>
      <c r="AB119" s="7">
        <v>2.0699999999999998</v>
      </c>
      <c r="AC119" s="7">
        <v>10.6</v>
      </c>
      <c r="AD119" s="7">
        <v>1.1000000000000001</v>
      </c>
      <c r="AE119" s="7">
        <v>7.4</v>
      </c>
      <c r="AF119" s="7">
        <v>4.4000000000000004</v>
      </c>
      <c r="AG119" s="7">
        <v>5.0999999999999996</v>
      </c>
      <c r="AH119" s="7">
        <v>56.8</v>
      </c>
      <c r="AI119" s="7">
        <v>59.1</v>
      </c>
      <c r="AJ119" s="7">
        <v>16.8</v>
      </c>
      <c r="AK119" s="7">
        <v>100.75</v>
      </c>
      <c r="AL119" s="7">
        <v>7</v>
      </c>
      <c r="AM119" s="7">
        <v>3972</v>
      </c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1"/>
    </row>
    <row r="120" spans="1:64" ht="13">
      <c r="A120" s="6" t="s">
        <v>279</v>
      </c>
      <c r="B120" s="6" t="s">
        <v>280</v>
      </c>
      <c r="C120" s="31">
        <v>819</v>
      </c>
      <c r="D120" s="24">
        <v>277</v>
      </c>
      <c r="E120" s="24">
        <v>575</v>
      </c>
      <c r="F120" s="8">
        <v>48.3</v>
      </c>
      <c r="G120" s="9">
        <v>252</v>
      </c>
      <c r="H120" s="8">
        <v>41.2</v>
      </c>
      <c r="I120" s="8">
        <v>160</v>
      </c>
      <c r="J120" s="8">
        <v>197</v>
      </c>
      <c r="K120" s="8">
        <v>80.900000000000006</v>
      </c>
      <c r="L120" s="9">
        <v>67</v>
      </c>
      <c r="M120" s="9">
        <v>214</v>
      </c>
      <c r="N120" s="9">
        <v>286</v>
      </c>
      <c r="O120" s="9">
        <v>88</v>
      </c>
      <c r="P120" s="9">
        <v>55</v>
      </c>
      <c r="Q120" s="9">
        <v>29</v>
      </c>
      <c r="R120" s="9">
        <v>63</v>
      </c>
      <c r="S120" s="9">
        <v>118</v>
      </c>
      <c r="T120" s="8">
        <v>1520</v>
      </c>
      <c r="U120" s="8">
        <v>6</v>
      </c>
      <c r="V120" s="8">
        <v>0</v>
      </c>
      <c r="W120" s="7">
        <v>4.0999999999999996</v>
      </c>
      <c r="X120" s="7">
        <v>116.2</v>
      </c>
      <c r="Y120" s="7">
        <v>110.3</v>
      </c>
      <c r="Z120" s="7">
        <v>5.8</v>
      </c>
      <c r="AA120" s="7">
        <v>11.3</v>
      </c>
      <c r="AB120" s="7">
        <v>1.64</v>
      </c>
      <c r="AC120" s="7">
        <v>10.8</v>
      </c>
      <c r="AD120" s="7">
        <v>5.4</v>
      </c>
      <c r="AE120" s="7">
        <v>16.3</v>
      </c>
      <c r="AF120" s="7">
        <v>11</v>
      </c>
      <c r="AG120" s="7">
        <v>6.6</v>
      </c>
      <c r="AH120" s="7">
        <v>57.2</v>
      </c>
      <c r="AI120" s="7">
        <v>61.8</v>
      </c>
      <c r="AJ120" s="7">
        <v>25.3</v>
      </c>
      <c r="AK120" s="7">
        <v>99.83</v>
      </c>
      <c r="AL120" s="7">
        <v>13.2</v>
      </c>
      <c r="AM120" s="7">
        <v>2528</v>
      </c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1"/>
    </row>
    <row r="121" spans="1:64" ht="13">
      <c r="A121" s="6" t="s">
        <v>281</v>
      </c>
      <c r="B121" s="6" t="s">
        <v>282</v>
      </c>
      <c r="C121" s="31">
        <v>814</v>
      </c>
      <c r="D121" s="24">
        <v>289</v>
      </c>
      <c r="E121" s="24">
        <v>666</v>
      </c>
      <c r="F121" s="8">
        <v>43.7</v>
      </c>
      <c r="G121" s="9">
        <v>481</v>
      </c>
      <c r="H121" s="8">
        <v>39.299999999999997</v>
      </c>
      <c r="I121" s="8">
        <v>44</v>
      </c>
      <c r="J121" s="8">
        <v>52</v>
      </c>
      <c r="K121" s="8">
        <v>88.7</v>
      </c>
      <c r="L121" s="9">
        <v>15</v>
      </c>
      <c r="M121" s="9">
        <v>148</v>
      </c>
      <c r="N121" s="9">
        <v>170</v>
      </c>
      <c r="O121" s="9">
        <v>178</v>
      </c>
      <c r="P121" s="9">
        <v>89</v>
      </c>
      <c r="Q121" s="9">
        <v>37</v>
      </c>
      <c r="R121" s="9">
        <v>7</v>
      </c>
      <c r="S121" s="9">
        <v>133</v>
      </c>
      <c r="T121" s="8">
        <v>1332</v>
      </c>
      <c r="U121" s="8">
        <v>0</v>
      </c>
      <c r="V121" s="8">
        <v>0</v>
      </c>
      <c r="W121" s="7">
        <v>0.9</v>
      </c>
      <c r="X121" s="7">
        <v>110.1</v>
      </c>
      <c r="Y121" s="7">
        <v>109.9</v>
      </c>
      <c r="Z121" s="7">
        <v>0.2</v>
      </c>
      <c r="AA121" s="7">
        <v>14.8</v>
      </c>
      <c r="AB121" s="7">
        <v>2.0499999999999998</v>
      </c>
      <c r="AC121" s="7">
        <v>18.600000000000001</v>
      </c>
      <c r="AD121" s="7">
        <v>1</v>
      </c>
      <c r="AE121" s="7">
        <v>8.4</v>
      </c>
      <c r="AF121" s="7">
        <v>4.7</v>
      </c>
      <c r="AG121" s="7">
        <v>9.1</v>
      </c>
      <c r="AH121" s="7">
        <v>58.1</v>
      </c>
      <c r="AI121" s="7">
        <v>59.5</v>
      </c>
      <c r="AJ121" s="7">
        <v>18.7</v>
      </c>
      <c r="AK121" s="7">
        <v>97.68</v>
      </c>
      <c r="AL121" s="7">
        <v>7.8</v>
      </c>
      <c r="AM121" s="7">
        <v>3661</v>
      </c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1"/>
    </row>
    <row r="122" spans="1:64" ht="13">
      <c r="A122" s="6" t="s">
        <v>283</v>
      </c>
      <c r="B122" s="6" t="s">
        <v>284</v>
      </c>
      <c r="C122" s="31">
        <v>813</v>
      </c>
      <c r="D122" s="24">
        <v>312</v>
      </c>
      <c r="E122" s="24">
        <v>650</v>
      </c>
      <c r="F122" s="8">
        <v>48.3</v>
      </c>
      <c r="G122" s="9">
        <v>325</v>
      </c>
      <c r="H122" s="8">
        <v>36.799999999999997</v>
      </c>
      <c r="I122" s="8">
        <v>65</v>
      </c>
      <c r="J122" s="8">
        <v>91</v>
      </c>
      <c r="K122" s="8">
        <v>69.099999999999994</v>
      </c>
      <c r="L122" s="9">
        <v>91</v>
      </c>
      <c r="M122" s="9">
        <v>325</v>
      </c>
      <c r="N122" s="9">
        <v>416</v>
      </c>
      <c r="O122" s="9">
        <v>189</v>
      </c>
      <c r="P122" s="9">
        <v>72</v>
      </c>
      <c r="Q122" s="9">
        <v>52</v>
      </c>
      <c r="R122" s="9">
        <v>26</v>
      </c>
      <c r="S122" s="9">
        <v>78</v>
      </c>
      <c r="T122" s="8">
        <v>1762</v>
      </c>
      <c r="U122" s="8">
        <v>10</v>
      </c>
      <c r="V122" s="8">
        <v>0</v>
      </c>
      <c r="W122" s="7">
        <v>2.2999999999999998</v>
      </c>
      <c r="X122" s="7">
        <v>116.1</v>
      </c>
      <c r="Y122" s="7">
        <v>112.6</v>
      </c>
      <c r="Z122" s="7">
        <v>3.5</v>
      </c>
      <c r="AA122" s="7">
        <v>14.9</v>
      </c>
      <c r="AB122" s="7">
        <v>2.65</v>
      </c>
      <c r="AC122" s="7">
        <v>19.899999999999999</v>
      </c>
      <c r="AD122" s="7">
        <v>5.2</v>
      </c>
      <c r="AE122" s="7">
        <v>18.100000000000001</v>
      </c>
      <c r="AF122" s="7">
        <v>11.6</v>
      </c>
      <c r="AG122" s="7">
        <v>7.5</v>
      </c>
      <c r="AH122" s="7">
        <v>57.6</v>
      </c>
      <c r="AI122" s="7">
        <v>58.8</v>
      </c>
      <c r="AJ122" s="7">
        <v>17.899999999999999</v>
      </c>
      <c r="AK122" s="7">
        <v>105.41</v>
      </c>
      <c r="AL122" s="7">
        <v>12.1</v>
      </c>
      <c r="AM122" s="7">
        <v>3654</v>
      </c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1"/>
    </row>
    <row r="123" spans="1:64" ht="13">
      <c r="A123" s="6" t="s">
        <v>285</v>
      </c>
      <c r="B123" s="6" t="s">
        <v>286</v>
      </c>
      <c r="C123" s="31">
        <v>812</v>
      </c>
      <c r="D123" s="24">
        <v>279</v>
      </c>
      <c r="E123" s="24">
        <v>664</v>
      </c>
      <c r="F123" s="8">
        <v>41.5</v>
      </c>
      <c r="G123" s="9">
        <v>484</v>
      </c>
      <c r="H123" s="8">
        <v>37.1</v>
      </c>
      <c r="I123" s="8">
        <v>82</v>
      </c>
      <c r="J123" s="8">
        <v>90</v>
      </c>
      <c r="K123" s="8">
        <v>90.4</v>
      </c>
      <c r="L123" s="9">
        <v>66</v>
      </c>
      <c r="M123" s="9">
        <v>254</v>
      </c>
      <c r="N123" s="9">
        <v>320</v>
      </c>
      <c r="O123" s="9">
        <v>115</v>
      </c>
      <c r="P123" s="9">
        <v>74</v>
      </c>
      <c r="Q123" s="9">
        <v>57</v>
      </c>
      <c r="R123" s="9">
        <v>33</v>
      </c>
      <c r="S123" s="9">
        <v>115</v>
      </c>
      <c r="T123" s="8">
        <v>1574</v>
      </c>
      <c r="U123" s="8">
        <v>0</v>
      </c>
      <c r="V123" s="8">
        <v>0</v>
      </c>
      <c r="W123" s="7">
        <v>-0.8</v>
      </c>
      <c r="X123" s="7">
        <v>112.3</v>
      </c>
      <c r="Y123" s="7">
        <v>114.5</v>
      </c>
      <c r="Z123" s="7">
        <v>-2.1</v>
      </c>
      <c r="AA123" s="7">
        <v>7.8</v>
      </c>
      <c r="AB123" s="7">
        <v>1.5</v>
      </c>
      <c r="AC123" s="7">
        <v>12.6</v>
      </c>
      <c r="AD123" s="7">
        <v>3.2</v>
      </c>
      <c r="AE123" s="7">
        <v>12.1</v>
      </c>
      <c r="AF123" s="7">
        <v>7.7</v>
      </c>
      <c r="AG123" s="7">
        <v>8.4</v>
      </c>
      <c r="AH123" s="7">
        <v>54.9</v>
      </c>
      <c r="AI123" s="7">
        <v>57.7</v>
      </c>
      <c r="AJ123" s="7">
        <v>16.399999999999999</v>
      </c>
      <c r="AK123" s="7">
        <v>102.25</v>
      </c>
      <c r="AL123" s="7">
        <v>7.9</v>
      </c>
      <c r="AM123" s="7">
        <v>4125</v>
      </c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1"/>
    </row>
    <row r="124" spans="1:64" ht="13">
      <c r="A124" s="6" t="s">
        <v>287</v>
      </c>
      <c r="B124" s="6" t="s">
        <v>288</v>
      </c>
      <c r="C124" s="31">
        <v>804</v>
      </c>
      <c r="D124" s="24">
        <v>303</v>
      </c>
      <c r="E124" s="24">
        <v>746</v>
      </c>
      <c r="F124" s="8">
        <v>40.1</v>
      </c>
      <c r="G124" s="9">
        <v>410</v>
      </c>
      <c r="H124" s="8">
        <v>33.9</v>
      </c>
      <c r="I124" s="8">
        <v>66</v>
      </c>
      <c r="J124" s="8">
        <v>82</v>
      </c>
      <c r="K124" s="8">
        <v>81.2</v>
      </c>
      <c r="L124" s="9">
        <v>33</v>
      </c>
      <c r="M124" s="9">
        <v>312</v>
      </c>
      <c r="N124" s="9">
        <v>344</v>
      </c>
      <c r="O124" s="9">
        <v>361</v>
      </c>
      <c r="P124" s="9">
        <v>139</v>
      </c>
      <c r="Q124" s="9">
        <v>57</v>
      </c>
      <c r="R124" s="9">
        <v>25</v>
      </c>
      <c r="S124" s="9">
        <v>189</v>
      </c>
      <c r="T124" s="8">
        <v>1845</v>
      </c>
      <c r="U124" s="8">
        <v>5</v>
      </c>
      <c r="V124" s="8">
        <v>0</v>
      </c>
      <c r="W124" s="7">
        <v>-9.6999999999999993</v>
      </c>
      <c r="X124" s="7">
        <v>102.8</v>
      </c>
      <c r="Y124" s="7">
        <v>118</v>
      </c>
      <c r="Z124" s="7">
        <v>-15.2</v>
      </c>
      <c r="AA124" s="7">
        <v>21.3</v>
      </c>
      <c r="AB124" s="7">
        <v>2.58</v>
      </c>
      <c r="AC124" s="7">
        <v>28.3</v>
      </c>
      <c r="AD124" s="7">
        <v>1.2</v>
      </c>
      <c r="AE124" s="7">
        <v>11.7</v>
      </c>
      <c r="AF124" s="7">
        <v>6.4</v>
      </c>
      <c r="AG124" s="7">
        <v>11</v>
      </c>
      <c r="AH124" s="7">
        <v>49.3</v>
      </c>
      <c r="AI124" s="7">
        <v>51.4</v>
      </c>
      <c r="AJ124" s="7">
        <v>15.4</v>
      </c>
      <c r="AK124" s="7">
        <v>103.06</v>
      </c>
      <c r="AL124" s="7">
        <v>7.1</v>
      </c>
      <c r="AM124" s="7">
        <v>5279</v>
      </c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1"/>
    </row>
    <row r="125" spans="1:64" ht="13">
      <c r="A125" s="6" t="s">
        <v>289</v>
      </c>
      <c r="B125" s="6" t="s">
        <v>290</v>
      </c>
      <c r="C125" s="31">
        <v>796</v>
      </c>
      <c r="D125" s="24">
        <v>311</v>
      </c>
      <c r="E125" s="24">
        <v>622</v>
      </c>
      <c r="F125" s="8">
        <v>49.8</v>
      </c>
      <c r="G125" s="9">
        <v>189</v>
      </c>
      <c r="H125" s="8">
        <v>41.1</v>
      </c>
      <c r="I125" s="8">
        <v>96</v>
      </c>
      <c r="J125" s="8">
        <v>122</v>
      </c>
      <c r="K125" s="8">
        <v>81</v>
      </c>
      <c r="L125" s="9">
        <v>33</v>
      </c>
      <c r="M125" s="9">
        <v>185</v>
      </c>
      <c r="N125" s="9">
        <v>218</v>
      </c>
      <c r="O125" s="9">
        <v>115</v>
      </c>
      <c r="P125" s="9">
        <v>70</v>
      </c>
      <c r="Q125" s="9">
        <v>59</v>
      </c>
      <c r="R125" s="9">
        <v>19</v>
      </c>
      <c r="S125" s="9">
        <v>56</v>
      </c>
      <c r="T125" s="8">
        <v>1388</v>
      </c>
      <c r="U125" s="8">
        <v>5</v>
      </c>
      <c r="V125" s="8">
        <v>0</v>
      </c>
      <c r="W125" s="7">
        <v>8</v>
      </c>
      <c r="X125" s="7">
        <v>120.3</v>
      </c>
      <c r="Y125" s="7">
        <v>107.9</v>
      </c>
      <c r="Z125" s="7">
        <v>12.4</v>
      </c>
      <c r="AA125" s="7">
        <v>14.7</v>
      </c>
      <c r="AB125" s="7">
        <v>1.61</v>
      </c>
      <c r="AC125" s="7">
        <v>13.5</v>
      </c>
      <c r="AD125" s="7">
        <v>3.3</v>
      </c>
      <c r="AE125" s="7">
        <v>15.8</v>
      </c>
      <c r="AF125" s="7">
        <v>9.8000000000000007</v>
      </c>
      <c r="AG125" s="7">
        <v>8.4</v>
      </c>
      <c r="AH125" s="7">
        <v>56</v>
      </c>
      <c r="AI125" s="7">
        <v>58.9</v>
      </c>
      <c r="AJ125" s="7">
        <v>28</v>
      </c>
      <c r="AK125" s="7">
        <v>97.26</v>
      </c>
      <c r="AL125" s="7">
        <v>13.4</v>
      </c>
      <c r="AM125" s="7">
        <v>2391</v>
      </c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1"/>
    </row>
    <row r="126" spans="1:64" ht="13">
      <c r="A126" s="6" t="s">
        <v>291</v>
      </c>
      <c r="B126" s="6" t="s">
        <v>292</v>
      </c>
      <c r="C126" s="31">
        <v>782</v>
      </c>
      <c r="D126" s="24">
        <v>284</v>
      </c>
      <c r="E126" s="24">
        <v>616</v>
      </c>
      <c r="F126" s="8">
        <v>46.1</v>
      </c>
      <c r="G126" s="9">
        <v>411</v>
      </c>
      <c r="H126" s="8">
        <v>40.6</v>
      </c>
      <c r="I126" s="8">
        <v>47</v>
      </c>
      <c r="J126" s="8">
        <v>55</v>
      </c>
      <c r="K126" s="8">
        <v>79.3</v>
      </c>
      <c r="L126" s="9">
        <v>47</v>
      </c>
      <c r="M126" s="9">
        <v>221</v>
      </c>
      <c r="N126" s="9">
        <v>269</v>
      </c>
      <c r="O126" s="9">
        <v>111</v>
      </c>
      <c r="P126" s="9">
        <v>79</v>
      </c>
      <c r="Q126" s="9">
        <v>32</v>
      </c>
      <c r="R126" s="9">
        <v>16</v>
      </c>
      <c r="S126" s="9">
        <v>198</v>
      </c>
      <c r="T126" s="8">
        <v>1319</v>
      </c>
      <c r="U126" s="8">
        <v>1</v>
      </c>
      <c r="V126" s="8">
        <v>0</v>
      </c>
      <c r="W126" s="7">
        <v>2.5</v>
      </c>
      <c r="X126" s="7">
        <v>118.7</v>
      </c>
      <c r="Y126" s="7">
        <v>114.1</v>
      </c>
      <c r="Z126" s="7">
        <v>4.7</v>
      </c>
      <c r="AA126" s="7">
        <v>8.6999999999999993</v>
      </c>
      <c r="AB126" s="7">
        <v>1.35</v>
      </c>
      <c r="AC126" s="7">
        <v>13.2</v>
      </c>
      <c r="AD126" s="7">
        <v>2.7</v>
      </c>
      <c r="AE126" s="7">
        <v>12.6</v>
      </c>
      <c r="AF126" s="7">
        <v>7.7</v>
      </c>
      <c r="AG126" s="7">
        <v>9.8000000000000007</v>
      </c>
      <c r="AH126" s="7">
        <v>59.5</v>
      </c>
      <c r="AI126" s="7">
        <v>60.7</v>
      </c>
      <c r="AJ126" s="7">
        <v>17.7</v>
      </c>
      <c r="AK126" s="7">
        <v>102.45</v>
      </c>
      <c r="AL126" s="7">
        <v>7.1</v>
      </c>
      <c r="AM126" s="7">
        <v>3633</v>
      </c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1"/>
    </row>
    <row r="127" spans="1:64" ht="13">
      <c r="A127" s="13" t="s">
        <v>293</v>
      </c>
      <c r="B127" s="6" t="s">
        <v>294</v>
      </c>
      <c r="C127" s="31">
        <v>782</v>
      </c>
      <c r="D127" s="24">
        <v>284</v>
      </c>
      <c r="E127" s="24">
        <v>593</v>
      </c>
      <c r="F127" s="8">
        <v>48</v>
      </c>
      <c r="G127" s="9">
        <v>221</v>
      </c>
      <c r="H127" s="8">
        <v>39.700000000000003</v>
      </c>
      <c r="I127" s="8">
        <v>119</v>
      </c>
      <c r="J127" s="8">
        <v>174</v>
      </c>
      <c r="K127" s="8">
        <v>71.3</v>
      </c>
      <c r="L127" s="9">
        <v>63</v>
      </c>
      <c r="M127" s="9">
        <v>198</v>
      </c>
      <c r="N127" s="9">
        <v>261</v>
      </c>
      <c r="O127" s="9">
        <v>348</v>
      </c>
      <c r="P127" s="9">
        <v>134</v>
      </c>
      <c r="Q127" s="9">
        <v>103</v>
      </c>
      <c r="R127" s="9">
        <v>32</v>
      </c>
      <c r="S127" s="9">
        <v>205</v>
      </c>
      <c r="T127" s="8">
        <v>1872</v>
      </c>
      <c r="U127" s="8">
        <v>9</v>
      </c>
      <c r="V127" s="8">
        <v>1</v>
      </c>
      <c r="W127" s="7">
        <v>0.6</v>
      </c>
      <c r="X127" s="7">
        <v>111</v>
      </c>
      <c r="Y127" s="7">
        <v>109.7</v>
      </c>
      <c r="Z127" s="7">
        <v>1.3</v>
      </c>
      <c r="AA127" s="7">
        <v>28.3</v>
      </c>
      <c r="AB127" s="7">
        <v>2.5099999999999998</v>
      </c>
      <c r="AC127" s="7">
        <v>30.3</v>
      </c>
      <c r="AD127" s="7">
        <v>3.5</v>
      </c>
      <c r="AE127" s="7">
        <v>10.5</v>
      </c>
      <c r="AF127" s="7">
        <v>7</v>
      </c>
      <c r="AG127" s="7">
        <v>12</v>
      </c>
      <c r="AH127" s="7">
        <v>55.3</v>
      </c>
      <c r="AI127" s="7">
        <v>58.2</v>
      </c>
      <c r="AJ127" s="7">
        <v>18.8</v>
      </c>
      <c r="AK127" s="7">
        <v>105.6</v>
      </c>
      <c r="AL127" s="7">
        <v>10.6</v>
      </c>
      <c r="AM127" s="7">
        <v>3700</v>
      </c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1"/>
    </row>
    <row r="128" spans="1:64" ht="13">
      <c r="A128" s="13" t="s">
        <v>295</v>
      </c>
      <c r="B128" s="6" t="s">
        <v>296</v>
      </c>
      <c r="C128" s="31">
        <v>778</v>
      </c>
      <c r="D128" s="24">
        <v>308</v>
      </c>
      <c r="E128" s="24">
        <v>585</v>
      </c>
      <c r="F128" s="8">
        <v>52.6</v>
      </c>
      <c r="G128" s="9">
        <v>216</v>
      </c>
      <c r="H128" s="8">
        <v>35.6</v>
      </c>
      <c r="I128" s="8">
        <v>85</v>
      </c>
      <c r="J128" s="8">
        <v>116</v>
      </c>
      <c r="K128" s="8">
        <v>70.3</v>
      </c>
      <c r="L128" s="9">
        <v>92</v>
      </c>
      <c r="M128" s="9">
        <v>169</v>
      </c>
      <c r="N128" s="9">
        <v>262</v>
      </c>
      <c r="O128" s="9">
        <v>62</v>
      </c>
      <c r="P128" s="9">
        <v>69</v>
      </c>
      <c r="Q128" s="9">
        <v>77</v>
      </c>
      <c r="R128" s="9">
        <v>31</v>
      </c>
      <c r="S128" s="9">
        <v>154</v>
      </c>
      <c r="T128" s="8">
        <v>1455</v>
      </c>
      <c r="U128" s="8">
        <v>0</v>
      </c>
      <c r="V128" s="8">
        <v>0</v>
      </c>
      <c r="W128" s="7">
        <v>3.2</v>
      </c>
      <c r="X128" s="7">
        <v>115.5</v>
      </c>
      <c r="Y128" s="7">
        <v>108.7</v>
      </c>
      <c r="Z128" s="7">
        <v>6.7</v>
      </c>
      <c r="AA128" s="7">
        <v>4.4000000000000004</v>
      </c>
      <c r="AB128" s="7">
        <v>0.91</v>
      </c>
      <c r="AC128" s="7">
        <v>7.8</v>
      </c>
      <c r="AD128" s="7">
        <v>5.0999999999999996</v>
      </c>
      <c r="AE128" s="7">
        <v>9.1999999999999993</v>
      </c>
      <c r="AF128" s="7">
        <v>7.2</v>
      </c>
      <c r="AG128" s="7">
        <v>8.6</v>
      </c>
      <c r="AH128" s="7">
        <v>59.3</v>
      </c>
      <c r="AI128" s="7">
        <v>60.9</v>
      </c>
      <c r="AJ128" s="7">
        <v>16</v>
      </c>
      <c r="AK128" s="7">
        <v>99.72</v>
      </c>
      <c r="AL128" s="7">
        <v>7.6</v>
      </c>
      <c r="AM128" s="7">
        <v>3886</v>
      </c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1"/>
    </row>
    <row r="129" spans="1:64" ht="13">
      <c r="A129" s="6" t="s">
        <v>297</v>
      </c>
      <c r="B129" s="6" t="s">
        <v>298</v>
      </c>
      <c r="C129" s="31">
        <v>778</v>
      </c>
      <c r="D129" s="24">
        <v>265</v>
      </c>
      <c r="E129" s="24">
        <v>648</v>
      </c>
      <c r="F129" s="8">
        <v>41</v>
      </c>
      <c r="G129" s="9">
        <v>324</v>
      </c>
      <c r="H129" s="8">
        <v>35</v>
      </c>
      <c r="I129" s="8">
        <v>135</v>
      </c>
      <c r="J129" s="8">
        <v>157</v>
      </c>
      <c r="K129" s="8">
        <v>85.8</v>
      </c>
      <c r="L129" s="9">
        <v>43</v>
      </c>
      <c r="M129" s="9">
        <v>151</v>
      </c>
      <c r="N129" s="9">
        <v>194</v>
      </c>
      <c r="O129" s="9">
        <v>97</v>
      </c>
      <c r="P129" s="9">
        <v>81</v>
      </c>
      <c r="Q129" s="9">
        <v>49</v>
      </c>
      <c r="R129" s="9">
        <v>11</v>
      </c>
      <c r="S129" s="9">
        <v>119</v>
      </c>
      <c r="T129" s="8">
        <v>1247</v>
      </c>
      <c r="U129" s="8">
        <v>0</v>
      </c>
      <c r="V129" s="8">
        <v>0</v>
      </c>
      <c r="W129" s="7">
        <v>-3.9</v>
      </c>
      <c r="X129" s="7">
        <v>110.3</v>
      </c>
      <c r="Y129" s="7">
        <v>116.1</v>
      </c>
      <c r="Z129" s="7">
        <v>-5.8</v>
      </c>
      <c r="AA129" s="7">
        <v>8.6999999999999993</v>
      </c>
      <c r="AB129" s="7">
        <v>1.18</v>
      </c>
      <c r="AC129" s="7">
        <v>10.9</v>
      </c>
      <c r="AD129" s="7">
        <v>2.7</v>
      </c>
      <c r="AE129" s="7">
        <v>9.1999999999999993</v>
      </c>
      <c r="AF129" s="7">
        <v>5.9</v>
      </c>
      <c r="AG129" s="7">
        <v>9.3000000000000007</v>
      </c>
      <c r="AH129" s="7">
        <v>49.8</v>
      </c>
      <c r="AI129" s="7">
        <v>54.3</v>
      </c>
      <c r="AJ129" s="7">
        <v>20.9</v>
      </c>
      <c r="AK129" s="7">
        <v>101.36</v>
      </c>
      <c r="AL129" s="7">
        <v>7.1</v>
      </c>
      <c r="AM129" s="7">
        <v>3345</v>
      </c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1"/>
    </row>
    <row r="130" spans="1:64" ht="13">
      <c r="A130" s="6" t="s">
        <v>299</v>
      </c>
      <c r="B130" s="6" t="s">
        <v>300</v>
      </c>
      <c r="C130" s="31">
        <v>774</v>
      </c>
      <c r="D130" s="24">
        <v>282</v>
      </c>
      <c r="E130" s="24">
        <v>602</v>
      </c>
      <c r="F130" s="8">
        <v>46.7</v>
      </c>
      <c r="G130" s="9">
        <v>282</v>
      </c>
      <c r="H130" s="8">
        <v>37.299999999999997</v>
      </c>
      <c r="I130" s="8">
        <v>109</v>
      </c>
      <c r="J130" s="8">
        <v>154</v>
      </c>
      <c r="K130" s="8">
        <v>71</v>
      </c>
      <c r="L130" s="9">
        <v>38</v>
      </c>
      <c r="M130" s="9">
        <v>160</v>
      </c>
      <c r="N130" s="9">
        <v>205</v>
      </c>
      <c r="O130" s="9">
        <v>218</v>
      </c>
      <c r="P130" s="9">
        <v>77</v>
      </c>
      <c r="Q130" s="9">
        <v>58</v>
      </c>
      <c r="R130" s="9">
        <v>32</v>
      </c>
      <c r="S130" s="9">
        <v>96</v>
      </c>
      <c r="T130" s="8">
        <v>1536</v>
      </c>
      <c r="U130" s="8">
        <v>1</v>
      </c>
      <c r="V130" s="8">
        <v>0</v>
      </c>
      <c r="W130" s="7">
        <v>4</v>
      </c>
      <c r="X130" s="7">
        <v>120.5</v>
      </c>
      <c r="Y130" s="7">
        <v>113.4</v>
      </c>
      <c r="Z130" s="7">
        <v>7.2</v>
      </c>
      <c r="AA130" s="7">
        <v>17.8</v>
      </c>
      <c r="AB130" s="7">
        <v>2.83</v>
      </c>
      <c r="AC130" s="7">
        <v>22.5</v>
      </c>
      <c r="AD130" s="7">
        <v>2.6</v>
      </c>
      <c r="AE130" s="7">
        <v>9.6</v>
      </c>
      <c r="AF130" s="7">
        <v>6.2</v>
      </c>
      <c r="AG130" s="7">
        <v>7.9</v>
      </c>
      <c r="AH130" s="7">
        <v>55.6</v>
      </c>
      <c r="AI130" s="7">
        <v>58.2</v>
      </c>
      <c r="AJ130" s="7">
        <v>19.100000000000001</v>
      </c>
      <c r="AK130" s="7">
        <v>103.21</v>
      </c>
      <c r="AL130" s="7">
        <v>9.4</v>
      </c>
      <c r="AM130" s="7">
        <v>3437</v>
      </c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1"/>
    </row>
    <row r="131" spans="1:64" ht="13">
      <c r="A131" s="6" t="s">
        <v>301</v>
      </c>
      <c r="B131" s="6" t="s">
        <v>302</v>
      </c>
      <c r="C131" s="31">
        <v>774</v>
      </c>
      <c r="D131" s="24">
        <v>277</v>
      </c>
      <c r="E131" s="24">
        <v>596</v>
      </c>
      <c r="F131" s="8">
        <v>45.9</v>
      </c>
      <c r="G131" s="9">
        <v>369</v>
      </c>
      <c r="H131" s="8">
        <v>42.2</v>
      </c>
      <c r="I131" s="8">
        <v>64</v>
      </c>
      <c r="J131" s="8">
        <v>71</v>
      </c>
      <c r="K131" s="8">
        <v>89</v>
      </c>
      <c r="L131" s="9">
        <v>43</v>
      </c>
      <c r="M131" s="9">
        <v>170</v>
      </c>
      <c r="N131" s="9">
        <v>213</v>
      </c>
      <c r="O131" s="9">
        <v>107</v>
      </c>
      <c r="P131" s="9">
        <v>107</v>
      </c>
      <c r="Q131" s="9">
        <v>43</v>
      </c>
      <c r="R131" s="9">
        <v>7</v>
      </c>
      <c r="S131" s="9">
        <v>114</v>
      </c>
      <c r="T131" s="8">
        <v>1243</v>
      </c>
      <c r="U131" s="8">
        <v>0</v>
      </c>
      <c r="V131" s="8">
        <v>0</v>
      </c>
      <c r="W131" s="7">
        <v>-4</v>
      </c>
      <c r="X131" s="7">
        <v>109.9</v>
      </c>
      <c r="Y131" s="7">
        <v>119.5</v>
      </c>
      <c r="Z131" s="7">
        <v>-9.6</v>
      </c>
      <c r="AA131" s="7">
        <v>11.7</v>
      </c>
      <c r="AB131" s="7">
        <v>1.03</v>
      </c>
      <c r="AC131" s="7">
        <v>13</v>
      </c>
      <c r="AD131" s="7">
        <v>2.8</v>
      </c>
      <c r="AE131" s="7">
        <v>11</v>
      </c>
      <c r="AF131" s="7">
        <v>6.9</v>
      </c>
      <c r="AG131" s="7">
        <v>12.7</v>
      </c>
      <c r="AH131" s="7">
        <v>59</v>
      </c>
      <c r="AI131" s="7">
        <v>61.2</v>
      </c>
      <c r="AJ131" s="7">
        <v>20.8</v>
      </c>
      <c r="AK131" s="7">
        <v>103.21</v>
      </c>
      <c r="AL131" s="7">
        <v>8.6999999999999993</v>
      </c>
      <c r="AM131" s="7">
        <v>3084</v>
      </c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1"/>
    </row>
    <row r="132" spans="1:64" ht="13">
      <c r="A132" s="6" t="s">
        <v>303</v>
      </c>
      <c r="B132" s="6" t="s">
        <v>304</v>
      </c>
      <c r="C132" s="31">
        <v>773</v>
      </c>
      <c r="D132" s="24">
        <v>295</v>
      </c>
      <c r="E132" s="24">
        <v>578</v>
      </c>
      <c r="F132" s="8">
        <v>50.9</v>
      </c>
      <c r="G132" s="9">
        <v>248</v>
      </c>
      <c r="H132" s="8">
        <v>41.3</v>
      </c>
      <c r="I132" s="8">
        <v>89</v>
      </c>
      <c r="J132" s="8">
        <v>112</v>
      </c>
      <c r="K132" s="8">
        <v>77</v>
      </c>
      <c r="L132" s="9">
        <v>77</v>
      </c>
      <c r="M132" s="9">
        <v>218</v>
      </c>
      <c r="N132" s="9">
        <v>295</v>
      </c>
      <c r="O132" s="9">
        <v>83</v>
      </c>
      <c r="P132" s="9">
        <v>47</v>
      </c>
      <c r="Q132" s="9">
        <v>47</v>
      </c>
      <c r="R132" s="9">
        <v>24</v>
      </c>
      <c r="S132" s="9">
        <v>106</v>
      </c>
      <c r="T132" s="8">
        <v>1416</v>
      </c>
      <c r="U132" s="8">
        <v>1</v>
      </c>
      <c r="V132" s="8">
        <v>0</v>
      </c>
      <c r="W132" s="7">
        <v>2.7</v>
      </c>
      <c r="X132" s="7">
        <v>114.8</v>
      </c>
      <c r="Y132" s="7">
        <v>110.9</v>
      </c>
      <c r="Z132" s="7">
        <v>3.9</v>
      </c>
      <c r="AA132" s="7">
        <v>6.3</v>
      </c>
      <c r="AB132" s="7">
        <v>1.69</v>
      </c>
      <c r="AC132" s="7">
        <v>10.9</v>
      </c>
      <c r="AD132" s="7">
        <v>4.4000000000000004</v>
      </c>
      <c r="AE132" s="7">
        <v>11.1</v>
      </c>
      <c r="AF132" s="7">
        <v>7.9</v>
      </c>
      <c r="AG132" s="7">
        <v>6.5</v>
      </c>
      <c r="AH132" s="7">
        <v>59.7</v>
      </c>
      <c r="AI132" s="7">
        <v>61.9</v>
      </c>
      <c r="AJ132" s="7">
        <v>15.6</v>
      </c>
      <c r="AK132" s="7">
        <v>99.44</v>
      </c>
      <c r="AL132" s="7">
        <v>8.6</v>
      </c>
      <c r="AM132" s="7">
        <v>3875</v>
      </c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1"/>
    </row>
    <row r="133" spans="1:64" ht="13">
      <c r="A133" s="13" t="s">
        <v>305</v>
      </c>
      <c r="B133" s="6" t="s">
        <v>306</v>
      </c>
      <c r="C133" s="31">
        <v>773</v>
      </c>
      <c r="D133" s="24">
        <v>293</v>
      </c>
      <c r="E133" s="24">
        <v>653</v>
      </c>
      <c r="F133" s="8">
        <v>44.9</v>
      </c>
      <c r="G133" s="9">
        <v>180</v>
      </c>
      <c r="H133" s="8">
        <v>31.1</v>
      </c>
      <c r="I133" s="8">
        <v>128</v>
      </c>
      <c r="J133" s="8">
        <v>173</v>
      </c>
      <c r="K133" s="8">
        <v>76.900000000000006</v>
      </c>
      <c r="L133" s="9">
        <v>45</v>
      </c>
      <c r="M133" s="9">
        <v>233</v>
      </c>
      <c r="N133" s="9">
        <v>278</v>
      </c>
      <c r="O133" s="9">
        <v>255</v>
      </c>
      <c r="P133" s="9">
        <v>135</v>
      </c>
      <c r="Q133" s="9">
        <v>83</v>
      </c>
      <c r="R133" s="9">
        <v>15</v>
      </c>
      <c r="S133" s="9">
        <v>120</v>
      </c>
      <c r="T133" s="8">
        <v>1635</v>
      </c>
      <c r="U133" s="8">
        <v>2</v>
      </c>
      <c r="V133" s="8">
        <v>1</v>
      </c>
      <c r="W133" s="7">
        <v>0.4</v>
      </c>
      <c r="X133" s="7">
        <v>109.1</v>
      </c>
      <c r="Y133" s="7">
        <v>108</v>
      </c>
      <c r="Z133" s="7">
        <v>1.1000000000000001</v>
      </c>
      <c r="AA133" s="7">
        <v>27.6</v>
      </c>
      <c r="AB133" s="7">
        <v>1.88</v>
      </c>
      <c r="AC133" s="7">
        <v>22.9</v>
      </c>
      <c r="AD133" s="7">
        <v>2.9</v>
      </c>
      <c r="AE133" s="7">
        <v>14.8</v>
      </c>
      <c r="AF133" s="7">
        <v>9.1999999999999993</v>
      </c>
      <c r="AG133" s="7">
        <v>12.2</v>
      </c>
      <c r="AH133" s="7">
        <v>49.2</v>
      </c>
      <c r="AI133" s="7">
        <v>53.1</v>
      </c>
      <c r="AJ133" s="7">
        <v>24.8</v>
      </c>
      <c r="AK133" s="7">
        <v>100.63</v>
      </c>
      <c r="AL133" s="7">
        <v>11.9</v>
      </c>
      <c r="AM133" s="7">
        <v>3104</v>
      </c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1"/>
    </row>
    <row r="134" spans="1:64" ht="13">
      <c r="A134" s="6" t="s">
        <v>307</v>
      </c>
      <c r="B134" s="6" t="s">
        <v>308</v>
      </c>
      <c r="C134" s="31">
        <v>771</v>
      </c>
      <c r="D134" s="24">
        <v>271</v>
      </c>
      <c r="E134" s="24">
        <v>615</v>
      </c>
      <c r="F134" s="8">
        <v>43.8</v>
      </c>
      <c r="G134" s="9">
        <v>369</v>
      </c>
      <c r="H134" s="8">
        <v>38.1</v>
      </c>
      <c r="I134" s="8">
        <v>90</v>
      </c>
      <c r="J134" s="8">
        <v>115</v>
      </c>
      <c r="K134" s="8">
        <v>78</v>
      </c>
      <c r="L134" s="9">
        <v>57</v>
      </c>
      <c r="M134" s="9">
        <v>213</v>
      </c>
      <c r="N134" s="9">
        <v>262</v>
      </c>
      <c r="O134" s="9">
        <v>221</v>
      </c>
      <c r="P134" s="9">
        <v>98</v>
      </c>
      <c r="Q134" s="9">
        <v>49</v>
      </c>
      <c r="R134" s="9">
        <v>33</v>
      </c>
      <c r="S134" s="9">
        <v>139</v>
      </c>
      <c r="T134" s="8">
        <v>1583</v>
      </c>
      <c r="U134" s="8">
        <v>1</v>
      </c>
      <c r="V134" s="8">
        <v>0</v>
      </c>
      <c r="W134" s="7">
        <v>3.3</v>
      </c>
      <c r="X134" s="7">
        <v>115.1</v>
      </c>
      <c r="Y134" s="7">
        <v>108.5</v>
      </c>
      <c r="Z134" s="7">
        <v>6.6</v>
      </c>
      <c r="AA134" s="7">
        <v>14.9</v>
      </c>
      <c r="AB134" s="7">
        <v>2.25</v>
      </c>
      <c r="AC134" s="7">
        <v>22.7</v>
      </c>
      <c r="AD134" s="7">
        <v>2.6</v>
      </c>
      <c r="AE134" s="7">
        <v>9.8000000000000007</v>
      </c>
      <c r="AF134" s="7">
        <v>6.2</v>
      </c>
      <c r="AG134" s="7">
        <v>10.1</v>
      </c>
      <c r="AH134" s="7">
        <v>55.3</v>
      </c>
      <c r="AI134" s="7">
        <v>57.9</v>
      </c>
      <c r="AJ134" s="7">
        <v>15.5</v>
      </c>
      <c r="AK134" s="7">
        <v>99.57</v>
      </c>
      <c r="AL134" s="7">
        <v>8.1</v>
      </c>
      <c r="AM134" s="7">
        <v>4294</v>
      </c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1"/>
    </row>
    <row r="135" spans="1:64" ht="13">
      <c r="A135" s="6" t="s">
        <v>309</v>
      </c>
      <c r="B135" s="6" t="s">
        <v>310</v>
      </c>
      <c r="C135" s="31">
        <v>770</v>
      </c>
      <c r="D135" s="24">
        <v>280</v>
      </c>
      <c r="E135" s="24">
        <v>560</v>
      </c>
      <c r="F135" s="8">
        <v>50.1</v>
      </c>
      <c r="G135" s="9">
        <v>273</v>
      </c>
      <c r="H135" s="8">
        <v>38</v>
      </c>
      <c r="I135" s="8">
        <v>98</v>
      </c>
      <c r="J135" s="8">
        <v>140</v>
      </c>
      <c r="K135" s="8">
        <v>72.5</v>
      </c>
      <c r="L135" s="9">
        <v>133</v>
      </c>
      <c r="M135" s="9">
        <v>259</v>
      </c>
      <c r="N135" s="9">
        <v>392</v>
      </c>
      <c r="O135" s="9">
        <v>147</v>
      </c>
      <c r="P135" s="9">
        <v>84</v>
      </c>
      <c r="Q135" s="9">
        <v>56</v>
      </c>
      <c r="R135" s="9">
        <v>21</v>
      </c>
      <c r="S135" s="9">
        <v>161</v>
      </c>
      <c r="T135" s="8">
        <v>1624</v>
      </c>
      <c r="U135" s="8">
        <v>3</v>
      </c>
      <c r="V135" s="8">
        <v>0</v>
      </c>
      <c r="W135" s="7">
        <v>-1.7</v>
      </c>
      <c r="X135" s="7">
        <v>113.5</v>
      </c>
      <c r="Y135" s="7">
        <v>116.7</v>
      </c>
      <c r="Z135" s="7">
        <v>-3.2</v>
      </c>
      <c r="AA135" s="7">
        <v>11.4</v>
      </c>
      <c r="AB135" s="7">
        <v>1.7</v>
      </c>
      <c r="AC135" s="7">
        <v>17.2</v>
      </c>
      <c r="AD135" s="7">
        <v>7</v>
      </c>
      <c r="AE135" s="7">
        <v>14.9</v>
      </c>
      <c r="AF135" s="7">
        <v>10.8</v>
      </c>
      <c r="AG135" s="7">
        <v>10.1</v>
      </c>
      <c r="AH135" s="7">
        <v>59.3</v>
      </c>
      <c r="AI135" s="7">
        <v>61.6</v>
      </c>
      <c r="AJ135" s="7">
        <v>16.3</v>
      </c>
      <c r="AK135" s="7">
        <v>97.28</v>
      </c>
      <c r="AL135" s="7">
        <v>9.1999999999999993</v>
      </c>
      <c r="AM135" s="7">
        <v>3842</v>
      </c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1"/>
    </row>
    <row r="136" spans="1:64" ht="13">
      <c r="A136" s="6" t="s">
        <v>311</v>
      </c>
      <c r="B136" s="6" t="s">
        <v>312</v>
      </c>
      <c r="C136" s="31">
        <v>760</v>
      </c>
      <c r="D136" s="24">
        <v>280</v>
      </c>
      <c r="E136" s="24">
        <v>532</v>
      </c>
      <c r="F136" s="8">
        <v>52.7</v>
      </c>
      <c r="G136" s="9">
        <v>148</v>
      </c>
      <c r="H136" s="8">
        <v>39.9</v>
      </c>
      <c r="I136" s="8">
        <v>140</v>
      </c>
      <c r="J136" s="8">
        <v>164</v>
      </c>
      <c r="K136" s="8">
        <v>84.8</v>
      </c>
      <c r="L136" s="9">
        <v>88</v>
      </c>
      <c r="M136" s="9">
        <v>240</v>
      </c>
      <c r="N136" s="9">
        <v>328</v>
      </c>
      <c r="O136" s="9">
        <v>80</v>
      </c>
      <c r="P136" s="9">
        <v>104</v>
      </c>
      <c r="Q136" s="9">
        <v>40</v>
      </c>
      <c r="R136" s="9">
        <v>40</v>
      </c>
      <c r="S136" s="9">
        <v>116</v>
      </c>
      <c r="T136" s="8">
        <v>1404</v>
      </c>
      <c r="U136" s="8">
        <v>13</v>
      </c>
      <c r="V136" s="8">
        <v>0</v>
      </c>
      <c r="W136" s="7">
        <v>-0.4</v>
      </c>
      <c r="X136" s="7">
        <v>112.4</v>
      </c>
      <c r="Y136" s="7">
        <v>113.3</v>
      </c>
      <c r="Z136" s="7">
        <v>-0.9</v>
      </c>
      <c r="AA136" s="7">
        <v>10.5</v>
      </c>
      <c r="AB136" s="7">
        <v>0.78</v>
      </c>
      <c r="AC136" s="7">
        <v>10.199999999999999</v>
      </c>
      <c r="AD136" s="7">
        <v>7.3</v>
      </c>
      <c r="AE136" s="7">
        <v>17.899999999999999</v>
      </c>
      <c r="AF136" s="7">
        <v>12.8</v>
      </c>
      <c r="AG136" s="7">
        <v>13.2</v>
      </c>
      <c r="AH136" s="7">
        <v>58.3</v>
      </c>
      <c r="AI136" s="7">
        <v>62.8</v>
      </c>
      <c r="AJ136" s="7">
        <v>23.4</v>
      </c>
      <c r="AK136" s="7">
        <v>101.72</v>
      </c>
      <c r="AL136" s="7">
        <v>12.9</v>
      </c>
      <c r="AM136" s="7">
        <v>2590</v>
      </c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1"/>
    </row>
    <row r="137" spans="1:64" ht="13">
      <c r="A137" s="6" t="s">
        <v>313</v>
      </c>
      <c r="B137" s="6" t="s">
        <v>314</v>
      </c>
      <c r="C137" s="31">
        <v>755</v>
      </c>
      <c r="D137" s="24">
        <v>259</v>
      </c>
      <c r="E137" s="24">
        <v>585</v>
      </c>
      <c r="F137" s="8">
        <v>44</v>
      </c>
      <c r="G137" s="9">
        <v>466</v>
      </c>
      <c r="H137" s="8">
        <v>41.2</v>
      </c>
      <c r="I137" s="8">
        <v>44</v>
      </c>
      <c r="J137" s="8">
        <v>59</v>
      </c>
      <c r="K137" s="8">
        <v>82.1</v>
      </c>
      <c r="L137" s="9">
        <v>44</v>
      </c>
      <c r="M137" s="9">
        <v>155</v>
      </c>
      <c r="N137" s="9">
        <v>192</v>
      </c>
      <c r="O137" s="9">
        <v>118</v>
      </c>
      <c r="P137" s="9">
        <v>37</v>
      </c>
      <c r="Q137" s="9">
        <v>44</v>
      </c>
      <c r="R137" s="9">
        <v>7</v>
      </c>
      <c r="S137" s="9">
        <v>111</v>
      </c>
      <c r="T137" s="8">
        <v>1302</v>
      </c>
      <c r="U137" s="8">
        <v>0</v>
      </c>
      <c r="V137" s="8">
        <v>0</v>
      </c>
      <c r="W137" s="7">
        <v>7.4</v>
      </c>
      <c r="X137" s="7">
        <v>119.9</v>
      </c>
      <c r="Y137" s="7">
        <v>104.1</v>
      </c>
      <c r="Z137" s="7">
        <v>15.8</v>
      </c>
      <c r="AA137" s="7">
        <v>9.6</v>
      </c>
      <c r="AB137" s="7">
        <v>3.13</v>
      </c>
      <c r="AC137" s="7">
        <v>15.6</v>
      </c>
      <c r="AD137" s="7">
        <v>2.5</v>
      </c>
      <c r="AE137" s="7">
        <v>8.9</v>
      </c>
      <c r="AF137" s="7">
        <v>5.8</v>
      </c>
      <c r="AG137" s="7">
        <v>5</v>
      </c>
      <c r="AH137" s="7">
        <v>60.4</v>
      </c>
      <c r="AI137" s="7">
        <v>61.7</v>
      </c>
      <c r="AJ137" s="7">
        <v>16.600000000000001</v>
      </c>
      <c r="AK137" s="7">
        <v>102.23</v>
      </c>
      <c r="AL137" s="7">
        <v>8.9</v>
      </c>
      <c r="AM137" s="7">
        <v>3420</v>
      </c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1"/>
    </row>
    <row r="138" spans="1:64" ht="13">
      <c r="A138" s="6" t="s">
        <v>315</v>
      </c>
      <c r="B138" s="6" t="s">
        <v>316</v>
      </c>
      <c r="C138" s="31">
        <v>751</v>
      </c>
      <c r="D138" s="24">
        <v>245</v>
      </c>
      <c r="E138" s="24">
        <v>616</v>
      </c>
      <c r="F138" s="8">
        <v>39.700000000000003</v>
      </c>
      <c r="G138" s="9">
        <v>363</v>
      </c>
      <c r="H138" s="8">
        <v>33.700000000000003</v>
      </c>
      <c r="I138" s="8">
        <v>134</v>
      </c>
      <c r="J138" s="8">
        <v>166</v>
      </c>
      <c r="K138" s="8">
        <v>81.8</v>
      </c>
      <c r="L138" s="9">
        <v>71</v>
      </c>
      <c r="M138" s="9">
        <v>198</v>
      </c>
      <c r="N138" s="9">
        <v>269</v>
      </c>
      <c r="O138" s="9">
        <v>142</v>
      </c>
      <c r="P138" s="9">
        <v>79</v>
      </c>
      <c r="Q138" s="9">
        <v>40</v>
      </c>
      <c r="R138" s="9">
        <v>8</v>
      </c>
      <c r="S138" s="9">
        <v>166</v>
      </c>
      <c r="T138" s="8">
        <v>1343</v>
      </c>
      <c r="U138" s="8">
        <v>0</v>
      </c>
      <c r="V138" s="8">
        <v>0</v>
      </c>
      <c r="W138" s="7">
        <v>-3.3</v>
      </c>
      <c r="X138" s="7">
        <v>106.9</v>
      </c>
      <c r="Y138" s="7">
        <v>113.7</v>
      </c>
      <c r="Z138" s="7">
        <v>-6.7</v>
      </c>
      <c r="AA138" s="7">
        <v>11</v>
      </c>
      <c r="AB138" s="7">
        <v>1.84</v>
      </c>
      <c r="AC138" s="7">
        <v>15.9</v>
      </c>
      <c r="AD138" s="7">
        <v>3.5</v>
      </c>
      <c r="AE138" s="7">
        <v>10.199999999999999</v>
      </c>
      <c r="AF138" s="7">
        <v>6.7</v>
      </c>
      <c r="AG138" s="7">
        <v>8.6</v>
      </c>
      <c r="AH138" s="7">
        <v>49.5</v>
      </c>
      <c r="AI138" s="7">
        <v>54.1</v>
      </c>
      <c r="AJ138" s="7">
        <v>16.100000000000001</v>
      </c>
      <c r="AK138" s="7">
        <v>97.23</v>
      </c>
      <c r="AL138" s="7">
        <v>6.5</v>
      </c>
      <c r="AM138" s="7">
        <v>4122</v>
      </c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1"/>
    </row>
    <row r="139" spans="1:64" ht="13">
      <c r="A139" s="6" t="s">
        <v>317</v>
      </c>
      <c r="B139" s="6" t="s">
        <v>318</v>
      </c>
      <c r="C139" s="31">
        <v>750</v>
      </c>
      <c r="D139" s="24">
        <v>265</v>
      </c>
      <c r="E139" s="24">
        <v>495</v>
      </c>
      <c r="F139" s="8">
        <v>53.1</v>
      </c>
      <c r="G139" s="9">
        <v>173</v>
      </c>
      <c r="H139" s="8">
        <v>43.6</v>
      </c>
      <c r="I139" s="8">
        <v>143</v>
      </c>
      <c r="J139" s="8">
        <v>179</v>
      </c>
      <c r="K139" s="8">
        <v>81</v>
      </c>
      <c r="L139" s="9">
        <v>82</v>
      </c>
      <c r="M139" s="9">
        <v>168</v>
      </c>
      <c r="N139" s="9">
        <v>245</v>
      </c>
      <c r="O139" s="9">
        <v>163</v>
      </c>
      <c r="P139" s="9">
        <v>71</v>
      </c>
      <c r="Q139" s="9">
        <v>26</v>
      </c>
      <c r="R139" s="9">
        <v>15</v>
      </c>
      <c r="S139" s="9">
        <v>82</v>
      </c>
      <c r="T139" s="8">
        <v>1326</v>
      </c>
      <c r="U139" s="8">
        <v>3</v>
      </c>
      <c r="V139" s="8">
        <v>0</v>
      </c>
      <c r="W139" s="7">
        <v>5.9</v>
      </c>
      <c r="X139" s="7">
        <v>122.5</v>
      </c>
      <c r="Y139" s="7">
        <v>113</v>
      </c>
      <c r="Z139" s="7">
        <v>9.5</v>
      </c>
      <c r="AA139" s="7">
        <v>14.3</v>
      </c>
      <c r="AB139" s="7">
        <v>2.25</v>
      </c>
      <c r="AC139" s="7">
        <v>20.100000000000001</v>
      </c>
      <c r="AD139" s="7">
        <v>6</v>
      </c>
      <c r="AE139" s="7">
        <v>10.9</v>
      </c>
      <c r="AF139" s="7">
        <v>8.6</v>
      </c>
      <c r="AG139" s="7">
        <v>9</v>
      </c>
      <c r="AH139" s="7">
        <v>60.7</v>
      </c>
      <c r="AI139" s="7">
        <v>65</v>
      </c>
      <c r="AJ139" s="7">
        <v>18.600000000000001</v>
      </c>
      <c r="AK139" s="7">
        <v>101.64</v>
      </c>
      <c r="AL139" s="7">
        <v>10.4</v>
      </c>
      <c r="AM139" s="7">
        <v>3068</v>
      </c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1"/>
    </row>
    <row r="140" spans="1:64" ht="13">
      <c r="A140" s="6" t="s">
        <v>319</v>
      </c>
      <c r="B140" s="6" t="s">
        <v>320</v>
      </c>
      <c r="C140" s="31">
        <v>749</v>
      </c>
      <c r="D140" s="24">
        <v>250</v>
      </c>
      <c r="E140" s="24">
        <v>593</v>
      </c>
      <c r="F140" s="8">
        <v>42.7</v>
      </c>
      <c r="G140" s="9">
        <v>312</v>
      </c>
      <c r="H140" s="8">
        <v>36.6</v>
      </c>
      <c r="I140" s="8">
        <v>133</v>
      </c>
      <c r="J140" s="8">
        <v>148</v>
      </c>
      <c r="K140" s="8">
        <v>85.5</v>
      </c>
      <c r="L140" s="9">
        <v>39</v>
      </c>
      <c r="M140" s="9">
        <v>218</v>
      </c>
      <c r="N140" s="9">
        <v>257</v>
      </c>
      <c r="O140" s="9">
        <v>148</v>
      </c>
      <c r="P140" s="9">
        <v>86</v>
      </c>
      <c r="Q140" s="9">
        <v>62</v>
      </c>
      <c r="R140" s="9">
        <v>31</v>
      </c>
      <c r="S140" s="9">
        <v>117</v>
      </c>
      <c r="T140" s="8">
        <v>1474</v>
      </c>
      <c r="U140" s="8">
        <v>0</v>
      </c>
      <c r="V140" s="8">
        <v>0</v>
      </c>
      <c r="W140" s="7">
        <v>-1.1000000000000001</v>
      </c>
      <c r="X140" s="7">
        <v>112.6</v>
      </c>
      <c r="Y140" s="7">
        <v>114.3</v>
      </c>
      <c r="Z140" s="7">
        <v>-1.7</v>
      </c>
      <c r="AA140" s="7">
        <v>9.3000000000000007</v>
      </c>
      <c r="AB140" s="7">
        <v>1.66</v>
      </c>
      <c r="AC140" s="7">
        <v>16.399999999999999</v>
      </c>
      <c r="AD140" s="7">
        <v>1.9</v>
      </c>
      <c r="AE140" s="7">
        <v>10.199999999999999</v>
      </c>
      <c r="AF140" s="7">
        <v>6.1</v>
      </c>
      <c r="AG140" s="7">
        <v>9.9</v>
      </c>
      <c r="AH140" s="7">
        <v>52.5</v>
      </c>
      <c r="AI140" s="7">
        <v>57</v>
      </c>
      <c r="AJ140" s="7">
        <v>15</v>
      </c>
      <c r="AK140" s="7">
        <v>100.27</v>
      </c>
      <c r="AL140" s="7">
        <v>6.9</v>
      </c>
      <c r="AM140" s="7">
        <v>4440</v>
      </c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1"/>
    </row>
    <row r="141" spans="1:64" ht="13">
      <c r="A141" s="6" t="s">
        <v>321</v>
      </c>
      <c r="B141" s="6" t="s">
        <v>322</v>
      </c>
      <c r="C141" s="31">
        <v>749</v>
      </c>
      <c r="D141" s="24">
        <v>282</v>
      </c>
      <c r="E141" s="24">
        <v>627</v>
      </c>
      <c r="F141" s="8">
        <v>44.5</v>
      </c>
      <c r="G141" s="9">
        <v>307</v>
      </c>
      <c r="H141" s="8">
        <v>37.200000000000003</v>
      </c>
      <c r="I141" s="8">
        <v>70</v>
      </c>
      <c r="J141" s="8">
        <v>96</v>
      </c>
      <c r="K141" s="8">
        <v>75.8</v>
      </c>
      <c r="L141" s="9">
        <v>64</v>
      </c>
      <c r="M141" s="9">
        <v>262</v>
      </c>
      <c r="N141" s="9">
        <v>326</v>
      </c>
      <c r="O141" s="9">
        <v>218</v>
      </c>
      <c r="P141" s="9">
        <v>77</v>
      </c>
      <c r="Q141" s="9">
        <v>70</v>
      </c>
      <c r="R141" s="9">
        <v>13</v>
      </c>
      <c r="S141" s="9">
        <v>96</v>
      </c>
      <c r="T141" s="8">
        <v>1638</v>
      </c>
      <c r="U141" s="8">
        <v>2</v>
      </c>
      <c r="V141" s="8">
        <v>0</v>
      </c>
      <c r="W141" s="7">
        <v>4.0999999999999996</v>
      </c>
      <c r="X141" s="7">
        <v>111.6</v>
      </c>
      <c r="Y141" s="7">
        <v>105.1</v>
      </c>
      <c r="Z141" s="7">
        <v>6.6</v>
      </c>
      <c r="AA141" s="7">
        <v>19.399999999999999</v>
      </c>
      <c r="AB141" s="7">
        <v>2.93</v>
      </c>
      <c r="AC141" s="7">
        <v>22.8</v>
      </c>
      <c r="AD141" s="7">
        <v>3.4</v>
      </c>
      <c r="AE141" s="7">
        <v>15.1</v>
      </c>
      <c r="AF141" s="7">
        <v>8.9</v>
      </c>
      <c r="AG141" s="7">
        <v>7.8</v>
      </c>
      <c r="AH141" s="7">
        <v>53.7</v>
      </c>
      <c r="AI141" s="7">
        <v>55.7</v>
      </c>
      <c r="AJ141" s="7">
        <v>17.7</v>
      </c>
      <c r="AK141" s="7">
        <v>100.36</v>
      </c>
      <c r="AL141" s="7">
        <v>11.4</v>
      </c>
      <c r="AM141" s="7">
        <v>3600</v>
      </c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1"/>
    </row>
    <row r="142" spans="1:64" ht="13">
      <c r="A142" s="6" t="s">
        <v>323</v>
      </c>
      <c r="B142" s="6" t="s">
        <v>324</v>
      </c>
      <c r="C142" s="31">
        <v>738</v>
      </c>
      <c r="D142" s="24">
        <v>288</v>
      </c>
      <c r="E142" s="24">
        <v>507</v>
      </c>
      <c r="F142" s="8">
        <v>56.7</v>
      </c>
      <c r="G142" s="9">
        <v>12</v>
      </c>
      <c r="H142" s="8">
        <v>23.1</v>
      </c>
      <c r="I142" s="8">
        <v>159</v>
      </c>
      <c r="J142" s="8">
        <v>240</v>
      </c>
      <c r="K142" s="8">
        <v>65.599999999999994</v>
      </c>
      <c r="L142" s="9">
        <v>75</v>
      </c>
      <c r="M142" s="9">
        <v>141</v>
      </c>
      <c r="N142" s="9">
        <v>216</v>
      </c>
      <c r="O142" s="9">
        <v>159</v>
      </c>
      <c r="P142" s="9">
        <v>90</v>
      </c>
      <c r="Q142" s="9">
        <v>36</v>
      </c>
      <c r="R142" s="9">
        <v>27</v>
      </c>
      <c r="S142" s="9">
        <v>81</v>
      </c>
      <c r="T142" s="8">
        <v>1338</v>
      </c>
      <c r="U142" s="8">
        <v>8</v>
      </c>
      <c r="V142" s="8">
        <v>2</v>
      </c>
      <c r="W142" s="7">
        <v>-1.4</v>
      </c>
      <c r="X142" s="7">
        <v>113.7</v>
      </c>
      <c r="Y142" s="7">
        <v>115.5</v>
      </c>
      <c r="Z142" s="7">
        <v>-1.8</v>
      </c>
      <c r="AA142" s="7">
        <v>32.5</v>
      </c>
      <c r="AB142" s="7">
        <v>1.77</v>
      </c>
      <c r="AC142" s="7">
        <v>18.5</v>
      </c>
      <c r="AD142" s="7">
        <v>8</v>
      </c>
      <c r="AE142" s="7">
        <v>15.2</v>
      </c>
      <c r="AF142" s="7">
        <v>11.6</v>
      </c>
      <c r="AG142" s="7">
        <v>10.5</v>
      </c>
      <c r="AH142" s="7">
        <v>57</v>
      </c>
      <c r="AI142" s="7">
        <v>60</v>
      </c>
      <c r="AJ142" s="7">
        <v>32.5</v>
      </c>
      <c r="AK142" s="7">
        <v>103.3</v>
      </c>
      <c r="AL142" s="7">
        <v>16.7</v>
      </c>
      <c r="AM142" s="7">
        <v>1841</v>
      </c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1"/>
    </row>
    <row r="143" spans="1:64" ht="13">
      <c r="A143" s="6" t="s">
        <v>325</v>
      </c>
      <c r="B143" s="6" t="s">
        <v>326</v>
      </c>
      <c r="C143" s="31">
        <v>733</v>
      </c>
      <c r="D143" s="24">
        <v>265</v>
      </c>
      <c r="E143" s="24">
        <v>616</v>
      </c>
      <c r="F143" s="8">
        <v>42.3</v>
      </c>
      <c r="G143" s="9">
        <v>195</v>
      </c>
      <c r="H143" s="8">
        <v>31.8</v>
      </c>
      <c r="I143" s="8">
        <v>148</v>
      </c>
      <c r="J143" s="8">
        <v>195</v>
      </c>
      <c r="K143" s="8">
        <v>76.099999999999994</v>
      </c>
      <c r="L143" s="9">
        <v>55</v>
      </c>
      <c r="M143" s="9">
        <v>179</v>
      </c>
      <c r="N143" s="9">
        <v>226</v>
      </c>
      <c r="O143" s="9">
        <v>242</v>
      </c>
      <c r="P143" s="9">
        <v>140</v>
      </c>
      <c r="Q143" s="9">
        <v>86</v>
      </c>
      <c r="R143" s="9">
        <v>47</v>
      </c>
      <c r="S143" s="9">
        <v>164</v>
      </c>
      <c r="T143" s="8">
        <v>1638</v>
      </c>
      <c r="U143" s="8">
        <v>1</v>
      </c>
      <c r="V143" s="8">
        <v>0</v>
      </c>
      <c r="W143" s="7">
        <v>-0.5</v>
      </c>
      <c r="X143" s="7">
        <v>106.2</v>
      </c>
      <c r="Y143" s="7">
        <v>107.1</v>
      </c>
      <c r="Z143" s="7">
        <v>-0.9</v>
      </c>
      <c r="AA143" s="7">
        <v>20.100000000000001</v>
      </c>
      <c r="AB143" s="7">
        <v>1.73</v>
      </c>
      <c r="AC143" s="7">
        <v>22.2</v>
      </c>
      <c r="AD143" s="7">
        <v>2.6</v>
      </c>
      <c r="AE143" s="7">
        <v>10</v>
      </c>
      <c r="AF143" s="7">
        <v>6.1</v>
      </c>
      <c r="AG143" s="7">
        <v>12.8</v>
      </c>
      <c r="AH143" s="7">
        <v>47.3</v>
      </c>
      <c r="AI143" s="7">
        <v>52.1</v>
      </c>
      <c r="AJ143" s="7">
        <v>19</v>
      </c>
      <c r="AK143" s="7">
        <v>97.83</v>
      </c>
      <c r="AL143" s="7">
        <v>8.4</v>
      </c>
      <c r="AM143" s="7">
        <v>3844</v>
      </c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1"/>
    </row>
    <row r="144" spans="1:64" ht="13">
      <c r="A144" s="6" t="s">
        <v>327</v>
      </c>
      <c r="B144" s="6" t="s">
        <v>328</v>
      </c>
      <c r="C144" s="31">
        <v>731</v>
      </c>
      <c r="D144" s="24">
        <v>249</v>
      </c>
      <c r="E144" s="24">
        <v>638</v>
      </c>
      <c r="F144" s="8">
        <v>39</v>
      </c>
      <c r="G144" s="9">
        <v>360</v>
      </c>
      <c r="H144" s="8">
        <v>31.4</v>
      </c>
      <c r="I144" s="8">
        <v>122</v>
      </c>
      <c r="J144" s="8">
        <v>145</v>
      </c>
      <c r="K144" s="8">
        <v>83.4</v>
      </c>
      <c r="L144" s="9">
        <v>17</v>
      </c>
      <c r="M144" s="9">
        <v>139</v>
      </c>
      <c r="N144" s="9">
        <v>162</v>
      </c>
      <c r="O144" s="9">
        <v>296</v>
      </c>
      <c r="P144" s="9">
        <v>110</v>
      </c>
      <c r="Q144" s="9">
        <v>58</v>
      </c>
      <c r="R144" s="9">
        <v>23</v>
      </c>
      <c r="S144" s="9">
        <v>116</v>
      </c>
      <c r="T144" s="8">
        <v>1502</v>
      </c>
      <c r="U144" s="8">
        <v>4</v>
      </c>
      <c r="V144" s="8">
        <v>0</v>
      </c>
      <c r="W144" s="7">
        <v>0</v>
      </c>
      <c r="X144" s="7">
        <v>110.1</v>
      </c>
      <c r="Y144" s="7">
        <v>111.6</v>
      </c>
      <c r="Z144" s="7">
        <v>-1.5</v>
      </c>
      <c r="AA144" s="7">
        <v>30.2</v>
      </c>
      <c r="AB144" s="7">
        <v>2.75</v>
      </c>
      <c r="AC144" s="7">
        <v>26.9</v>
      </c>
      <c r="AD144" s="7">
        <v>1.3</v>
      </c>
      <c r="AE144" s="7">
        <v>9.3000000000000007</v>
      </c>
      <c r="AF144" s="7">
        <v>5.3</v>
      </c>
      <c r="AG144" s="7">
        <v>9.8000000000000007</v>
      </c>
      <c r="AH144" s="7">
        <v>47.9</v>
      </c>
      <c r="AI144" s="7">
        <v>52.2</v>
      </c>
      <c r="AJ144" s="7">
        <v>22.8</v>
      </c>
      <c r="AK144" s="7">
        <v>99.59</v>
      </c>
      <c r="AL144" s="7">
        <v>9.8000000000000007</v>
      </c>
      <c r="AM144" s="7">
        <v>3092</v>
      </c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1"/>
    </row>
    <row r="145" spans="1:64" ht="13">
      <c r="A145" s="6" t="s">
        <v>329</v>
      </c>
      <c r="B145" s="6" t="s">
        <v>330</v>
      </c>
      <c r="C145" s="31">
        <v>726</v>
      </c>
      <c r="D145" s="24">
        <v>266</v>
      </c>
      <c r="E145" s="24">
        <v>625</v>
      </c>
      <c r="F145" s="8">
        <v>42.1</v>
      </c>
      <c r="G145" s="9">
        <v>224</v>
      </c>
      <c r="H145" s="8">
        <v>28.1</v>
      </c>
      <c r="I145" s="8">
        <v>136</v>
      </c>
      <c r="J145" s="8">
        <v>183</v>
      </c>
      <c r="K145" s="8">
        <v>74.599999999999994</v>
      </c>
      <c r="L145" s="9">
        <v>89</v>
      </c>
      <c r="M145" s="9">
        <v>201</v>
      </c>
      <c r="N145" s="9">
        <v>295</v>
      </c>
      <c r="O145" s="9">
        <v>201</v>
      </c>
      <c r="P145" s="9">
        <v>124</v>
      </c>
      <c r="Q145" s="9">
        <v>77</v>
      </c>
      <c r="R145" s="9">
        <v>41</v>
      </c>
      <c r="S145" s="9">
        <v>142</v>
      </c>
      <c r="T145" s="8">
        <v>1611</v>
      </c>
      <c r="U145" s="8">
        <v>3</v>
      </c>
      <c r="V145" s="8">
        <v>1</v>
      </c>
      <c r="W145" s="7">
        <v>-9.9</v>
      </c>
      <c r="X145" s="7">
        <v>104.5</v>
      </c>
      <c r="Y145" s="7">
        <v>118.3</v>
      </c>
      <c r="Z145" s="7">
        <v>-13.8</v>
      </c>
      <c r="AA145" s="7">
        <v>15</v>
      </c>
      <c r="AB145" s="7">
        <v>1.59</v>
      </c>
      <c r="AC145" s="7">
        <v>19.399999999999999</v>
      </c>
      <c r="AD145" s="7">
        <v>4.3</v>
      </c>
      <c r="AE145" s="7">
        <v>9.8000000000000007</v>
      </c>
      <c r="AF145" s="7">
        <v>7</v>
      </c>
      <c r="AG145" s="7">
        <v>12.2</v>
      </c>
      <c r="AH145" s="7">
        <v>47.2</v>
      </c>
      <c r="AI145" s="7">
        <v>51.5</v>
      </c>
      <c r="AJ145" s="7">
        <v>17.5</v>
      </c>
      <c r="AK145" s="7">
        <v>103.22</v>
      </c>
      <c r="AL145" s="7">
        <v>7</v>
      </c>
      <c r="AM145" s="7">
        <v>4183</v>
      </c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1"/>
    </row>
    <row r="146" spans="1:64" ht="13">
      <c r="A146" s="6" t="s">
        <v>331</v>
      </c>
      <c r="B146" s="6" t="s">
        <v>332</v>
      </c>
      <c r="C146" s="31">
        <v>725</v>
      </c>
      <c r="D146" s="24">
        <v>244</v>
      </c>
      <c r="E146" s="24">
        <v>570</v>
      </c>
      <c r="F146" s="8">
        <v>43.3</v>
      </c>
      <c r="G146" s="9">
        <v>340</v>
      </c>
      <c r="H146" s="8">
        <v>37.4</v>
      </c>
      <c r="I146" s="8">
        <v>104</v>
      </c>
      <c r="J146" s="8">
        <v>133</v>
      </c>
      <c r="K146" s="8">
        <v>79.7</v>
      </c>
      <c r="L146" s="9">
        <v>52</v>
      </c>
      <c r="M146" s="9">
        <v>141</v>
      </c>
      <c r="N146" s="9">
        <v>192</v>
      </c>
      <c r="O146" s="9">
        <v>96</v>
      </c>
      <c r="P146" s="9">
        <v>52</v>
      </c>
      <c r="Q146" s="9">
        <v>59</v>
      </c>
      <c r="R146" s="9">
        <v>30</v>
      </c>
      <c r="S146" s="9">
        <v>118</v>
      </c>
      <c r="T146" s="8">
        <v>1310</v>
      </c>
      <c r="U146" s="8">
        <v>0</v>
      </c>
      <c r="V146" s="8">
        <v>0</v>
      </c>
      <c r="W146" s="7">
        <v>1.8</v>
      </c>
      <c r="X146" s="7">
        <v>113.2</v>
      </c>
      <c r="Y146" s="7">
        <v>108.9</v>
      </c>
      <c r="Z146" s="7">
        <v>4.3</v>
      </c>
      <c r="AA146" s="7">
        <v>8.4</v>
      </c>
      <c r="AB146" s="7">
        <v>1.78</v>
      </c>
      <c r="AC146" s="7">
        <v>12.4</v>
      </c>
      <c r="AD146" s="7">
        <v>2.9</v>
      </c>
      <c r="AE146" s="7">
        <v>8.4</v>
      </c>
      <c r="AF146" s="7">
        <v>5.6</v>
      </c>
      <c r="AG146" s="7">
        <v>7</v>
      </c>
      <c r="AH146" s="7">
        <v>54.4</v>
      </c>
      <c r="AI146" s="7">
        <v>57.8</v>
      </c>
      <c r="AJ146" s="7">
        <v>17</v>
      </c>
      <c r="AK146" s="7">
        <v>100.74</v>
      </c>
      <c r="AL146" s="7">
        <v>7.6</v>
      </c>
      <c r="AM146" s="7">
        <v>3454</v>
      </c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1"/>
    </row>
    <row r="147" spans="1:64" ht="13">
      <c r="A147" s="6" t="s">
        <v>333</v>
      </c>
      <c r="B147" s="6" t="s">
        <v>334</v>
      </c>
      <c r="C147" s="31">
        <v>725</v>
      </c>
      <c r="D147" s="24">
        <v>248</v>
      </c>
      <c r="E147" s="24">
        <v>595</v>
      </c>
      <c r="F147" s="8">
        <v>42.2</v>
      </c>
      <c r="G147" s="9">
        <v>440</v>
      </c>
      <c r="H147" s="8">
        <v>39.700000000000003</v>
      </c>
      <c r="I147" s="8">
        <v>50</v>
      </c>
      <c r="J147" s="8">
        <v>62</v>
      </c>
      <c r="K147" s="8">
        <v>77.8</v>
      </c>
      <c r="L147" s="9">
        <v>31</v>
      </c>
      <c r="M147" s="9">
        <v>198</v>
      </c>
      <c r="N147" s="9">
        <v>229</v>
      </c>
      <c r="O147" s="9">
        <v>223</v>
      </c>
      <c r="P147" s="9">
        <v>99</v>
      </c>
      <c r="Q147" s="9">
        <v>74</v>
      </c>
      <c r="R147" s="9">
        <v>19</v>
      </c>
      <c r="S147" s="9">
        <v>112</v>
      </c>
      <c r="T147" s="8">
        <v>1507</v>
      </c>
      <c r="U147" s="8">
        <v>1</v>
      </c>
      <c r="V147" s="8">
        <v>0</v>
      </c>
      <c r="W147" s="7">
        <v>2.8</v>
      </c>
      <c r="X147" s="7">
        <v>114.2</v>
      </c>
      <c r="Y147" s="7">
        <v>109.1</v>
      </c>
      <c r="Z147" s="7">
        <v>5.0999999999999996</v>
      </c>
      <c r="AA147" s="7">
        <v>20.3</v>
      </c>
      <c r="AB147" s="7">
        <v>2.27</v>
      </c>
      <c r="AC147" s="7">
        <v>23.8</v>
      </c>
      <c r="AD147" s="7">
        <v>2</v>
      </c>
      <c r="AE147" s="7">
        <v>11.5</v>
      </c>
      <c r="AF147" s="7">
        <v>6.8</v>
      </c>
      <c r="AG147" s="7">
        <v>10.5</v>
      </c>
      <c r="AH147" s="7">
        <v>56.8</v>
      </c>
      <c r="AI147" s="7">
        <v>58.2</v>
      </c>
      <c r="AJ147" s="7">
        <v>18.8</v>
      </c>
      <c r="AK147" s="7">
        <v>100.17</v>
      </c>
      <c r="AL147" s="7">
        <v>10</v>
      </c>
      <c r="AM147" s="7">
        <v>3352</v>
      </c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1"/>
    </row>
    <row r="148" spans="1:64" ht="13">
      <c r="A148" s="6" t="s">
        <v>335</v>
      </c>
      <c r="B148" s="6" t="s">
        <v>336</v>
      </c>
      <c r="C148" s="31">
        <v>722</v>
      </c>
      <c r="D148" s="24">
        <v>246</v>
      </c>
      <c r="E148" s="24">
        <v>582</v>
      </c>
      <c r="F148" s="8">
        <v>42.7</v>
      </c>
      <c r="G148" s="9">
        <v>369</v>
      </c>
      <c r="H148" s="8">
        <v>37.700000000000003</v>
      </c>
      <c r="I148" s="8">
        <v>82</v>
      </c>
      <c r="J148" s="8">
        <v>90</v>
      </c>
      <c r="K148" s="8">
        <v>92.4</v>
      </c>
      <c r="L148" s="9">
        <v>33</v>
      </c>
      <c r="M148" s="9">
        <v>262</v>
      </c>
      <c r="N148" s="9">
        <v>295</v>
      </c>
      <c r="O148" s="9">
        <v>607</v>
      </c>
      <c r="P148" s="9">
        <v>131</v>
      </c>
      <c r="Q148" s="9">
        <v>107</v>
      </c>
      <c r="R148" s="9">
        <v>25</v>
      </c>
      <c r="S148" s="9">
        <v>148</v>
      </c>
      <c r="T148" s="8">
        <v>2230</v>
      </c>
      <c r="U148" s="8">
        <v>12</v>
      </c>
      <c r="V148" s="8">
        <v>0</v>
      </c>
      <c r="W148" s="7">
        <v>0</v>
      </c>
      <c r="X148" s="7">
        <v>114.2</v>
      </c>
      <c r="Y148" s="7">
        <v>115</v>
      </c>
      <c r="Z148" s="7">
        <v>-0.8</v>
      </c>
      <c r="AA148" s="7">
        <v>34.200000000000003</v>
      </c>
      <c r="AB148" s="7">
        <v>4.6900000000000004</v>
      </c>
      <c r="AC148" s="7">
        <v>45</v>
      </c>
      <c r="AD148" s="7">
        <v>1.4</v>
      </c>
      <c r="AE148" s="7">
        <v>11</v>
      </c>
      <c r="AF148" s="7">
        <v>6.2</v>
      </c>
      <c r="AG148" s="7">
        <v>9.6</v>
      </c>
      <c r="AH148" s="7">
        <v>54.7</v>
      </c>
      <c r="AI148" s="7">
        <v>58</v>
      </c>
      <c r="AJ148" s="7">
        <v>13.7</v>
      </c>
      <c r="AK148" s="7">
        <v>100.48</v>
      </c>
      <c r="AL148" s="7">
        <v>10.199999999999999</v>
      </c>
      <c r="AM148" s="7">
        <v>4817</v>
      </c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1"/>
    </row>
    <row r="149" spans="1:64" ht="13">
      <c r="A149" s="6" t="s">
        <v>337</v>
      </c>
      <c r="B149" s="6" t="s">
        <v>338</v>
      </c>
      <c r="C149" s="31">
        <v>721</v>
      </c>
      <c r="D149" s="24">
        <v>322</v>
      </c>
      <c r="E149" s="24">
        <v>567</v>
      </c>
      <c r="F149" s="8">
        <v>56.3</v>
      </c>
      <c r="G149" s="9">
        <v>21</v>
      </c>
      <c r="H149" s="8">
        <v>23.8</v>
      </c>
      <c r="I149" s="8">
        <v>77</v>
      </c>
      <c r="J149" s="8">
        <v>154</v>
      </c>
      <c r="K149" s="8">
        <v>51.3</v>
      </c>
      <c r="L149" s="9">
        <v>154</v>
      </c>
      <c r="M149" s="9">
        <v>357</v>
      </c>
      <c r="N149" s="9">
        <v>518</v>
      </c>
      <c r="O149" s="9">
        <v>154</v>
      </c>
      <c r="P149" s="9">
        <v>84</v>
      </c>
      <c r="Q149" s="9">
        <v>63</v>
      </c>
      <c r="R149" s="9">
        <v>98</v>
      </c>
      <c r="S149" s="9">
        <v>147</v>
      </c>
      <c r="T149" s="8">
        <v>1974</v>
      </c>
      <c r="U149" s="8">
        <v>13</v>
      </c>
      <c r="V149" s="8">
        <v>0</v>
      </c>
      <c r="W149" s="7">
        <v>-7.1</v>
      </c>
      <c r="X149" s="7">
        <v>103.6</v>
      </c>
      <c r="Y149" s="7">
        <v>116.2</v>
      </c>
      <c r="Z149" s="7">
        <v>-12.6</v>
      </c>
      <c r="AA149" s="7">
        <v>14</v>
      </c>
      <c r="AB149" s="7">
        <v>1.8</v>
      </c>
      <c r="AC149" s="7">
        <v>17.899999999999999</v>
      </c>
      <c r="AD149" s="7">
        <v>8</v>
      </c>
      <c r="AE149" s="7">
        <v>19.8</v>
      </c>
      <c r="AF149" s="7">
        <v>13.7</v>
      </c>
      <c r="AG149" s="7">
        <v>9.9</v>
      </c>
      <c r="AH149" s="7">
        <v>56.8</v>
      </c>
      <c r="AI149" s="7">
        <v>56.9</v>
      </c>
      <c r="AJ149" s="7">
        <v>16.600000000000001</v>
      </c>
      <c r="AK149" s="7">
        <v>97.38</v>
      </c>
      <c r="AL149" s="7">
        <v>11.5</v>
      </c>
      <c r="AM149" s="7">
        <v>3811</v>
      </c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1"/>
    </row>
    <row r="150" spans="1:64" ht="13">
      <c r="A150" s="6" t="s">
        <v>339</v>
      </c>
      <c r="B150" s="6" t="s">
        <v>340</v>
      </c>
      <c r="C150" s="31">
        <v>719</v>
      </c>
      <c r="D150" s="24">
        <v>259</v>
      </c>
      <c r="E150" s="24">
        <v>569</v>
      </c>
      <c r="F150" s="8">
        <v>45.4</v>
      </c>
      <c r="G150" s="9">
        <v>150</v>
      </c>
      <c r="H150" s="8">
        <v>30.5</v>
      </c>
      <c r="I150" s="8">
        <v>155</v>
      </c>
      <c r="J150" s="8">
        <v>235</v>
      </c>
      <c r="K150" s="8">
        <v>66.8</v>
      </c>
      <c r="L150" s="9">
        <v>56</v>
      </c>
      <c r="M150" s="9">
        <v>160</v>
      </c>
      <c r="N150" s="9">
        <v>216</v>
      </c>
      <c r="O150" s="9">
        <v>103</v>
      </c>
      <c r="P150" s="9">
        <v>71</v>
      </c>
      <c r="Q150" s="9">
        <v>38</v>
      </c>
      <c r="R150" s="9">
        <v>19</v>
      </c>
      <c r="S150" s="9">
        <v>89</v>
      </c>
      <c r="T150" s="8">
        <v>1241</v>
      </c>
      <c r="U150" s="8">
        <v>2</v>
      </c>
      <c r="V150" s="8">
        <v>0</v>
      </c>
      <c r="W150" s="7">
        <v>0.2</v>
      </c>
      <c r="X150" s="7">
        <v>110</v>
      </c>
      <c r="Y150" s="7">
        <v>108.9</v>
      </c>
      <c r="Z150" s="7">
        <v>1</v>
      </c>
      <c r="AA150" s="7">
        <v>15.1</v>
      </c>
      <c r="AB150" s="7">
        <v>1.46</v>
      </c>
      <c r="AC150" s="7">
        <v>12.2</v>
      </c>
      <c r="AD150" s="7">
        <v>4.5</v>
      </c>
      <c r="AE150" s="7">
        <v>13.4</v>
      </c>
      <c r="AF150" s="7">
        <v>8.8000000000000007</v>
      </c>
      <c r="AG150" s="7">
        <v>8.3000000000000007</v>
      </c>
      <c r="AH150" s="7">
        <v>49.5</v>
      </c>
      <c r="AI150" s="7">
        <v>53.5</v>
      </c>
      <c r="AJ150" s="7">
        <v>27.1</v>
      </c>
      <c r="AK150" s="7">
        <v>100.21</v>
      </c>
      <c r="AL150" s="7">
        <v>11</v>
      </c>
      <c r="AM150" s="7">
        <v>2381</v>
      </c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1"/>
    </row>
    <row r="151" spans="1:64" ht="13">
      <c r="A151" s="13" t="s">
        <v>341</v>
      </c>
      <c r="B151" s="6" t="s">
        <v>342</v>
      </c>
      <c r="C151" s="31">
        <v>719</v>
      </c>
      <c r="D151" s="24">
        <v>324</v>
      </c>
      <c r="E151" s="24">
        <v>624</v>
      </c>
      <c r="F151" s="8">
        <v>51.9</v>
      </c>
      <c r="G151" s="9">
        <v>47</v>
      </c>
      <c r="H151" s="8">
        <v>30.6</v>
      </c>
      <c r="I151" s="8">
        <v>55</v>
      </c>
      <c r="J151" s="8">
        <v>79</v>
      </c>
      <c r="K151" s="8">
        <v>74</v>
      </c>
      <c r="L151" s="9">
        <v>47</v>
      </c>
      <c r="M151" s="9">
        <v>150</v>
      </c>
      <c r="N151" s="9">
        <v>190</v>
      </c>
      <c r="O151" s="9">
        <v>348</v>
      </c>
      <c r="P151" s="9">
        <v>111</v>
      </c>
      <c r="Q151" s="9">
        <v>87</v>
      </c>
      <c r="R151" s="9">
        <v>24</v>
      </c>
      <c r="S151" s="9">
        <v>79</v>
      </c>
      <c r="T151" s="8">
        <v>1683</v>
      </c>
      <c r="U151" s="8">
        <v>2</v>
      </c>
      <c r="V151" s="8">
        <v>0</v>
      </c>
      <c r="W151" s="7">
        <v>-0.7</v>
      </c>
      <c r="X151" s="7">
        <v>111.1</v>
      </c>
      <c r="Y151" s="7">
        <v>113.8</v>
      </c>
      <c r="Z151" s="7">
        <v>-2.7</v>
      </c>
      <c r="AA151" s="7">
        <v>35.9</v>
      </c>
      <c r="AB151" s="7">
        <v>3.22</v>
      </c>
      <c r="AC151" s="7">
        <v>31.3</v>
      </c>
      <c r="AD151" s="7">
        <v>3.2</v>
      </c>
      <c r="AE151" s="7">
        <v>10.4</v>
      </c>
      <c r="AF151" s="7">
        <v>6.9</v>
      </c>
      <c r="AG151" s="7">
        <v>9.6999999999999993</v>
      </c>
      <c r="AH151" s="7">
        <v>53.1</v>
      </c>
      <c r="AI151" s="7">
        <v>54.7</v>
      </c>
      <c r="AJ151" s="7">
        <v>22.6</v>
      </c>
      <c r="AK151" s="7">
        <v>103.69</v>
      </c>
      <c r="AL151" s="7">
        <v>12.9</v>
      </c>
      <c r="AM151" s="7">
        <v>3069</v>
      </c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1"/>
    </row>
    <row r="152" spans="1:64" ht="13">
      <c r="A152" s="6" t="s">
        <v>343</v>
      </c>
      <c r="B152" s="6" t="s">
        <v>344</v>
      </c>
      <c r="C152" s="31">
        <v>717</v>
      </c>
      <c r="D152" s="24">
        <v>256</v>
      </c>
      <c r="E152" s="24">
        <v>596</v>
      </c>
      <c r="F152" s="8">
        <v>43.5</v>
      </c>
      <c r="G152" s="9">
        <v>412</v>
      </c>
      <c r="H152" s="8">
        <v>41.2</v>
      </c>
      <c r="I152" s="8">
        <v>36</v>
      </c>
      <c r="J152" s="8">
        <v>43</v>
      </c>
      <c r="K152" s="8">
        <v>71.7</v>
      </c>
      <c r="L152" s="9">
        <v>92</v>
      </c>
      <c r="M152" s="9">
        <v>206</v>
      </c>
      <c r="N152" s="9">
        <v>291</v>
      </c>
      <c r="O152" s="9">
        <v>114</v>
      </c>
      <c r="P152" s="9">
        <v>50</v>
      </c>
      <c r="Q152" s="9">
        <v>78</v>
      </c>
      <c r="R152" s="9">
        <v>36</v>
      </c>
      <c r="S152" s="9">
        <v>206</v>
      </c>
      <c r="T152" s="8">
        <v>1548</v>
      </c>
      <c r="U152" s="8">
        <v>0</v>
      </c>
      <c r="V152" s="8">
        <v>0</v>
      </c>
      <c r="W152" s="7">
        <v>7.7</v>
      </c>
      <c r="X152" s="7">
        <v>120.4</v>
      </c>
      <c r="Y152" s="7">
        <v>107.3</v>
      </c>
      <c r="Z152" s="7">
        <v>13.1</v>
      </c>
      <c r="AA152" s="7">
        <v>6.7</v>
      </c>
      <c r="AB152" s="7">
        <v>2.25</v>
      </c>
      <c r="AC152" s="7">
        <v>14.8</v>
      </c>
      <c r="AD152" s="7">
        <v>4.0999999999999996</v>
      </c>
      <c r="AE152" s="7">
        <v>9.3000000000000007</v>
      </c>
      <c r="AF152" s="7">
        <v>6.7</v>
      </c>
      <c r="AG152" s="7">
        <v>6.6</v>
      </c>
      <c r="AH152" s="7">
        <v>57.8</v>
      </c>
      <c r="AI152" s="7">
        <v>58.6</v>
      </c>
      <c r="AJ152" s="7">
        <v>13.3</v>
      </c>
      <c r="AK152" s="7">
        <v>101.75</v>
      </c>
      <c r="AL152" s="7">
        <v>6.3</v>
      </c>
      <c r="AM152" s="7">
        <v>4383</v>
      </c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1"/>
    </row>
    <row r="153" spans="1:64" ht="13">
      <c r="A153" s="6" t="s">
        <v>345</v>
      </c>
      <c r="B153" s="6" t="s">
        <v>346</v>
      </c>
      <c r="C153" s="31">
        <v>710</v>
      </c>
      <c r="D153" s="24">
        <v>257</v>
      </c>
      <c r="E153" s="24">
        <v>554</v>
      </c>
      <c r="F153" s="8">
        <v>46.1</v>
      </c>
      <c r="G153" s="9">
        <v>343</v>
      </c>
      <c r="H153" s="8">
        <v>37.6</v>
      </c>
      <c r="I153" s="8">
        <v>62</v>
      </c>
      <c r="J153" s="8">
        <v>86</v>
      </c>
      <c r="K153" s="8">
        <v>76.2</v>
      </c>
      <c r="L153" s="9">
        <v>39</v>
      </c>
      <c r="M153" s="9">
        <v>179</v>
      </c>
      <c r="N153" s="9">
        <v>218</v>
      </c>
      <c r="O153" s="9">
        <v>62</v>
      </c>
      <c r="P153" s="9">
        <v>39</v>
      </c>
      <c r="Q153" s="9">
        <v>23</v>
      </c>
      <c r="R153" s="9">
        <v>8</v>
      </c>
      <c r="S153" s="9">
        <v>94</v>
      </c>
      <c r="T153" s="8">
        <v>1123</v>
      </c>
      <c r="U153" s="8">
        <v>0</v>
      </c>
      <c r="V153" s="8">
        <v>0</v>
      </c>
      <c r="W153" s="7">
        <v>-0.9</v>
      </c>
      <c r="X153" s="7">
        <v>112.2</v>
      </c>
      <c r="Y153" s="7">
        <v>114.9</v>
      </c>
      <c r="Z153" s="7">
        <v>-2.8</v>
      </c>
      <c r="AA153" s="7">
        <v>6.7</v>
      </c>
      <c r="AB153" s="7">
        <v>1.78</v>
      </c>
      <c r="AC153" s="7">
        <v>9.5</v>
      </c>
      <c r="AD153" s="7">
        <v>2.6</v>
      </c>
      <c r="AE153" s="7">
        <v>11.6</v>
      </c>
      <c r="AF153" s="7">
        <v>7.3</v>
      </c>
      <c r="AG153" s="7">
        <v>5.3</v>
      </c>
      <c r="AH153" s="7">
        <v>57.6</v>
      </c>
      <c r="AI153" s="7">
        <v>59.4</v>
      </c>
      <c r="AJ153" s="7">
        <v>18.100000000000001</v>
      </c>
      <c r="AK153" s="7">
        <v>98.26</v>
      </c>
      <c r="AL153" s="7">
        <v>8.6999999999999993</v>
      </c>
      <c r="AM153" s="7">
        <v>3063</v>
      </c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1"/>
    </row>
    <row r="154" spans="1:64" ht="13">
      <c r="A154" s="6" t="s">
        <v>347</v>
      </c>
      <c r="B154" s="6" t="s">
        <v>348</v>
      </c>
      <c r="C154" s="31">
        <v>708</v>
      </c>
      <c r="D154" s="24">
        <v>256</v>
      </c>
      <c r="E154" s="24">
        <v>567</v>
      </c>
      <c r="F154" s="8">
        <v>45.1</v>
      </c>
      <c r="G154" s="9">
        <v>329</v>
      </c>
      <c r="H154" s="8">
        <v>36.4</v>
      </c>
      <c r="I154" s="8">
        <v>73</v>
      </c>
      <c r="J154" s="8">
        <v>85</v>
      </c>
      <c r="K154" s="8">
        <v>85.2</v>
      </c>
      <c r="L154" s="9">
        <v>37</v>
      </c>
      <c r="M154" s="9">
        <v>146</v>
      </c>
      <c r="N154" s="9">
        <v>183</v>
      </c>
      <c r="O154" s="9">
        <v>104</v>
      </c>
      <c r="P154" s="9">
        <v>61</v>
      </c>
      <c r="Q154" s="9">
        <v>24</v>
      </c>
      <c r="R154" s="9">
        <v>12</v>
      </c>
      <c r="S154" s="9">
        <v>98</v>
      </c>
      <c r="T154" s="8">
        <v>1135</v>
      </c>
      <c r="U154" s="8">
        <v>0</v>
      </c>
      <c r="V154" s="8">
        <v>0</v>
      </c>
      <c r="W154" s="7">
        <v>-4.5</v>
      </c>
      <c r="X154" s="7">
        <v>108.7</v>
      </c>
      <c r="Y154" s="7">
        <v>117.1</v>
      </c>
      <c r="Z154" s="7">
        <v>-8.5</v>
      </c>
      <c r="AA154" s="7">
        <v>9.4</v>
      </c>
      <c r="AB154" s="7">
        <v>1.61</v>
      </c>
      <c r="AC154" s="7">
        <v>13.4</v>
      </c>
      <c r="AD154" s="7">
        <v>2.1</v>
      </c>
      <c r="AE154" s="7">
        <v>8.4</v>
      </c>
      <c r="AF154" s="7">
        <v>5.3</v>
      </c>
      <c r="AG154" s="7">
        <v>8.3000000000000007</v>
      </c>
      <c r="AH154" s="7">
        <v>55.8</v>
      </c>
      <c r="AI154" s="7">
        <v>58.4</v>
      </c>
      <c r="AJ154" s="7">
        <v>16.899999999999999</v>
      </c>
      <c r="AK154" s="7">
        <v>102.68</v>
      </c>
      <c r="AL154" s="7">
        <v>7.4</v>
      </c>
      <c r="AM154" s="7">
        <v>3433</v>
      </c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1"/>
    </row>
    <row r="155" spans="1:64" ht="13">
      <c r="A155" s="6" t="s">
        <v>349</v>
      </c>
      <c r="B155" s="6" t="s">
        <v>350</v>
      </c>
      <c r="C155" s="31">
        <v>701</v>
      </c>
      <c r="D155" s="24">
        <v>285</v>
      </c>
      <c r="E155" s="24">
        <v>405</v>
      </c>
      <c r="F155" s="8">
        <v>70.2</v>
      </c>
      <c r="G155" s="8">
        <v>0</v>
      </c>
      <c r="H155" s="8">
        <v>0</v>
      </c>
      <c r="I155" s="8">
        <v>137</v>
      </c>
      <c r="J155" s="8">
        <v>194</v>
      </c>
      <c r="K155" s="8">
        <v>68.900000000000006</v>
      </c>
      <c r="L155" s="9">
        <v>154</v>
      </c>
      <c r="M155" s="9">
        <v>234</v>
      </c>
      <c r="N155" s="9">
        <v>388</v>
      </c>
      <c r="O155" s="9">
        <v>80</v>
      </c>
      <c r="P155" s="9">
        <v>68</v>
      </c>
      <c r="Q155" s="9">
        <v>23</v>
      </c>
      <c r="R155" s="9">
        <v>103</v>
      </c>
      <c r="S155" s="9">
        <v>154</v>
      </c>
      <c r="T155" s="8">
        <v>1596</v>
      </c>
      <c r="U155" s="8">
        <v>8</v>
      </c>
      <c r="V155" s="8">
        <v>0</v>
      </c>
      <c r="W155" s="7">
        <v>0.6</v>
      </c>
      <c r="X155" s="7">
        <v>114.9</v>
      </c>
      <c r="Y155" s="7">
        <v>113.4</v>
      </c>
      <c r="Z155" s="7">
        <v>1.5</v>
      </c>
      <c r="AA155" s="7">
        <v>9.6999999999999993</v>
      </c>
      <c r="AB155" s="7">
        <v>1.21</v>
      </c>
      <c r="AC155" s="7">
        <v>12.7</v>
      </c>
      <c r="AD155" s="7">
        <v>12.7</v>
      </c>
      <c r="AE155" s="7">
        <v>16.8</v>
      </c>
      <c r="AF155" s="7">
        <v>14.9</v>
      </c>
      <c r="AG155" s="7">
        <v>10.4</v>
      </c>
      <c r="AH155" s="7">
        <v>70.2</v>
      </c>
      <c r="AI155" s="7">
        <v>71.599999999999994</v>
      </c>
      <c r="AJ155" s="7">
        <v>18.600000000000001</v>
      </c>
      <c r="AK155" s="7">
        <v>101.73</v>
      </c>
      <c r="AL155" s="7">
        <v>14.1</v>
      </c>
      <c r="AM155" s="7">
        <v>2597</v>
      </c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1"/>
    </row>
    <row r="156" spans="1:64" ht="13">
      <c r="A156" s="6" t="s">
        <v>351</v>
      </c>
      <c r="B156" s="6" t="s">
        <v>352</v>
      </c>
      <c r="C156" s="31">
        <v>698</v>
      </c>
      <c r="D156" s="24">
        <v>238</v>
      </c>
      <c r="E156" s="24">
        <v>511</v>
      </c>
      <c r="F156" s="8">
        <v>47.1</v>
      </c>
      <c r="G156" s="9">
        <v>245</v>
      </c>
      <c r="H156" s="8">
        <v>40.9</v>
      </c>
      <c r="I156" s="8">
        <v>115</v>
      </c>
      <c r="J156" s="8">
        <v>130</v>
      </c>
      <c r="K156" s="8">
        <v>89.1</v>
      </c>
      <c r="L156" s="9">
        <v>29</v>
      </c>
      <c r="M156" s="9">
        <v>130</v>
      </c>
      <c r="N156" s="9">
        <v>158</v>
      </c>
      <c r="O156" s="9">
        <v>79</v>
      </c>
      <c r="P156" s="9">
        <v>43</v>
      </c>
      <c r="Q156" s="9">
        <v>43</v>
      </c>
      <c r="R156" s="9">
        <v>7</v>
      </c>
      <c r="S156" s="9">
        <v>122</v>
      </c>
      <c r="T156" s="8">
        <v>1102</v>
      </c>
      <c r="U156" s="8">
        <v>0</v>
      </c>
      <c r="V156" s="8">
        <v>0</v>
      </c>
      <c r="W156" s="7">
        <v>-0.9</v>
      </c>
      <c r="X156" s="7">
        <v>109.1</v>
      </c>
      <c r="Y156" s="7">
        <v>110.6</v>
      </c>
      <c r="Z156" s="7">
        <v>-1.4</v>
      </c>
      <c r="AA156" s="7">
        <v>6.5</v>
      </c>
      <c r="AB156" s="7">
        <v>1.71</v>
      </c>
      <c r="AC156" s="7">
        <v>11.2</v>
      </c>
      <c r="AD156" s="7">
        <v>1.9</v>
      </c>
      <c r="AE156" s="7">
        <v>7.2</v>
      </c>
      <c r="AF156" s="7">
        <v>4.5999999999999996</v>
      </c>
      <c r="AG156" s="7">
        <v>6.6</v>
      </c>
      <c r="AH156" s="7">
        <v>57</v>
      </c>
      <c r="AI156" s="7">
        <v>61.4</v>
      </c>
      <c r="AJ156" s="7">
        <v>15</v>
      </c>
      <c r="AK156" s="7">
        <v>99.23</v>
      </c>
      <c r="AL156" s="7">
        <v>7.2</v>
      </c>
      <c r="AM156" s="7">
        <v>3606</v>
      </c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1"/>
    </row>
    <row r="157" spans="1:64" ht="13">
      <c r="A157" s="13" t="s">
        <v>353</v>
      </c>
      <c r="B157" s="6" t="s">
        <v>354</v>
      </c>
      <c r="C157" s="31">
        <v>695</v>
      </c>
      <c r="D157" s="24">
        <v>251</v>
      </c>
      <c r="E157" s="24">
        <v>564</v>
      </c>
      <c r="F157" s="8">
        <v>43.8</v>
      </c>
      <c r="G157" s="9">
        <v>279</v>
      </c>
      <c r="H157" s="8">
        <v>35.4</v>
      </c>
      <c r="I157" s="8">
        <v>103</v>
      </c>
      <c r="J157" s="8">
        <v>125</v>
      </c>
      <c r="K157" s="8">
        <v>82.5</v>
      </c>
      <c r="L157" s="9">
        <v>103</v>
      </c>
      <c r="M157" s="9">
        <v>296</v>
      </c>
      <c r="N157" s="9">
        <v>399</v>
      </c>
      <c r="O157" s="9">
        <v>63</v>
      </c>
      <c r="P157" s="9">
        <v>63</v>
      </c>
      <c r="Q157" s="9">
        <v>23</v>
      </c>
      <c r="R157" s="9">
        <v>40</v>
      </c>
      <c r="S157" s="9">
        <v>125</v>
      </c>
      <c r="T157" s="8">
        <v>1402</v>
      </c>
      <c r="U157" s="8">
        <v>8</v>
      </c>
      <c r="V157" s="8">
        <v>0</v>
      </c>
      <c r="W157" s="7">
        <v>4.4000000000000004</v>
      </c>
      <c r="X157" s="7">
        <v>113.4</v>
      </c>
      <c r="Y157" s="7">
        <v>106.1</v>
      </c>
      <c r="Z157" s="7">
        <v>7.3</v>
      </c>
      <c r="AA157" s="7">
        <v>4.8</v>
      </c>
      <c r="AB157" s="7">
        <v>0.98</v>
      </c>
      <c r="AC157" s="7">
        <v>8.1</v>
      </c>
      <c r="AD157" s="7">
        <v>5.5</v>
      </c>
      <c r="AE157" s="7">
        <v>16.2</v>
      </c>
      <c r="AF157" s="7">
        <v>10.7</v>
      </c>
      <c r="AG157" s="7">
        <v>8.1999999999999993</v>
      </c>
      <c r="AH157" s="7">
        <v>52.5</v>
      </c>
      <c r="AI157" s="7">
        <v>56.2</v>
      </c>
      <c r="AJ157" s="7">
        <v>16</v>
      </c>
      <c r="AK157" s="7">
        <v>100</v>
      </c>
      <c r="AL157" s="7">
        <v>9.3000000000000007</v>
      </c>
      <c r="AM157" s="7">
        <v>3569</v>
      </c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1"/>
    </row>
    <row r="158" spans="1:64" ht="13">
      <c r="A158" s="6" t="s">
        <v>355</v>
      </c>
      <c r="B158" s="6" t="s">
        <v>356</v>
      </c>
      <c r="C158" s="31">
        <v>691</v>
      </c>
      <c r="D158" s="24">
        <v>259</v>
      </c>
      <c r="E158" s="24">
        <v>518</v>
      </c>
      <c r="F158" s="8">
        <v>50.2</v>
      </c>
      <c r="G158" s="9">
        <v>223</v>
      </c>
      <c r="H158" s="8">
        <v>35</v>
      </c>
      <c r="I158" s="8">
        <v>94</v>
      </c>
      <c r="J158" s="8">
        <v>144</v>
      </c>
      <c r="K158" s="8">
        <v>65</v>
      </c>
      <c r="L158" s="9">
        <v>115</v>
      </c>
      <c r="M158" s="9">
        <v>331</v>
      </c>
      <c r="N158" s="9">
        <v>439</v>
      </c>
      <c r="O158" s="9">
        <v>137</v>
      </c>
      <c r="P158" s="9">
        <v>101</v>
      </c>
      <c r="Q158" s="9">
        <v>50</v>
      </c>
      <c r="R158" s="9">
        <v>22</v>
      </c>
      <c r="S158" s="9">
        <v>173</v>
      </c>
      <c r="T158" s="8">
        <v>1534</v>
      </c>
      <c r="U158" s="8">
        <v>13</v>
      </c>
      <c r="V158" s="8">
        <v>0</v>
      </c>
      <c r="W158" s="7">
        <v>-5.0999999999999996</v>
      </c>
      <c r="X158" s="7">
        <v>107.7</v>
      </c>
      <c r="Y158" s="7">
        <v>118.9</v>
      </c>
      <c r="Z158" s="7">
        <v>-11.3</v>
      </c>
      <c r="AA158" s="7">
        <v>14</v>
      </c>
      <c r="AB158" s="7">
        <v>1.37</v>
      </c>
      <c r="AC158" s="7">
        <v>17</v>
      </c>
      <c r="AD158" s="7">
        <v>7</v>
      </c>
      <c r="AE158" s="7">
        <v>21.3</v>
      </c>
      <c r="AF158" s="7">
        <v>14</v>
      </c>
      <c r="AG158" s="7">
        <v>12.4</v>
      </c>
      <c r="AH158" s="7">
        <v>57.6</v>
      </c>
      <c r="AI158" s="7">
        <v>59.4</v>
      </c>
      <c r="AJ158" s="7">
        <v>18.399999999999999</v>
      </c>
      <c r="AK158" s="7">
        <v>102.46</v>
      </c>
      <c r="AL158" s="7">
        <v>10.3</v>
      </c>
      <c r="AM158" s="7">
        <v>3248</v>
      </c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1"/>
    </row>
    <row r="159" spans="1:64" ht="13">
      <c r="A159" s="6" t="s">
        <v>357</v>
      </c>
      <c r="B159" s="6" t="s">
        <v>358</v>
      </c>
      <c r="C159" s="31">
        <v>688</v>
      </c>
      <c r="D159" s="24">
        <v>254</v>
      </c>
      <c r="E159" s="24">
        <v>570</v>
      </c>
      <c r="F159" s="8">
        <v>44.3</v>
      </c>
      <c r="G159" s="9">
        <v>304</v>
      </c>
      <c r="H159" s="8">
        <v>35.299999999999997</v>
      </c>
      <c r="I159" s="8">
        <v>68</v>
      </c>
      <c r="J159" s="8">
        <v>74</v>
      </c>
      <c r="K159" s="8">
        <v>90.9</v>
      </c>
      <c r="L159" s="9">
        <v>74</v>
      </c>
      <c r="M159" s="9">
        <v>186</v>
      </c>
      <c r="N159" s="9">
        <v>267</v>
      </c>
      <c r="O159" s="9">
        <v>242</v>
      </c>
      <c r="P159" s="9">
        <v>74</v>
      </c>
      <c r="Q159" s="9">
        <v>68</v>
      </c>
      <c r="R159" s="9">
        <v>25</v>
      </c>
      <c r="S159" s="9">
        <v>99</v>
      </c>
      <c r="T159" s="8">
        <v>1562</v>
      </c>
      <c r="U159" s="8">
        <v>1</v>
      </c>
      <c r="V159" s="8">
        <v>0</v>
      </c>
      <c r="W159" s="7">
        <v>5.5</v>
      </c>
      <c r="X159" s="7">
        <v>116.6</v>
      </c>
      <c r="Y159" s="7">
        <v>107.7</v>
      </c>
      <c r="Z159" s="7">
        <v>8.9</v>
      </c>
      <c r="AA159" s="7">
        <v>17.399999999999999</v>
      </c>
      <c r="AB159" s="7">
        <v>3.1</v>
      </c>
      <c r="AC159" s="7">
        <v>25.9</v>
      </c>
      <c r="AD159" s="7">
        <v>3.8</v>
      </c>
      <c r="AE159" s="7">
        <v>9.1</v>
      </c>
      <c r="AF159" s="7">
        <v>6.5</v>
      </c>
      <c r="AG159" s="7">
        <v>8.3000000000000007</v>
      </c>
      <c r="AH159" s="7">
        <v>53.8</v>
      </c>
      <c r="AI159" s="7">
        <v>56.5</v>
      </c>
      <c r="AJ159" s="7">
        <v>15.6</v>
      </c>
      <c r="AK159" s="7">
        <v>99.38</v>
      </c>
      <c r="AL159" s="7">
        <v>8.8000000000000007</v>
      </c>
      <c r="AM159" s="7">
        <v>3921</v>
      </c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1"/>
    </row>
    <row r="160" spans="1:64" ht="13">
      <c r="A160" s="6" t="s">
        <v>359</v>
      </c>
      <c r="B160" s="6" t="s">
        <v>360</v>
      </c>
      <c r="C160" s="31">
        <v>688</v>
      </c>
      <c r="D160" s="24">
        <v>256</v>
      </c>
      <c r="E160" s="24">
        <v>552</v>
      </c>
      <c r="F160" s="8">
        <v>45.4</v>
      </c>
      <c r="G160" s="9">
        <v>264</v>
      </c>
      <c r="H160" s="8">
        <v>36.1</v>
      </c>
      <c r="I160" s="8">
        <v>88</v>
      </c>
      <c r="J160" s="8">
        <v>112</v>
      </c>
      <c r="K160" s="8">
        <v>81.5</v>
      </c>
      <c r="L160" s="9">
        <v>56</v>
      </c>
      <c r="M160" s="9">
        <v>224</v>
      </c>
      <c r="N160" s="9">
        <v>280</v>
      </c>
      <c r="O160" s="9">
        <v>80</v>
      </c>
      <c r="P160" s="9">
        <v>72</v>
      </c>
      <c r="Q160" s="9">
        <v>32</v>
      </c>
      <c r="R160" s="9">
        <v>72</v>
      </c>
      <c r="S160" s="9">
        <v>128</v>
      </c>
      <c r="T160" s="8">
        <v>1376</v>
      </c>
      <c r="U160" s="8">
        <v>1</v>
      </c>
      <c r="V160" s="8">
        <v>0</v>
      </c>
      <c r="W160" s="7">
        <v>-0.4</v>
      </c>
      <c r="X160" s="7">
        <v>110.4</v>
      </c>
      <c r="Y160" s="7">
        <v>112.1</v>
      </c>
      <c r="Z160" s="7">
        <v>-1.7</v>
      </c>
      <c r="AA160" s="7">
        <v>7.2</v>
      </c>
      <c r="AB160" s="7">
        <v>1.07</v>
      </c>
      <c r="AC160" s="7">
        <v>10.4</v>
      </c>
      <c r="AD160" s="7">
        <v>3.5</v>
      </c>
      <c r="AE160" s="7">
        <v>13.3</v>
      </c>
      <c r="AF160" s="7">
        <v>8.5</v>
      </c>
      <c r="AG160" s="7">
        <v>9.8000000000000007</v>
      </c>
      <c r="AH160" s="7">
        <v>54.1</v>
      </c>
      <c r="AI160" s="7">
        <v>57.1</v>
      </c>
      <c r="AJ160" s="7">
        <v>18.100000000000001</v>
      </c>
      <c r="AK160" s="7">
        <v>105.38</v>
      </c>
      <c r="AL160" s="7">
        <v>7.9</v>
      </c>
      <c r="AM160" s="7">
        <v>3328</v>
      </c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1"/>
    </row>
    <row r="161" spans="1:64" ht="13">
      <c r="A161" s="6" t="s">
        <v>361</v>
      </c>
      <c r="B161" s="6" t="s">
        <v>362</v>
      </c>
      <c r="C161" s="31">
        <v>684</v>
      </c>
      <c r="D161" s="24">
        <v>274</v>
      </c>
      <c r="E161" s="24">
        <v>559</v>
      </c>
      <c r="F161" s="8">
        <v>48.7</v>
      </c>
      <c r="G161" s="9">
        <v>182</v>
      </c>
      <c r="H161" s="8">
        <v>34.200000000000003</v>
      </c>
      <c r="I161" s="8">
        <v>80</v>
      </c>
      <c r="J161" s="8">
        <v>103</v>
      </c>
      <c r="K161" s="8">
        <v>76</v>
      </c>
      <c r="L161" s="9">
        <v>125</v>
      </c>
      <c r="M161" s="9">
        <v>234</v>
      </c>
      <c r="N161" s="9">
        <v>365</v>
      </c>
      <c r="O161" s="9">
        <v>86</v>
      </c>
      <c r="P161" s="9">
        <v>63</v>
      </c>
      <c r="Q161" s="9">
        <v>97</v>
      </c>
      <c r="R161" s="9">
        <v>51</v>
      </c>
      <c r="S161" s="9">
        <v>137</v>
      </c>
      <c r="T161" s="8">
        <v>1619</v>
      </c>
      <c r="U161" s="8">
        <v>6</v>
      </c>
      <c r="V161" s="8">
        <v>0</v>
      </c>
      <c r="W161" s="7">
        <v>2.5</v>
      </c>
      <c r="X161" s="7">
        <v>114.8</v>
      </c>
      <c r="Y161" s="7">
        <v>109.2</v>
      </c>
      <c r="Z161" s="7">
        <v>5.6</v>
      </c>
      <c r="AA161" s="7">
        <v>8.1999999999999993</v>
      </c>
      <c r="AB161" s="7">
        <v>1.28</v>
      </c>
      <c r="AC161" s="7">
        <v>11</v>
      </c>
      <c r="AD161" s="7">
        <v>8.1</v>
      </c>
      <c r="AE161" s="7">
        <v>15.8</v>
      </c>
      <c r="AF161" s="7">
        <v>11.8</v>
      </c>
      <c r="AG161" s="7">
        <v>8.6</v>
      </c>
      <c r="AH161" s="7">
        <v>54.3</v>
      </c>
      <c r="AI161" s="7">
        <v>56.7</v>
      </c>
      <c r="AJ161" s="7">
        <v>18.5</v>
      </c>
      <c r="AK161" s="7">
        <v>101.55</v>
      </c>
      <c r="AL161" s="7">
        <v>11.7</v>
      </c>
      <c r="AM161" s="7">
        <v>2994</v>
      </c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1"/>
    </row>
    <row r="162" spans="1:64" ht="13">
      <c r="A162" s="6" t="s">
        <v>363</v>
      </c>
      <c r="B162" s="6" t="s">
        <v>364</v>
      </c>
      <c r="C162" s="31">
        <v>683</v>
      </c>
      <c r="D162" s="24">
        <v>255</v>
      </c>
      <c r="E162" s="24">
        <v>607</v>
      </c>
      <c r="F162" s="8">
        <v>42.5</v>
      </c>
      <c r="G162" s="9">
        <v>393</v>
      </c>
      <c r="H162" s="8">
        <v>33.799999999999997</v>
      </c>
      <c r="I162" s="8">
        <v>35</v>
      </c>
      <c r="J162" s="8">
        <v>48</v>
      </c>
      <c r="K162" s="8">
        <v>71.400000000000006</v>
      </c>
      <c r="L162" s="9">
        <v>28</v>
      </c>
      <c r="M162" s="9">
        <v>173</v>
      </c>
      <c r="N162" s="9">
        <v>207</v>
      </c>
      <c r="O162" s="9">
        <v>159</v>
      </c>
      <c r="P162" s="9">
        <v>69</v>
      </c>
      <c r="Q162" s="9">
        <v>69</v>
      </c>
      <c r="R162" s="9">
        <v>21</v>
      </c>
      <c r="S162" s="9">
        <v>124</v>
      </c>
      <c r="T162" s="8">
        <v>1359</v>
      </c>
      <c r="U162" s="8">
        <v>0</v>
      </c>
      <c r="V162" s="8">
        <v>0</v>
      </c>
      <c r="W162" s="7">
        <v>1.5</v>
      </c>
      <c r="X162" s="7">
        <v>114.5</v>
      </c>
      <c r="Y162" s="7">
        <v>111.7</v>
      </c>
      <c r="Z162" s="7">
        <v>2.8</v>
      </c>
      <c r="AA162" s="7">
        <v>12.4</v>
      </c>
      <c r="AB162" s="7">
        <v>2.33</v>
      </c>
      <c r="AC162" s="7">
        <v>18.399999999999999</v>
      </c>
      <c r="AD162" s="7">
        <v>1.7</v>
      </c>
      <c r="AE162" s="7">
        <v>9.8000000000000007</v>
      </c>
      <c r="AF162" s="7">
        <v>5.8</v>
      </c>
      <c r="AG162" s="7">
        <v>7.9</v>
      </c>
      <c r="AH162" s="7">
        <v>53.5</v>
      </c>
      <c r="AI162" s="7">
        <v>54.4</v>
      </c>
      <c r="AJ162" s="7">
        <v>17.100000000000001</v>
      </c>
      <c r="AK162" s="7">
        <v>102.32</v>
      </c>
      <c r="AL162" s="7">
        <v>7.3</v>
      </c>
      <c r="AM162" s="7">
        <v>3581</v>
      </c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1"/>
    </row>
    <row r="163" spans="1:64" ht="13">
      <c r="A163" s="6" t="s">
        <v>365</v>
      </c>
      <c r="B163" s="6" t="s">
        <v>366</v>
      </c>
      <c r="C163" s="31">
        <v>683</v>
      </c>
      <c r="D163" s="24">
        <v>240</v>
      </c>
      <c r="E163" s="24">
        <v>570</v>
      </c>
      <c r="F163" s="8">
        <v>42.3</v>
      </c>
      <c r="G163" s="9">
        <v>443</v>
      </c>
      <c r="H163" s="8">
        <v>40.6</v>
      </c>
      <c r="I163" s="8">
        <v>23</v>
      </c>
      <c r="J163" s="8">
        <v>23</v>
      </c>
      <c r="K163" s="8">
        <v>73.099999999999994</v>
      </c>
      <c r="L163" s="9">
        <v>53</v>
      </c>
      <c r="M163" s="9">
        <v>293</v>
      </c>
      <c r="N163" s="9">
        <v>353</v>
      </c>
      <c r="O163" s="9">
        <v>165</v>
      </c>
      <c r="P163" s="9">
        <v>68</v>
      </c>
      <c r="Q163" s="9">
        <v>68</v>
      </c>
      <c r="R163" s="9">
        <v>38</v>
      </c>
      <c r="S163" s="9">
        <v>150</v>
      </c>
      <c r="T163" s="8">
        <v>1583</v>
      </c>
      <c r="U163" s="8">
        <v>1</v>
      </c>
      <c r="V163" s="8">
        <v>0</v>
      </c>
      <c r="W163" s="7">
        <v>-2.1</v>
      </c>
      <c r="X163" s="7">
        <v>112.1</v>
      </c>
      <c r="Y163" s="7">
        <v>116.4</v>
      </c>
      <c r="Z163" s="7">
        <v>-4.2</v>
      </c>
      <c r="AA163" s="7">
        <v>12.8</v>
      </c>
      <c r="AB163" s="7">
        <v>2.5099999999999998</v>
      </c>
      <c r="AC163" s="7">
        <v>20.100000000000001</v>
      </c>
      <c r="AD163" s="7">
        <v>2.9</v>
      </c>
      <c r="AE163" s="7">
        <v>15.7</v>
      </c>
      <c r="AF163" s="7">
        <v>9.4</v>
      </c>
      <c r="AG163" s="7">
        <v>8</v>
      </c>
      <c r="AH163" s="7">
        <v>58</v>
      </c>
      <c r="AI163" s="7">
        <v>58.5</v>
      </c>
      <c r="AJ163" s="7">
        <v>15.1</v>
      </c>
      <c r="AK163" s="7">
        <v>100.27</v>
      </c>
      <c r="AL163" s="7">
        <v>8.5</v>
      </c>
      <c r="AM163" s="7">
        <v>3840</v>
      </c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1"/>
    </row>
    <row r="164" spans="1:64" ht="13">
      <c r="A164" s="6" t="s">
        <v>367</v>
      </c>
      <c r="B164" s="6" t="s">
        <v>368</v>
      </c>
      <c r="C164" s="31">
        <v>681</v>
      </c>
      <c r="D164" s="24">
        <v>279</v>
      </c>
      <c r="E164" s="24">
        <v>593</v>
      </c>
      <c r="F164" s="8">
        <v>46.6</v>
      </c>
      <c r="G164" s="9">
        <v>176</v>
      </c>
      <c r="H164" s="8">
        <v>36.5</v>
      </c>
      <c r="I164" s="8">
        <v>59</v>
      </c>
      <c r="J164" s="8">
        <v>74</v>
      </c>
      <c r="K164" s="8">
        <v>83.6</v>
      </c>
      <c r="L164" s="9">
        <v>88</v>
      </c>
      <c r="M164" s="9">
        <v>323</v>
      </c>
      <c r="N164" s="9">
        <v>412</v>
      </c>
      <c r="O164" s="9">
        <v>103</v>
      </c>
      <c r="P164" s="9">
        <v>59</v>
      </c>
      <c r="Q164" s="9">
        <v>34</v>
      </c>
      <c r="R164" s="9">
        <v>25</v>
      </c>
      <c r="S164" s="9">
        <v>93</v>
      </c>
      <c r="T164" s="8">
        <v>1455</v>
      </c>
      <c r="U164" s="8">
        <v>11</v>
      </c>
      <c r="V164" s="8">
        <v>0</v>
      </c>
      <c r="W164" s="7">
        <v>1.9</v>
      </c>
      <c r="X164" s="7">
        <v>114.1</v>
      </c>
      <c r="Y164" s="7">
        <v>110.8</v>
      </c>
      <c r="Z164" s="7">
        <v>3.4</v>
      </c>
      <c r="AA164" s="7">
        <v>12.6</v>
      </c>
      <c r="AB164" s="7">
        <v>1.82</v>
      </c>
      <c r="AC164" s="7">
        <v>13.2</v>
      </c>
      <c r="AD164" s="7">
        <v>7.1</v>
      </c>
      <c r="AE164" s="7">
        <v>23.5</v>
      </c>
      <c r="AF164" s="7">
        <v>15.6</v>
      </c>
      <c r="AG164" s="7">
        <v>7.2</v>
      </c>
      <c r="AH164" s="7">
        <v>52</v>
      </c>
      <c r="AI164" s="7">
        <v>54.2</v>
      </c>
      <c r="AJ164" s="7">
        <v>23.4</v>
      </c>
      <c r="AK164" s="7">
        <v>101.2</v>
      </c>
      <c r="AL164" s="7">
        <v>13.1</v>
      </c>
      <c r="AM164" s="7">
        <v>2625</v>
      </c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1"/>
    </row>
    <row r="165" spans="1:64" ht="13">
      <c r="A165" s="6" t="s">
        <v>369</v>
      </c>
      <c r="B165" s="6" t="s">
        <v>370</v>
      </c>
      <c r="C165" s="31">
        <v>680</v>
      </c>
      <c r="D165" s="24">
        <v>270</v>
      </c>
      <c r="E165" s="24">
        <v>544</v>
      </c>
      <c r="F165" s="8">
        <v>50</v>
      </c>
      <c r="G165" s="9">
        <v>140</v>
      </c>
      <c r="H165" s="8">
        <v>31.2</v>
      </c>
      <c r="I165" s="8">
        <v>94</v>
      </c>
      <c r="J165" s="8">
        <v>126</v>
      </c>
      <c r="K165" s="8">
        <v>74.599999999999994</v>
      </c>
      <c r="L165" s="9">
        <v>61</v>
      </c>
      <c r="M165" s="9">
        <v>299</v>
      </c>
      <c r="N165" s="9">
        <v>360</v>
      </c>
      <c r="O165" s="9">
        <v>180</v>
      </c>
      <c r="P165" s="9">
        <v>104</v>
      </c>
      <c r="Q165" s="9">
        <v>58</v>
      </c>
      <c r="R165" s="9">
        <v>36</v>
      </c>
      <c r="S165" s="9">
        <v>68</v>
      </c>
      <c r="T165" s="8">
        <v>1552</v>
      </c>
      <c r="U165" s="8">
        <v>20</v>
      </c>
      <c r="V165" s="8">
        <v>1</v>
      </c>
      <c r="W165" s="7">
        <v>1.5</v>
      </c>
      <c r="X165" s="7">
        <v>111.8</v>
      </c>
      <c r="Y165" s="7">
        <v>110.2</v>
      </c>
      <c r="Z165" s="7">
        <v>1.6</v>
      </c>
      <c r="AA165" s="7">
        <v>20.3</v>
      </c>
      <c r="AB165" s="7">
        <v>1.71</v>
      </c>
      <c r="AC165" s="7">
        <v>20.5</v>
      </c>
      <c r="AD165" s="7">
        <v>4.5999999999999996</v>
      </c>
      <c r="AE165" s="7">
        <v>21.6</v>
      </c>
      <c r="AF165" s="7">
        <v>13.2</v>
      </c>
      <c r="AG165" s="7">
        <v>12</v>
      </c>
      <c r="AH165" s="7">
        <v>54.1</v>
      </c>
      <c r="AI165" s="7">
        <v>56.9</v>
      </c>
      <c r="AJ165" s="7">
        <v>21.4</v>
      </c>
      <c r="AK165" s="7">
        <v>106.68</v>
      </c>
      <c r="AL165" s="7">
        <v>13.5</v>
      </c>
      <c r="AM165" s="7">
        <v>2858</v>
      </c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1"/>
    </row>
    <row r="166" spans="1:64" ht="13">
      <c r="A166" s="6" t="s">
        <v>371</v>
      </c>
      <c r="B166" s="6" t="s">
        <v>372</v>
      </c>
      <c r="C166" s="31">
        <v>678</v>
      </c>
      <c r="D166" s="24">
        <v>250</v>
      </c>
      <c r="E166" s="24">
        <v>634</v>
      </c>
      <c r="F166" s="8">
        <v>39.1</v>
      </c>
      <c r="G166" s="9">
        <v>307</v>
      </c>
      <c r="H166" s="8">
        <v>29.5</v>
      </c>
      <c r="I166" s="8">
        <v>90</v>
      </c>
      <c r="J166" s="8">
        <v>109</v>
      </c>
      <c r="K166" s="8">
        <v>85.2</v>
      </c>
      <c r="L166" s="9">
        <v>45</v>
      </c>
      <c r="M166" s="9">
        <v>192</v>
      </c>
      <c r="N166" s="9">
        <v>237</v>
      </c>
      <c r="O166" s="9">
        <v>166</v>
      </c>
      <c r="P166" s="9">
        <v>77</v>
      </c>
      <c r="Q166" s="9">
        <v>38</v>
      </c>
      <c r="R166" s="9">
        <v>13</v>
      </c>
      <c r="S166" s="9">
        <v>70</v>
      </c>
      <c r="T166" s="8">
        <v>1293</v>
      </c>
      <c r="U166" s="8">
        <v>0</v>
      </c>
      <c r="V166" s="8">
        <v>0</v>
      </c>
      <c r="W166" s="7">
        <v>-2.2000000000000002</v>
      </c>
      <c r="X166" s="7">
        <v>107.3</v>
      </c>
      <c r="Y166" s="7">
        <v>112.3</v>
      </c>
      <c r="Z166" s="7">
        <v>-4.9000000000000004</v>
      </c>
      <c r="AA166" s="7">
        <v>15.2</v>
      </c>
      <c r="AB166" s="7">
        <v>2.14</v>
      </c>
      <c r="AC166" s="7">
        <v>18.100000000000001</v>
      </c>
      <c r="AD166" s="7">
        <v>2.5</v>
      </c>
      <c r="AE166" s="7">
        <v>11.3</v>
      </c>
      <c r="AF166" s="7">
        <v>6.8</v>
      </c>
      <c r="AG166" s="7">
        <v>8.4</v>
      </c>
      <c r="AH166" s="7">
        <v>46.2</v>
      </c>
      <c r="AI166" s="7">
        <v>49.7</v>
      </c>
      <c r="AJ166" s="7">
        <v>19.5</v>
      </c>
      <c r="AK166" s="7">
        <v>99.13</v>
      </c>
      <c r="AL166" s="7">
        <v>7.8</v>
      </c>
      <c r="AM166" s="7">
        <v>3437</v>
      </c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1"/>
    </row>
    <row r="167" spans="1:64" ht="13">
      <c r="A167" s="6" t="s">
        <v>373</v>
      </c>
      <c r="B167" s="6" t="s">
        <v>374</v>
      </c>
      <c r="C167" s="31">
        <v>678</v>
      </c>
      <c r="D167" s="24">
        <v>218</v>
      </c>
      <c r="E167" s="24">
        <v>486</v>
      </c>
      <c r="F167" s="8">
        <v>44.8</v>
      </c>
      <c r="G167" s="9">
        <v>352</v>
      </c>
      <c r="H167" s="8">
        <v>42.6</v>
      </c>
      <c r="I167" s="8">
        <v>96</v>
      </c>
      <c r="J167" s="8">
        <v>115</v>
      </c>
      <c r="K167" s="8">
        <v>81.599999999999994</v>
      </c>
      <c r="L167" s="9">
        <v>32</v>
      </c>
      <c r="M167" s="9">
        <v>160</v>
      </c>
      <c r="N167" s="9">
        <v>192</v>
      </c>
      <c r="O167" s="9">
        <v>134</v>
      </c>
      <c r="P167" s="9">
        <v>77</v>
      </c>
      <c r="Q167" s="9">
        <v>51</v>
      </c>
      <c r="R167" s="9">
        <v>19</v>
      </c>
      <c r="S167" s="9">
        <v>96</v>
      </c>
      <c r="T167" s="8">
        <v>1261</v>
      </c>
      <c r="U167" s="8">
        <v>1</v>
      </c>
      <c r="V167" s="8">
        <v>0</v>
      </c>
      <c r="W167" s="7">
        <v>-1.2</v>
      </c>
      <c r="X167" s="7">
        <v>114.7</v>
      </c>
      <c r="Y167" s="7">
        <v>118</v>
      </c>
      <c r="Z167" s="7">
        <v>-3.3</v>
      </c>
      <c r="AA167" s="7">
        <v>12.5</v>
      </c>
      <c r="AB167" s="7">
        <v>1.83</v>
      </c>
      <c r="AC167" s="7">
        <v>18.2</v>
      </c>
      <c r="AD167" s="7">
        <v>2.2999999999999998</v>
      </c>
      <c r="AE167" s="7">
        <v>10.3</v>
      </c>
      <c r="AF167" s="7">
        <v>6.4</v>
      </c>
      <c r="AG167" s="7">
        <v>10</v>
      </c>
      <c r="AH167" s="7">
        <v>60</v>
      </c>
      <c r="AI167" s="7">
        <v>63.1</v>
      </c>
      <c r="AJ167" s="7">
        <v>16.899999999999999</v>
      </c>
      <c r="AK167" s="7">
        <v>100.84</v>
      </c>
      <c r="AL167" s="7">
        <v>8.4</v>
      </c>
      <c r="AM167" s="7">
        <v>3255</v>
      </c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1"/>
    </row>
    <row r="168" spans="1:64" ht="13">
      <c r="A168" s="6" t="s">
        <v>375</v>
      </c>
      <c r="B168" s="6" t="s">
        <v>376</v>
      </c>
      <c r="C168" s="31">
        <v>677</v>
      </c>
      <c r="D168" s="24">
        <v>216</v>
      </c>
      <c r="E168" s="24">
        <v>573</v>
      </c>
      <c r="F168" s="8">
        <v>37.299999999999997</v>
      </c>
      <c r="G168" s="9">
        <v>296</v>
      </c>
      <c r="H168" s="8">
        <v>36.5</v>
      </c>
      <c r="I168" s="8">
        <v>141</v>
      </c>
      <c r="J168" s="8">
        <v>165</v>
      </c>
      <c r="K168" s="8">
        <v>84.9</v>
      </c>
      <c r="L168" s="9">
        <v>28</v>
      </c>
      <c r="M168" s="9">
        <v>136</v>
      </c>
      <c r="N168" s="9">
        <v>165</v>
      </c>
      <c r="O168" s="9">
        <v>99</v>
      </c>
      <c r="P168" s="9">
        <v>66</v>
      </c>
      <c r="Q168" s="9">
        <v>42</v>
      </c>
      <c r="R168" s="9">
        <v>47</v>
      </c>
      <c r="S168" s="9">
        <v>108</v>
      </c>
      <c r="T168" s="8">
        <v>1222</v>
      </c>
      <c r="U168" s="8">
        <v>0</v>
      </c>
      <c r="V168" s="8">
        <v>0</v>
      </c>
      <c r="W168" s="7">
        <v>-4.3</v>
      </c>
      <c r="X168" s="7">
        <v>107.4</v>
      </c>
      <c r="Y168" s="7">
        <v>113.4</v>
      </c>
      <c r="Z168" s="7">
        <v>-6.1</v>
      </c>
      <c r="AA168" s="7">
        <v>9.9</v>
      </c>
      <c r="AB168" s="7">
        <v>1.55</v>
      </c>
      <c r="AC168" s="7">
        <v>12.5</v>
      </c>
      <c r="AD168" s="7">
        <v>1.5</v>
      </c>
      <c r="AE168" s="7">
        <v>8.8000000000000007</v>
      </c>
      <c r="AF168" s="7">
        <v>5</v>
      </c>
      <c r="AG168" s="7">
        <v>8</v>
      </c>
      <c r="AH168" s="7">
        <v>46.7</v>
      </c>
      <c r="AI168" s="7">
        <v>52.3</v>
      </c>
      <c r="AJ168" s="7">
        <v>19.2</v>
      </c>
      <c r="AK168" s="7">
        <v>100.41</v>
      </c>
      <c r="AL168" s="7">
        <v>7</v>
      </c>
      <c r="AM168" s="7">
        <v>3183</v>
      </c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1"/>
    </row>
    <row r="169" spans="1:64" ht="13">
      <c r="A169" s="6" t="s">
        <v>377</v>
      </c>
      <c r="B169" s="6" t="s">
        <v>378</v>
      </c>
      <c r="C169" s="31">
        <v>673</v>
      </c>
      <c r="D169" s="24">
        <v>268</v>
      </c>
      <c r="E169" s="24">
        <v>449</v>
      </c>
      <c r="F169" s="8">
        <v>60.4</v>
      </c>
      <c r="G169" s="9">
        <v>4</v>
      </c>
      <c r="H169" s="8">
        <v>0</v>
      </c>
      <c r="I169" s="8">
        <v>132</v>
      </c>
      <c r="J169" s="8">
        <v>163</v>
      </c>
      <c r="K169" s="8">
        <v>80.400000000000006</v>
      </c>
      <c r="L169" s="9">
        <v>132</v>
      </c>
      <c r="M169" s="9">
        <v>317</v>
      </c>
      <c r="N169" s="9">
        <v>449</v>
      </c>
      <c r="O169" s="9">
        <v>110</v>
      </c>
      <c r="P169" s="9">
        <v>70</v>
      </c>
      <c r="Q169" s="9">
        <v>31</v>
      </c>
      <c r="R169" s="9">
        <v>53</v>
      </c>
      <c r="S169" s="9">
        <v>106</v>
      </c>
      <c r="T169" s="8">
        <v>1558</v>
      </c>
      <c r="U169" s="8">
        <v>21</v>
      </c>
      <c r="V169" s="8">
        <v>0</v>
      </c>
      <c r="W169" s="7">
        <v>-6.8</v>
      </c>
      <c r="X169" s="7">
        <v>106.3</v>
      </c>
      <c r="Y169" s="7">
        <v>118.9</v>
      </c>
      <c r="Z169" s="7">
        <v>-12.7</v>
      </c>
      <c r="AA169" s="7">
        <v>15.4</v>
      </c>
      <c r="AB169" s="7">
        <v>1.54</v>
      </c>
      <c r="AC169" s="7">
        <v>15.7</v>
      </c>
      <c r="AD169" s="7">
        <v>10.3</v>
      </c>
      <c r="AE169" s="7">
        <v>25.5</v>
      </c>
      <c r="AF169" s="7">
        <v>17.8</v>
      </c>
      <c r="AG169" s="7">
        <v>10.199999999999999</v>
      </c>
      <c r="AH169" s="7">
        <v>60.4</v>
      </c>
      <c r="AI169" s="7">
        <v>64.7</v>
      </c>
      <c r="AJ169" s="7">
        <v>21</v>
      </c>
      <c r="AK169" s="7">
        <v>100.77</v>
      </c>
      <c r="AL169" s="7">
        <v>15.6</v>
      </c>
      <c r="AM169" s="7">
        <v>2463</v>
      </c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1"/>
    </row>
    <row r="170" spans="1:64" ht="13">
      <c r="A170" s="6" t="s">
        <v>379</v>
      </c>
      <c r="B170" s="6" t="s">
        <v>380</v>
      </c>
      <c r="C170" s="31">
        <v>670</v>
      </c>
      <c r="D170" s="24">
        <v>239</v>
      </c>
      <c r="E170" s="24">
        <v>547</v>
      </c>
      <c r="F170" s="8">
        <v>43.9</v>
      </c>
      <c r="G170" s="9">
        <v>331</v>
      </c>
      <c r="H170" s="8">
        <v>34.200000000000003</v>
      </c>
      <c r="I170" s="8">
        <v>85</v>
      </c>
      <c r="J170" s="8">
        <v>92</v>
      </c>
      <c r="K170" s="8">
        <v>86.3</v>
      </c>
      <c r="L170" s="9">
        <v>31</v>
      </c>
      <c r="M170" s="9">
        <v>139</v>
      </c>
      <c r="N170" s="9">
        <v>169</v>
      </c>
      <c r="O170" s="9">
        <v>139</v>
      </c>
      <c r="P170" s="9">
        <v>62</v>
      </c>
      <c r="Q170" s="9">
        <v>100</v>
      </c>
      <c r="R170" s="9">
        <v>31</v>
      </c>
      <c r="S170" s="9">
        <v>139</v>
      </c>
      <c r="T170" s="8">
        <v>1417</v>
      </c>
      <c r="U170" s="8">
        <v>0</v>
      </c>
      <c r="V170" s="8">
        <v>0</v>
      </c>
      <c r="W170" s="7">
        <v>0.1</v>
      </c>
      <c r="X170" s="7">
        <v>109.1</v>
      </c>
      <c r="Y170" s="7">
        <v>108.6</v>
      </c>
      <c r="Z170" s="7">
        <v>0.5</v>
      </c>
      <c r="AA170" s="7">
        <v>8.6</v>
      </c>
      <c r="AB170" s="7">
        <v>2.19</v>
      </c>
      <c r="AC170" s="7">
        <v>17.7</v>
      </c>
      <c r="AD170" s="7">
        <v>1.4</v>
      </c>
      <c r="AE170" s="7">
        <v>6.4</v>
      </c>
      <c r="AF170" s="7">
        <v>3.8</v>
      </c>
      <c r="AG170" s="7">
        <v>8.1</v>
      </c>
      <c r="AH170" s="7">
        <v>54.3</v>
      </c>
      <c r="AI170" s="7">
        <v>57.4</v>
      </c>
      <c r="AJ170" s="7">
        <v>12.1</v>
      </c>
      <c r="AK170" s="7">
        <v>96.52</v>
      </c>
      <c r="AL170" s="7">
        <v>6.5</v>
      </c>
      <c r="AM170" s="7">
        <v>4577</v>
      </c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1"/>
    </row>
    <row r="171" spans="1:64" ht="13">
      <c r="A171" s="6" t="s">
        <v>381</v>
      </c>
      <c r="B171" s="6" t="s">
        <v>382</v>
      </c>
      <c r="C171" s="31">
        <v>666</v>
      </c>
      <c r="D171" s="24">
        <v>269</v>
      </c>
      <c r="E171" s="24">
        <v>531</v>
      </c>
      <c r="F171" s="8">
        <v>49.8</v>
      </c>
      <c r="G171" s="9">
        <v>256</v>
      </c>
      <c r="H171" s="8">
        <v>39.9</v>
      </c>
      <c r="I171" s="8">
        <v>32</v>
      </c>
      <c r="J171" s="8">
        <v>51</v>
      </c>
      <c r="K171" s="8">
        <v>70.8</v>
      </c>
      <c r="L171" s="9">
        <v>64</v>
      </c>
      <c r="M171" s="9">
        <v>179</v>
      </c>
      <c r="N171" s="9">
        <v>243</v>
      </c>
      <c r="O171" s="9">
        <v>96</v>
      </c>
      <c r="P171" s="9">
        <v>51</v>
      </c>
      <c r="Q171" s="9">
        <v>58</v>
      </c>
      <c r="R171" s="9">
        <v>32</v>
      </c>
      <c r="S171" s="9">
        <v>128</v>
      </c>
      <c r="T171" s="8">
        <v>1312</v>
      </c>
      <c r="U171" s="8">
        <v>0</v>
      </c>
      <c r="V171" s="8">
        <v>0</v>
      </c>
      <c r="W171" s="7">
        <v>-3.3</v>
      </c>
      <c r="X171" s="7">
        <v>106.4</v>
      </c>
      <c r="Y171" s="7">
        <v>112.2</v>
      </c>
      <c r="Z171" s="7">
        <v>-5.7</v>
      </c>
      <c r="AA171" s="7">
        <v>8.1</v>
      </c>
      <c r="AB171" s="7">
        <v>1.81</v>
      </c>
      <c r="AC171" s="7">
        <v>13.9</v>
      </c>
      <c r="AD171" s="7">
        <v>3.3</v>
      </c>
      <c r="AE171" s="7">
        <v>9.8000000000000007</v>
      </c>
      <c r="AF171" s="7">
        <v>6.6</v>
      </c>
      <c r="AG171" s="7">
        <v>7.6</v>
      </c>
      <c r="AH171" s="7">
        <v>59.3</v>
      </c>
      <c r="AI171" s="7">
        <v>60.1</v>
      </c>
      <c r="AJ171" s="7">
        <v>14.4</v>
      </c>
      <c r="AK171" s="7">
        <v>101.93</v>
      </c>
      <c r="AL171" s="7">
        <v>8.1</v>
      </c>
      <c r="AM171" s="7">
        <v>3691</v>
      </c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1"/>
    </row>
    <row r="172" spans="1:64" ht="13">
      <c r="A172" s="6" t="s">
        <v>383</v>
      </c>
      <c r="B172" s="6" t="s">
        <v>384</v>
      </c>
      <c r="C172" s="31">
        <v>664</v>
      </c>
      <c r="D172" s="24">
        <v>270</v>
      </c>
      <c r="E172" s="24">
        <v>489</v>
      </c>
      <c r="F172" s="8">
        <v>54.7</v>
      </c>
      <c r="G172" s="8">
        <v>0</v>
      </c>
      <c r="H172" s="8">
        <v>0</v>
      </c>
      <c r="I172" s="8">
        <v>124</v>
      </c>
      <c r="J172" s="8">
        <v>204</v>
      </c>
      <c r="K172" s="8">
        <v>62.3</v>
      </c>
      <c r="L172" s="9">
        <v>256</v>
      </c>
      <c r="M172" s="9">
        <v>343</v>
      </c>
      <c r="N172" s="9">
        <v>599</v>
      </c>
      <c r="O172" s="9">
        <v>102</v>
      </c>
      <c r="P172" s="9">
        <v>80</v>
      </c>
      <c r="Q172" s="9">
        <v>37</v>
      </c>
      <c r="R172" s="9">
        <v>95</v>
      </c>
      <c r="S172" s="9">
        <v>146</v>
      </c>
      <c r="T172" s="8">
        <v>1854</v>
      </c>
      <c r="U172" s="8">
        <v>14</v>
      </c>
      <c r="V172" s="8">
        <v>0</v>
      </c>
      <c r="W172" s="7">
        <v>-7</v>
      </c>
      <c r="X172" s="7">
        <v>107.8</v>
      </c>
      <c r="Y172" s="7">
        <v>120.5</v>
      </c>
      <c r="Z172" s="7">
        <v>-12.7</v>
      </c>
      <c r="AA172" s="7">
        <v>7.2</v>
      </c>
      <c r="AB172" s="7">
        <v>1.21</v>
      </c>
      <c r="AC172" s="7">
        <v>12.9</v>
      </c>
      <c r="AD172" s="7">
        <v>12.2</v>
      </c>
      <c r="AE172" s="7">
        <v>17.7</v>
      </c>
      <c r="AF172" s="7">
        <v>14.9</v>
      </c>
      <c r="AG172" s="7">
        <v>10.7</v>
      </c>
      <c r="AH172" s="7">
        <v>54.7</v>
      </c>
      <c r="AI172" s="7">
        <v>57.2</v>
      </c>
      <c r="AJ172" s="7">
        <v>14.1</v>
      </c>
      <c r="AK172" s="7">
        <v>99.85</v>
      </c>
      <c r="AL172" s="7">
        <v>9</v>
      </c>
      <c r="AM172" s="7">
        <v>4069</v>
      </c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1"/>
    </row>
    <row r="173" spans="1:64" ht="13">
      <c r="A173" s="6" t="s">
        <v>385</v>
      </c>
      <c r="B173" s="6" t="s">
        <v>386</v>
      </c>
      <c r="C173" s="31">
        <v>664</v>
      </c>
      <c r="D173" s="24">
        <v>246</v>
      </c>
      <c r="E173" s="24">
        <v>570</v>
      </c>
      <c r="F173" s="8">
        <v>43</v>
      </c>
      <c r="G173" s="9">
        <v>267</v>
      </c>
      <c r="H173" s="8">
        <v>35.799999999999997</v>
      </c>
      <c r="I173" s="8">
        <v>78</v>
      </c>
      <c r="J173" s="8">
        <v>98</v>
      </c>
      <c r="K173" s="8">
        <v>81.400000000000006</v>
      </c>
      <c r="L173" s="9">
        <v>25</v>
      </c>
      <c r="M173" s="9">
        <v>197</v>
      </c>
      <c r="N173" s="9">
        <v>217</v>
      </c>
      <c r="O173" s="9">
        <v>176</v>
      </c>
      <c r="P173" s="9">
        <v>107</v>
      </c>
      <c r="Q173" s="9">
        <v>74</v>
      </c>
      <c r="R173" s="9">
        <v>21</v>
      </c>
      <c r="S173" s="9">
        <v>103</v>
      </c>
      <c r="T173" s="8">
        <v>1374</v>
      </c>
      <c r="U173" s="8">
        <v>3</v>
      </c>
      <c r="V173" s="8">
        <v>0</v>
      </c>
      <c r="W173" s="7">
        <v>-2</v>
      </c>
      <c r="X173" s="7">
        <v>108.3</v>
      </c>
      <c r="Y173" s="7">
        <v>112.2</v>
      </c>
      <c r="Z173" s="7">
        <v>-3.8</v>
      </c>
      <c r="AA173" s="7">
        <v>21.7</v>
      </c>
      <c r="AB173" s="7">
        <v>1.68</v>
      </c>
      <c r="AC173" s="7">
        <v>19.899999999999999</v>
      </c>
      <c r="AD173" s="7">
        <v>1.8</v>
      </c>
      <c r="AE173" s="7">
        <v>15.3</v>
      </c>
      <c r="AF173" s="7">
        <v>8.3000000000000007</v>
      </c>
      <c r="AG173" s="7">
        <v>11.8</v>
      </c>
      <c r="AH173" s="7">
        <v>51.4</v>
      </c>
      <c r="AI173" s="7">
        <v>54.3</v>
      </c>
      <c r="AJ173" s="7">
        <v>23.3</v>
      </c>
      <c r="AK173" s="7">
        <v>98.87</v>
      </c>
      <c r="AL173" s="7">
        <v>10.6</v>
      </c>
      <c r="AM173" s="7">
        <v>2757</v>
      </c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1"/>
    </row>
    <row r="174" spans="1:64" ht="13">
      <c r="A174" s="6" t="s">
        <v>387</v>
      </c>
      <c r="B174" s="6" t="s">
        <v>388</v>
      </c>
      <c r="C174" s="31">
        <v>664</v>
      </c>
      <c r="D174" s="24">
        <v>224</v>
      </c>
      <c r="E174" s="24">
        <v>464</v>
      </c>
      <c r="F174" s="8">
        <v>48.9</v>
      </c>
      <c r="G174" s="9">
        <v>320</v>
      </c>
      <c r="H174" s="8">
        <v>43.3</v>
      </c>
      <c r="I174" s="8">
        <v>72</v>
      </c>
      <c r="J174" s="8">
        <v>88</v>
      </c>
      <c r="K174" s="8">
        <v>84.9</v>
      </c>
      <c r="L174" s="9">
        <v>64</v>
      </c>
      <c r="M174" s="9">
        <v>152</v>
      </c>
      <c r="N174" s="9">
        <v>216</v>
      </c>
      <c r="O174" s="9">
        <v>120</v>
      </c>
      <c r="P174" s="9">
        <v>72</v>
      </c>
      <c r="Q174" s="9">
        <v>120</v>
      </c>
      <c r="R174" s="9">
        <v>64</v>
      </c>
      <c r="S174" s="9">
        <v>176</v>
      </c>
      <c r="T174" s="8">
        <v>1584</v>
      </c>
      <c r="U174" s="8">
        <v>0</v>
      </c>
      <c r="V174" s="8">
        <v>0</v>
      </c>
      <c r="W174" s="7">
        <v>0.8</v>
      </c>
      <c r="X174" s="7">
        <v>116.1</v>
      </c>
      <c r="Y174" s="7">
        <v>113.2</v>
      </c>
      <c r="Z174" s="7">
        <v>3</v>
      </c>
      <c r="AA174" s="7">
        <v>8</v>
      </c>
      <c r="AB174" s="7">
        <v>1.69</v>
      </c>
      <c r="AC174" s="7">
        <v>17.399999999999999</v>
      </c>
      <c r="AD174" s="7">
        <v>3.1</v>
      </c>
      <c r="AE174" s="7">
        <v>7.9</v>
      </c>
      <c r="AF174" s="7">
        <v>5.5</v>
      </c>
      <c r="AG174" s="7">
        <v>10.3</v>
      </c>
      <c r="AH174" s="7">
        <v>63.9</v>
      </c>
      <c r="AI174" s="7">
        <v>66.400000000000006</v>
      </c>
      <c r="AJ174" s="7">
        <v>12.5</v>
      </c>
      <c r="AK174" s="7">
        <v>99.07</v>
      </c>
      <c r="AL174" s="7">
        <v>7.3</v>
      </c>
      <c r="AM174" s="7">
        <v>3997</v>
      </c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1"/>
    </row>
    <row r="175" spans="1:64" ht="13">
      <c r="A175" s="6" t="s">
        <v>389</v>
      </c>
      <c r="B175" s="6" t="s">
        <v>390</v>
      </c>
      <c r="C175" s="31">
        <v>656</v>
      </c>
      <c r="D175" s="24">
        <v>232</v>
      </c>
      <c r="E175" s="24">
        <v>512</v>
      </c>
      <c r="F175" s="8">
        <v>45.7</v>
      </c>
      <c r="G175" s="9">
        <v>336</v>
      </c>
      <c r="H175" s="8">
        <v>43.9</v>
      </c>
      <c r="I175" s="8">
        <v>40</v>
      </c>
      <c r="J175" s="8">
        <v>48</v>
      </c>
      <c r="K175" s="8">
        <v>81.3</v>
      </c>
      <c r="L175" s="9">
        <v>32</v>
      </c>
      <c r="M175" s="9">
        <v>256</v>
      </c>
      <c r="N175" s="9">
        <v>288</v>
      </c>
      <c r="O175" s="9">
        <v>152</v>
      </c>
      <c r="P175" s="9">
        <v>80</v>
      </c>
      <c r="Q175" s="9">
        <v>80</v>
      </c>
      <c r="R175" s="9">
        <v>16</v>
      </c>
      <c r="S175" s="9">
        <v>168</v>
      </c>
      <c r="T175" s="8">
        <v>1424</v>
      </c>
      <c r="U175" s="8">
        <v>1</v>
      </c>
      <c r="V175" s="8">
        <v>0</v>
      </c>
      <c r="W175" s="7">
        <v>-0.3</v>
      </c>
      <c r="X175" s="7">
        <v>114</v>
      </c>
      <c r="Y175" s="7">
        <v>114.5</v>
      </c>
      <c r="Z175" s="7">
        <v>-0.4</v>
      </c>
      <c r="AA175" s="7">
        <v>9.3000000000000007</v>
      </c>
      <c r="AB175" s="7">
        <v>1.89</v>
      </c>
      <c r="AC175" s="7">
        <v>20.100000000000001</v>
      </c>
      <c r="AD175" s="7">
        <v>1.6</v>
      </c>
      <c r="AE175" s="7">
        <v>11</v>
      </c>
      <c r="AF175" s="7">
        <v>6.5</v>
      </c>
      <c r="AG175" s="7">
        <v>10.6</v>
      </c>
      <c r="AH175" s="7">
        <v>60</v>
      </c>
      <c r="AI175" s="7">
        <v>61.3</v>
      </c>
      <c r="AJ175" s="7">
        <v>12.3</v>
      </c>
      <c r="AK175" s="7">
        <v>100.95</v>
      </c>
      <c r="AL175" s="7">
        <v>6.4</v>
      </c>
      <c r="AM175" s="7">
        <v>4554</v>
      </c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1"/>
    </row>
    <row r="176" spans="1:64" ht="13">
      <c r="A176" s="6" t="s">
        <v>391</v>
      </c>
      <c r="B176" s="6" t="s">
        <v>392</v>
      </c>
      <c r="C176" s="31">
        <v>650</v>
      </c>
      <c r="D176" s="24">
        <v>247</v>
      </c>
      <c r="E176" s="24">
        <v>540</v>
      </c>
      <c r="F176" s="8">
        <v>45.8</v>
      </c>
      <c r="G176" s="9">
        <v>176</v>
      </c>
      <c r="H176" s="8">
        <v>29.1</v>
      </c>
      <c r="I176" s="8">
        <v>111</v>
      </c>
      <c r="J176" s="8">
        <v>137</v>
      </c>
      <c r="K176" s="8">
        <v>79.400000000000006</v>
      </c>
      <c r="L176" s="9">
        <v>33</v>
      </c>
      <c r="M176" s="9">
        <v>182</v>
      </c>
      <c r="N176" s="9">
        <v>215</v>
      </c>
      <c r="O176" s="9">
        <v>325</v>
      </c>
      <c r="P176" s="9">
        <v>111</v>
      </c>
      <c r="Q176" s="9">
        <v>78</v>
      </c>
      <c r="R176" s="9">
        <v>13</v>
      </c>
      <c r="S176" s="9">
        <v>150</v>
      </c>
      <c r="T176" s="8">
        <v>1560</v>
      </c>
      <c r="U176" s="8">
        <v>2</v>
      </c>
      <c r="V176" s="8">
        <v>0</v>
      </c>
      <c r="W176" s="7">
        <v>3.1</v>
      </c>
      <c r="X176" s="7">
        <v>115.5</v>
      </c>
      <c r="Y176" s="7">
        <v>110.2</v>
      </c>
      <c r="Z176" s="7">
        <v>5.3</v>
      </c>
      <c r="AA176" s="7">
        <v>22.5</v>
      </c>
      <c r="AB176" s="7">
        <v>2.91</v>
      </c>
      <c r="AC176" s="7">
        <v>31.4</v>
      </c>
      <c r="AD176" s="7">
        <v>1.8</v>
      </c>
      <c r="AE176" s="7">
        <v>9.3000000000000007</v>
      </c>
      <c r="AF176" s="7">
        <v>5.7</v>
      </c>
      <c r="AG176" s="7">
        <v>10.8</v>
      </c>
      <c r="AH176" s="7">
        <v>50.6</v>
      </c>
      <c r="AI176" s="7">
        <v>54.5</v>
      </c>
      <c r="AJ176" s="7">
        <v>16.3</v>
      </c>
      <c r="AK176" s="7">
        <v>101.31</v>
      </c>
      <c r="AL176" s="7">
        <v>8.1</v>
      </c>
      <c r="AM176" s="7">
        <v>3967</v>
      </c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1"/>
    </row>
    <row r="177" spans="1:64" ht="13">
      <c r="A177" s="6" t="s">
        <v>393</v>
      </c>
      <c r="B177" s="6" t="s">
        <v>394</v>
      </c>
      <c r="C177" s="31">
        <v>644</v>
      </c>
      <c r="D177" s="24">
        <v>278</v>
      </c>
      <c r="E177" s="24">
        <v>418</v>
      </c>
      <c r="F177" s="8">
        <v>66.3</v>
      </c>
      <c r="G177" s="9">
        <v>35</v>
      </c>
      <c r="H177" s="8">
        <v>17.600000000000001</v>
      </c>
      <c r="I177" s="8">
        <v>81</v>
      </c>
      <c r="J177" s="8">
        <v>151</v>
      </c>
      <c r="K177" s="8">
        <v>52</v>
      </c>
      <c r="L177" s="9">
        <v>267</v>
      </c>
      <c r="M177" s="9">
        <v>441</v>
      </c>
      <c r="N177" s="9">
        <v>708</v>
      </c>
      <c r="O177" s="9">
        <v>99</v>
      </c>
      <c r="P177" s="9">
        <v>87</v>
      </c>
      <c r="Q177" s="9">
        <v>35</v>
      </c>
      <c r="R177" s="9">
        <v>139</v>
      </c>
      <c r="S177" s="9">
        <v>128</v>
      </c>
      <c r="T177" s="8">
        <v>2071</v>
      </c>
      <c r="U177" s="8">
        <v>28</v>
      </c>
      <c r="V177" s="8">
        <v>0</v>
      </c>
      <c r="W177" s="7">
        <v>-5.7</v>
      </c>
      <c r="X177" s="7">
        <v>109.2</v>
      </c>
      <c r="Y177" s="7">
        <v>118.3</v>
      </c>
      <c r="Z177" s="7">
        <v>-9.1</v>
      </c>
      <c r="AA177" s="7">
        <v>8.3000000000000007</v>
      </c>
      <c r="AB177" s="7">
        <v>1.1299999999999999</v>
      </c>
      <c r="AC177" s="7">
        <v>14.6</v>
      </c>
      <c r="AD177" s="7">
        <v>14.5</v>
      </c>
      <c r="AE177" s="7">
        <v>23.5</v>
      </c>
      <c r="AF177" s="7">
        <v>19</v>
      </c>
      <c r="AG177" s="7">
        <v>13</v>
      </c>
      <c r="AH177" s="7">
        <v>67.099999999999994</v>
      </c>
      <c r="AI177" s="7">
        <v>66</v>
      </c>
      <c r="AJ177" s="7">
        <v>13.3</v>
      </c>
      <c r="AK177" s="7">
        <v>100.8</v>
      </c>
      <c r="AL177" s="7">
        <v>12.7</v>
      </c>
      <c r="AM177" s="7">
        <v>3656</v>
      </c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1"/>
    </row>
    <row r="178" spans="1:64" ht="13">
      <c r="A178" s="6" t="s">
        <v>395</v>
      </c>
      <c r="B178" s="6" t="s">
        <v>396</v>
      </c>
      <c r="C178" s="31">
        <v>638</v>
      </c>
      <c r="D178" s="24">
        <v>279</v>
      </c>
      <c r="E178" s="24">
        <v>479</v>
      </c>
      <c r="F178" s="8">
        <v>58.1</v>
      </c>
      <c r="G178" s="9">
        <v>17</v>
      </c>
      <c r="H178" s="8">
        <v>0</v>
      </c>
      <c r="I178" s="8">
        <v>80</v>
      </c>
      <c r="J178" s="8">
        <v>120</v>
      </c>
      <c r="K178" s="8">
        <v>67.5</v>
      </c>
      <c r="L178" s="9">
        <v>165</v>
      </c>
      <c r="M178" s="9">
        <v>450</v>
      </c>
      <c r="N178" s="9">
        <v>610</v>
      </c>
      <c r="O178" s="9">
        <v>217</v>
      </c>
      <c r="P178" s="9">
        <v>97</v>
      </c>
      <c r="Q178" s="9">
        <v>46</v>
      </c>
      <c r="R178" s="9">
        <v>63</v>
      </c>
      <c r="S178" s="9">
        <v>171</v>
      </c>
      <c r="T178" s="8">
        <v>1927</v>
      </c>
      <c r="U178" s="8">
        <v>28</v>
      </c>
      <c r="V178" s="8">
        <v>0</v>
      </c>
      <c r="W178" s="7">
        <v>7.3</v>
      </c>
      <c r="X178" s="7">
        <v>118.3</v>
      </c>
      <c r="Y178" s="7">
        <v>105.3</v>
      </c>
      <c r="Z178" s="7">
        <v>13</v>
      </c>
      <c r="AA178" s="7">
        <v>17.7</v>
      </c>
      <c r="AB178" s="7">
        <v>2.27</v>
      </c>
      <c r="AC178" s="7">
        <v>25.8</v>
      </c>
      <c r="AD178" s="7">
        <v>10.3</v>
      </c>
      <c r="AE178" s="7">
        <v>26.2</v>
      </c>
      <c r="AF178" s="7">
        <v>18.5</v>
      </c>
      <c r="AG178" s="7">
        <v>11.3</v>
      </c>
      <c r="AH178" s="7">
        <v>58.1</v>
      </c>
      <c r="AI178" s="7">
        <v>59.9</v>
      </c>
      <c r="AJ178" s="7">
        <v>16.5</v>
      </c>
      <c r="AK178" s="7">
        <v>101.56</v>
      </c>
      <c r="AL178" s="7">
        <v>13.8</v>
      </c>
      <c r="AM178" s="7">
        <v>3355</v>
      </c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1"/>
    </row>
    <row r="179" spans="1:64" ht="13">
      <c r="A179" s="6" t="s">
        <v>397</v>
      </c>
      <c r="B179" s="6" t="s">
        <v>398</v>
      </c>
      <c r="C179" s="31">
        <v>630</v>
      </c>
      <c r="D179" s="24">
        <v>214</v>
      </c>
      <c r="E179" s="24">
        <v>523</v>
      </c>
      <c r="F179" s="8">
        <v>41.2</v>
      </c>
      <c r="G179" s="9">
        <v>302</v>
      </c>
      <c r="H179" s="8">
        <v>34.1</v>
      </c>
      <c r="I179" s="8">
        <v>101</v>
      </c>
      <c r="J179" s="8">
        <v>126</v>
      </c>
      <c r="K179" s="8">
        <v>82.1</v>
      </c>
      <c r="L179" s="9">
        <v>63</v>
      </c>
      <c r="M179" s="9">
        <v>227</v>
      </c>
      <c r="N179" s="9">
        <v>290</v>
      </c>
      <c r="O179" s="9">
        <v>82</v>
      </c>
      <c r="P179" s="9">
        <v>69</v>
      </c>
      <c r="Q179" s="9">
        <v>63</v>
      </c>
      <c r="R179" s="9">
        <v>25</v>
      </c>
      <c r="S179" s="9">
        <v>151</v>
      </c>
      <c r="T179" s="8">
        <v>1304</v>
      </c>
      <c r="U179" s="8">
        <v>2</v>
      </c>
      <c r="V179" s="8">
        <v>0</v>
      </c>
      <c r="W179" s="7">
        <v>-5.2</v>
      </c>
      <c r="X179" s="7">
        <v>106.5</v>
      </c>
      <c r="Y179" s="7">
        <v>116.2</v>
      </c>
      <c r="Z179" s="7">
        <v>-9.6999999999999993</v>
      </c>
      <c r="AA179" s="7">
        <v>8.6</v>
      </c>
      <c r="AB179" s="7">
        <v>1.25</v>
      </c>
      <c r="AC179" s="7">
        <v>11.6</v>
      </c>
      <c r="AD179" s="7">
        <v>3.7</v>
      </c>
      <c r="AE179" s="7">
        <v>15.4</v>
      </c>
      <c r="AF179" s="7">
        <v>9.3000000000000007</v>
      </c>
      <c r="AG179" s="7">
        <v>9.3000000000000007</v>
      </c>
      <c r="AH179" s="7">
        <v>51.1</v>
      </c>
      <c r="AI179" s="7">
        <v>55</v>
      </c>
      <c r="AJ179" s="7">
        <v>17.899999999999999</v>
      </c>
      <c r="AK179" s="7">
        <v>97.77</v>
      </c>
      <c r="AL179" s="7">
        <v>8.1</v>
      </c>
      <c r="AM179" s="7">
        <v>3128</v>
      </c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1"/>
    </row>
    <row r="180" spans="1:64" ht="13">
      <c r="A180" s="6" t="s">
        <v>399</v>
      </c>
      <c r="B180" s="6" t="s">
        <v>400</v>
      </c>
      <c r="C180" s="31">
        <v>630</v>
      </c>
      <c r="D180" s="24">
        <v>228</v>
      </c>
      <c r="E180" s="24">
        <v>543</v>
      </c>
      <c r="F180" s="8">
        <v>42.4</v>
      </c>
      <c r="G180" s="9">
        <v>221</v>
      </c>
      <c r="H180" s="8">
        <v>35.299999999999997</v>
      </c>
      <c r="I180" s="8">
        <v>94</v>
      </c>
      <c r="J180" s="8">
        <v>114</v>
      </c>
      <c r="K180" s="8">
        <v>82.3</v>
      </c>
      <c r="L180" s="9">
        <v>47</v>
      </c>
      <c r="M180" s="9">
        <v>161</v>
      </c>
      <c r="N180" s="9">
        <v>201</v>
      </c>
      <c r="O180" s="9">
        <v>194</v>
      </c>
      <c r="P180" s="9">
        <v>101</v>
      </c>
      <c r="Q180" s="9">
        <v>47</v>
      </c>
      <c r="R180" s="9">
        <v>34</v>
      </c>
      <c r="S180" s="9">
        <v>154</v>
      </c>
      <c r="T180" s="8">
        <v>1286</v>
      </c>
      <c r="U180" s="8">
        <v>0</v>
      </c>
      <c r="V180" s="8">
        <v>0</v>
      </c>
      <c r="W180" s="7">
        <v>-0.2</v>
      </c>
      <c r="X180" s="7">
        <v>107.7</v>
      </c>
      <c r="Y180" s="7">
        <v>109</v>
      </c>
      <c r="Z180" s="7">
        <v>-1.2</v>
      </c>
      <c r="AA180" s="7">
        <v>25.3</v>
      </c>
      <c r="AB180" s="7">
        <v>1.85</v>
      </c>
      <c r="AC180" s="7">
        <v>21.6</v>
      </c>
      <c r="AD180" s="7">
        <v>3.4</v>
      </c>
      <c r="AE180" s="7">
        <v>13.1</v>
      </c>
      <c r="AF180" s="7">
        <v>8</v>
      </c>
      <c r="AG180" s="7">
        <v>11.6</v>
      </c>
      <c r="AH180" s="7">
        <v>49.4</v>
      </c>
      <c r="AI180" s="7">
        <v>53.1</v>
      </c>
      <c r="AJ180" s="7">
        <v>23.8</v>
      </c>
      <c r="AK180" s="7">
        <v>97.7</v>
      </c>
      <c r="AL180" s="7">
        <v>10.5</v>
      </c>
      <c r="AM180" s="7">
        <v>2519</v>
      </c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1"/>
    </row>
    <row r="181" spans="1:64" ht="13">
      <c r="A181" s="13" t="s">
        <v>401</v>
      </c>
      <c r="B181" s="6" t="s">
        <v>402</v>
      </c>
      <c r="C181" s="31">
        <v>619</v>
      </c>
      <c r="D181" s="24">
        <v>224</v>
      </c>
      <c r="E181" s="24">
        <v>490</v>
      </c>
      <c r="F181" s="8">
        <v>46</v>
      </c>
      <c r="G181" s="9">
        <v>156</v>
      </c>
      <c r="H181" s="8">
        <v>23.4</v>
      </c>
      <c r="I181" s="8">
        <v>129</v>
      </c>
      <c r="J181" s="8">
        <v>177</v>
      </c>
      <c r="K181" s="8">
        <v>73.7</v>
      </c>
      <c r="L181" s="9">
        <v>150</v>
      </c>
      <c r="M181" s="9">
        <v>340</v>
      </c>
      <c r="N181" s="9">
        <v>490</v>
      </c>
      <c r="O181" s="9">
        <v>136</v>
      </c>
      <c r="P181" s="9">
        <v>75</v>
      </c>
      <c r="Q181" s="9">
        <v>54</v>
      </c>
      <c r="R181" s="9">
        <v>41</v>
      </c>
      <c r="S181" s="9">
        <v>197</v>
      </c>
      <c r="T181" s="8">
        <v>1612</v>
      </c>
      <c r="U181" s="8">
        <v>10</v>
      </c>
      <c r="V181" s="8">
        <v>0</v>
      </c>
      <c r="W181" s="7">
        <v>-0.2</v>
      </c>
      <c r="X181" s="7">
        <v>107.8</v>
      </c>
      <c r="Y181" s="7">
        <v>107.8</v>
      </c>
      <c r="Z181" s="7">
        <v>0</v>
      </c>
      <c r="AA181" s="7">
        <v>11.7</v>
      </c>
      <c r="AB181" s="7">
        <v>1.74</v>
      </c>
      <c r="AC181" s="7">
        <v>17.2</v>
      </c>
      <c r="AD181" s="7">
        <v>8.3000000000000007</v>
      </c>
      <c r="AE181" s="7">
        <v>20.2</v>
      </c>
      <c r="AF181" s="7">
        <v>14</v>
      </c>
      <c r="AG181" s="7">
        <v>9.9</v>
      </c>
      <c r="AH181" s="7">
        <v>49.8</v>
      </c>
      <c r="AI181" s="7">
        <v>54.4</v>
      </c>
      <c r="AJ181" s="7">
        <v>15.9</v>
      </c>
      <c r="AK181" s="7">
        <v>97.19</v>
      </c>
      <c r="AL181" s="7">
        <v>9.9</v>
      </c>
      <c r="AM181" s="7">
        <v>3554</v>
      </c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1"/>
    </row>
    <row r="182" spans="1:64" ht="13">
      <c r="A182" s="6" t="s">
        <v>403</v>
      </c>
      <c r="B182" s="6" t="s">
        <v>404</v>
      </c>
      <c r="C182" s="31">
        <v>618</v>
      </c>
      <c r="D182" s="24">
        <v>234</v>
      </c>
      <c r="E182" s="24">
        <v>554</v>
      </c>
      <c r="F182" s="8">
        <v>42.2</v>
      </c>
      <c r="G182" s="9">
        <v>170</v>
      </c>
      <c r="H182" s="8">
        <v>24.9</v>
      </c>
      <c r="I182" s="8">
        <v>107</v>
      </c>
      <c r="J182" s="8">
        <v>156</v>
      </c>
      <c r="K182" s="8">
        <v>68.2</v>
      </c>
      <c r="L182" s="9">
        <v>36</v>
      </c>
      <c r="M182" s="9">
        <v>206</v>
      </c>
      <c r="N182" s="9">
        <v>234</v>
      </c>
      <c r="O182" s="9">
        <v>447</v>
      </c>
      <c r="P182" s="9">
        <v>206</v>
      </c>
      <c r="Q182" s="9">
        <v>64</v>
      </c>
      <c r="R182" s="9">
        <v>14</v>
      </c>
      <c r="S182" s="9">
        <v>149</v>
      </c>
      <c r="T182" s="8">
        <v>1605</v>
      </c>
      <c r="U182" s="8">
        <v>11</v>
      </c>
      <c r="V182" s="8">
        <v>0</v>
      </c>
      <c r="W182" s="7">
        <v>-5.7</v>
      </c>
      <c r="X182" s="7">
        <v>108.3</v>
      </c>
      <c r="Y182" s="7">
        <v>118.6</v>
      </c>
      <c r="Z182" s="7">
        <v>-10.4</v>
      </c>
      <c r="AA182" s="7">
        <v>34.200000000000003</v>
      </c>
      <c r="AB182" s="7">
        <v>2.14</v>
      </c>
      <c r="AC182" s="7">
        <v>34.9</v>
      </c>
      <c r="AD182" s="7">
        <v>1.7</v>
      </c>
      <c r="AE182" s="7">
        <v>10.4</v>
      </c>
      <c r="AF182" s="7">
        <v>6.1</v>
      </c>
      <c r="AG182" s="7">
        <v>16.3</v>
      </c>
      <c r="AH182" s="7">
        <v>45.9</v>
      </c>
      <c r="AI182" s="7">
        <v>49.4</v>
      </c>
      <c r="AJ182" s="7">
        <v>18.600000000000001</v>
      </c>
      <c r="AK182" s="7">
        <v>102.44</v>
      </c>
      <c r="AL182" s="7">
        <v>7.7</v>
      </c>
      <c r="AM182" s="7">
        <v>3927</v>
      </c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1"/>
    </row>
    <row r="183" spans="1:64" ht="13">
      <c r="A183" s="6" t="s">
        <v>405</v>
      </c>
      <c r="B183" s="6" t="s">
        <v>406</v>
      </c>
      <c r="C183" s="31">
        <v>616</v>
      </c>
      <c r="D183" s="24">
        <v>248</v>
      </c>
      <c r="E183" s="24">
        <v>470</v>
      </c>
      <c r="F183" s="8">
        <v>53.5</v>
      </c>
      <c r="G183" s="9">
        <v>92</v>
      </c>
      <c r="H183" s="8">
        <v>30.8</v>
      </c>
      <c r="I183" s="8">
        <v>86</v>
      </c>
      <c r="J183" s="8">
        <v>124</v>
      </c>
      <c r="K183" s="8">
        <v>69.599999999999994</v>
      </c>
      <c r="L183" s="9">
        <v>130</v>
      </c>
      <c r="M183" s="9">
        <v>227</v>
      </c>
      <c r="N183" s="9">
        <v>351</v>
      </c>
      <c r="O183" s="9">
        <v>130</v>
      </c>
      <c r="P183" s="9">
        <v>86</v>
      </c>
      <c r="Q183" s="9">
        <v>43</v>
      </c>
      <c r="R183" s="9">
        <v>27</v>
      </c>
      <c r="S183" s="9">
        <v>130</v>
      </c>
      <c r="T183" s="8">
        <v>1361</v>
      </c>
      <c r="U183" s="8">
        <v>8</v>
      </c>
      <c r="V183" s="8">
        <v>0</v>
      </c>
      <c r="W183" s="7">
        <v>-1.6</v>
      </c>
      <c r="X183" s="7">
        <v>111.9</v>
      </c>
      <c r="Y183" s="7">
        <v>114.5</v>
      </c>
      <c r="Z183" s="7">
        <v>-2.7</v>
      </c>
      <c r="AA183" s="7">
        <v>13.8</v>
      </c>
      <c r="AB183" s="7">
        <v>1.52</v>
      </c>
      <c r="AC183" s="7">
        <v>17.399999999999999</v>
      </c>
      <c r="AD183" s="7">
        <v>8.8000000000000007</v>
      </c>
      <c r="AE183" s="7">
        <v>15.4</v>
      </c>
      <c r="AF183" s="7">
        <v>12.1</v>
      </c>
      <c r="AG183" s="7">
        <v>11.4</v>
      </c>
      <c r="AH183" s="7">
        <v>56.5</v>
      </c>
      <c r="AI183" s="7">
        <v>58.9</v>
      </c>
      <c r="AJ183" s="7">
        <v>18.399999999999999</v>
      </c>
      <c r="AK183" s="7">
        <v>101.53</v>
      </c>
      <c r="AL183" s="7">
        <v>10.1</v>
      </c>
      <c r="AM183" s="7">
        <v>2880</v>
      </c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1"/>
    </row>
    <row r="184" spans="1:64" ht="13">
      <c r="A184" s="6" t="s">
        <v>407</v>
      </c>
      <c r="B184" s="6" t="s">
        <v>408</v>
      </c>
      <c r="C184" s="31">
        <v>612</v>
      </c>
      <c r="D184" s="24">
        <v>218</v>
      </c>
      <c r="E184" s="24">
        <v>510</v>
      </c>
      <c r="F184" s="8">
        <v>42.4</v>
      </c>
      <c r="G184" s="9">
        <v>245</v>
      </c>
      <c r="H184" s="8">
        <v>32.5</v>
      </c>
      <c r="I184" s="8">
        <v>102</v>
      </c>
      <c r="J184" s="8">
        <v>150</v>
      </c>
      <c r="K184" s="8">
        <v>68.7</v>
      </c>
      <c r="L184" s="9">
        <v>75</v>
      </c>
      <c r="M184" s="9">
        <v>340</v>
      </c>
      <c r="N184" s="9">
        <v>415</v>
      </c>
      <c r="O184" s="9">
        <v>381</v>
      </c>
      <c r="P184" s="9">
        <v>177</v>
      </c>
      <c r="Q184" s="9">
        <v>102</v>
      </c>
      <c r="R184" s="9">
        <v>68</v>
      </c>
      <c r="S184" s="9">
        <v>218</v>
      </c>
      <c r="T184" s="8">
        <v>2020</v>
      </c>
      <c r="U184" s="8">
        <v>6</v>
      </c>
      <c r="V184" s="8">
        <v>1</v>
      </c>
      <c r="W184" s="7">
        <v>4</v>
      </c>
      <c r="X184" s="7">
        <v>115.4</v>
      </c>
      <c r="Y184" s="7">
        <v>108.8</v>
      </c>
      <c r="Z184" s="7">
        <v>6.6</v>
      </c>
      <c r="AA184" s="7">
        <v>25.5</v>
      </c>
      <c r="AB184" s="7">
        <v>2.2000000000000002</v>
      </c>
      <c r="AC184" s="7">
        <v>33.9</v>
      </c>
      <c r="AD184" s="7">
        <v>3.6</v>
      </c>
      <c r="AE184" s="7">
        <v>16.8</v>
      </c>
      <c r="AF184" s="7">
        <v>10.199999999999999</v>
      </c>
      <c r="AG184" s="7">
        <v>15.4</v>
      </c>
      <c r="AH184" s="7">
        <v>50.3</v>
      </c>
      <c r="AI184" s="7">
        <v>53.4</v>
      </c>
      <c r="AJ184" s="7">
        <v>15.7</v>
      </c>
      <c r="AK184" s="7">
        <v>101.35</v>
      </c>
      <c r="AL184" s="7">
        <v>8.8000000000000007</v>
      </c>
      <c r="AM184" s="7">
        <v>4186</v>
      </c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1"/>
    </row>
    <row r="185" spans="1:64" ht="13">
      <c r="A185" s="6" t="s">
        <v>409</v>
      </c>
      <c r="B185" s="6" t="s">
        <v>410</v>
      </c>
      <c r="C185" s="31">
        <v>608</v>
      </c>
      <c r="D185" s="24">
        <v>224</v>
      </c>
      <c r="E185" s="24">
        <v>544</v>
      </c>
      <c r="F185" s="8">
        <v>40.6</v>
      </c>
      <c r="G185" s="9">
        <v>314</v>
      </c>
      <c r="H185" s="8">
        <v>36.9</v>
      </c>
      <c r="I185" s="8">
        <v>51</v>
      </c>
      <c r="J185" s="8">
        <v>64</v>
      </c>
      <c r="K185" s="8">
        <v>81.3</v>
      </c>
      <c r="L185" s="9">
        <v>45</v>
      </c>
      <c r="M185" s="9">
        <v>115</v>
      </c>
      <c r="N185" s="9">
        <v>160</v>
      </c>
      <c r="O185" s="9">
        <v>186</v>
      </c>
      <c r="P185" s="9">
        <v>38</v>
      </c>
      <c r="Q185" s="9">
        <v>64</v>
      </c>
      <c r="R185" s="9">
        <v>19</v>
      </c>
      <c r="S185" s="9">
        <v>109</v>
      </c>
      <c r="T185" s="8">
        <v>1293</v>
      </c>
      <c r="U185" s="8">
        <v>0</v>
      </c>
      <c r="V185" s="8">
        <v>0</v>
      </c>
      <c r="W185" s="7">
        <v>3.3</v>
      </c>
      <c r="X185" s="7">
        <v>116.8</v>
      </c>
      <c r="Y185" s="7">
        <v>109.7</v>
      </c>
      <c r="Z185" s="7">
        <v>7.1</v>
      </c>
      <c r="AA185" s="7">
        <v>15.5</v>
      </c>
      <c r="AB185" s="7">
        <v>4.5599999999999996</v>
      </c>
      <c r="AC185" s="7">
        <v>23.3</v>
      </c>
      <c r="AD185" s="7">
        <v>2.8</v>
      </c>
      <c r="AE185" s="7">
        <v>6.9</v>
      </c>
      <c r="AF185" s="7">
        <v>4.9000000000000004</v>
      </c>
      <c r="AG185" s="7">
        <v>5.0999999999999996</v>
      </c>
      <c r="AH185" s="7">
        <v>51.1</v>
      </c>
      <c r="AI185" s="7">
        <v>53.1</v>
      </c>
      <c r="AJ185" s="7">
        <v>16.2</v>
      </c>
      <c r="AK185" s="7">
        <v>99.2</v>
      </c>
      <c r="AL185" s="7">
        <v>7.7</v>
      </c>
      <c r="AM185" s="7">
        <v>3283</v>
      </c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1"/>
    </row>
    <row r="186" spans="1:64" ht="13">
      <c r="A186" s="6" t="s">
        <v>411</v>
      </c>
      <c r="B186" s="6" t="s">
        <v>412</v>
      </c>
      <c r="C186" s="31">
        <v>607</v>
      </c>
      <c r="D186" s="24">
        <v>251</v>
      </c>
      <c r="E186" s="24">
        <v>436</v>
      </c>
      <c r="F186" s="8">
        <v>58</v>
      </c>
      <c r="G186" s="9">
        <v>53</v>
      </c>
      <c r="H186" s="8">
        <v>34.6</v>
      </c>
      <c r="I186" s="8">
        <v>92</v>
      </c>
      <c r="J186" s="8">
        <v>125</v>
      </c>
      <c r="K186" s="8">
        <v>70.900000000000006</v>
      </c>
      <c r="L186" s="9">
        <v>231</v>
      </c>
      <c r="M186" s="9">
        <v>317</v>
      </c>
      <c r="N186" s="9">
        <v>548</v>
      </c>
      <c r="O186" s="9">
        <v>66</v>
      </c>
      <c r="P186" s="9">
        <v>86</v>
      </c>
      <c r="Q186" s="9">
        <v>33</v>
      </c>
      <c r="R186" s="9">
        <v>86</v>
      </c>
      <c r="S186" s="9">
        <v>185</v>
      </c>
      <c r="T186" s="8">
        <v>1643</v>
      </c>
      <c r="U186" s="8">
        <v>12</v>
      </c>
      <c r="V186" s="8">
        <v>0</v>
      </c>
      <c r="W186" s="7">
        <v>2.5</v>
      </c>
      <c r="X186" s="7">
        <v>116.8</v>
      </c>
      <c r="Y186" s="7">
        <v>111.5</v>
      </c>
      <c r="Z186" s="7">
        <v>5.3</v>
      </c>
      <c r="AA186" s="7">
        <v>5.9</v>
      </c>
      <c r="AB186" s="7">
        <v>0.74</v>
      </c>
      <c r="AC186" s="7">
        <v>10.199999999999999</v>
      </c>
      <c r="AD186" s="7">
        <v>15.3</v>
      </c>
      <c r="AE186" s="7">
        <v>20.399999999999999</v>
      </c>
      <c r="AF186" s="7">
        <v>17.899999999999999</v>
      </c>
      <c r="AG186" s="7">
        <v>13.9</v>
      </c>
      <c r="AH186" s="7">
        <v>60</v>
      </c>
      <c r="AI186" s="7">
        <v>62.4</v>
      </c>
      <c r="AJ186" s="7">
        <v>15.6</v>
      </c>
      <c r="AK186" s="7">
        <v>104.2</v>
      </c>
      <c r="AL186" s="7">
        <v>11.1</v>
      </c>
      <c r="AM186" s="7">
        <v>3074</v>
      </c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1"/>
    </row>
    <row r="187" spans="1:64" ht="13">
      <c r="A187" s="6" t="s">
        <v>413</v>
      </c>
      <c r="B187" s="6" t="s">
        <v>414</v>
      </c>
      <c r="C187" s="31">
        <v>605</v>
      </c>
      <c r="D187" s="24">
        <v>207</v>
      </c>
      <c r="E187" s="24">
        <v>554</v>
      </c>
      <c r="F187" s="8">
        <v>37.200000000000003</v>
      </c>
      <c r="G187" s="9">
        <v>330</v>
      </c>
      <c r="H187" s="8">
        <v>33.1</v>
      </c>
      <c r="I187" s="8">
        <v>78</v>
      </c>
      <c r="J187" s="8">
        <v>101</v>
      </c>
      <c r="K187" s="8">
        <v>81.599999999999994</v>
      </c>
      <c r="L187" s="9">
        <v>22</v>
      </c>
      <c r="M187" s="9">
        <v>134</v>
      </c>
      <c r="N187" s="9">
        <v>157</v>
      </c>
      <c r="O187" s="9">
        <v>67</v>
      </c>
      <c r="P187" s="9">
        <v>56</v>
      </c>
      <c r="Q187" s="9">
        <v>28</v>
      </c>
      <c r="R187" s="9">
        <v>22</v>
      </c>
      <c r="S187" s="9">
        <v>50</v>
      </c>
      <c r="T187" s="8">
        <v>991</v>
      </c>
      <c r="U187" s="8">
        <v>0</v>
      </c>
      <c r="V187" s="8">
        <v>0</v>
      </c>
      <c r="W187" s="7">
        <v>-5.7</v>
      </c>
      <c r="X187" s="7">
        <v>106.6</v>
      </c>
      <c r="Y187" s="7">
        <v>118.1</v>
      </c>
      <c r="Z187" s="7">
        <v>-11.4</v>
      </c>
      <c r="AA187" s="7">
        <v>7.6</v>
      </c>
      <c r="AB187" s="7">
        <v>1.1399999999999999</v>
      </c>
      <c r="AC187" s="7">
        <v>9.1999999999999993</v>
      </c>
      <c r="AD187" s="7">
        <v>1.7</v>
      </c>
      <c r="AE187" s="7">
        <v>9.6999999999999993</v>
      </c>
      <c r="AF187" s="7">
        <v>5.6</v>
      </c>
      <c r="AG187" s="7">
        <v>8.1</v>
      </c>
      <c r="AH187" s="7">
        <v>47.1</v>
      </c>
      <c r="AI187" s="7">
        <v>50.4</v>
      </c>
      <c r="AJ187" s="7">
        <v>20.399999999999999</v>
      </c>
      <c r="AK187" s="7">
        <v>101.14</v>
      </c>
      <c r="AL187" s="7">
        <v>6.6</v>
      </c>
      <c r="AM187" s="7">
        <v>2783</v>
      </c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1"/>
    </row>
    <row r="188" spans="1:64" ht="13">
      <c r="A188" s="6" t="s">
        <v>415</v>
      </c>
      <c r="B188" s="6" t="s">
        <v>416</v>
      </c>
      <c r="C188" s="31">
        <v>604</v>
      </c>
      <c r="D188" s="24">
        <v>213</v>
      </c>
      <c r="E188" s="24">
        <v>476</v>
      </c>
      <c r="F188" s="8">
        <v>45.1</v>
      </c>
      <c r="G188" s="9">
        <v>398</v>
      </c>
      <c r="H188" s="8">
        <v>41.6</v>
      </c>
      <c r="I188" s="8">
        <v>14</v>
      </c>
      <c r="J188" s="8">
        <v>14</v>
      </c>
      <c r="K188" s="8">
        <v>100</v>
      </c>
      <c r="L188" s="9">
        <v>43</v>
      </c>
      <c r="M188" s="9">
        <v>178</v>
      </c>
      <c r="N188" s="9">
        <v>227</v>
      </c>
      <c r="O188" s="9">
        <v>64</v>
      </c>
      <c r="P188" s="9">
        <v>21</v>
      </c>
      <c r="Q188" s="9">
        <v>43</v>
      </c>
      <c r="R188" s="9">
        <v>14</v>
      </c>
      <c r="S188" s="9">
        <v>85</v>
      </c>
      <c r="T188" s="8">
        <v>1108</v>
      </c>
      <c r="U188" s="8">
        <v>0</v>
      </c>
      <c r="V188" s="8">
        <v>0</v>
      </c>
      <c r="W188" s="7">
        <v>4.5999999999999996</v>
      </c>
      <c r="X188" s="7">
        <v>119.8</v>
      </c>
      <c r="Y188" s="7">
        <v>109.8</v>
      </c>
      <c r="Z188" s="7">
        <v>10</v>
      </c>
      <c r="AA188" s="7">
        <v>5.7</v>
      </c>
      <c r="AB188" s="7">
        <v>2.78</v>
      </c>
      <c r="AC188" s="7">
        <v>11.3</v>
      </c>
      <c r="AD188" s="7">
        <v>2.7</v>
      </c>
      <c r="AE188" s="7">
        <v>11.3</v>
      </c>
      <c r="AF188" s="7">
        <v>7</v>
      </c>
      <c r="AG188" s="7">
        <v>4.0999999999999996</v>
      </c>
      <c r="AH188" s="7">
        <v>62.7</v>
      </c>
      <c r="AI188" s="7">
        <v>63.2</v>
      </c>
      <c r="AJ188" s="7">
        <v>14</v>
      </c>
      <c r="AK188" s="7">
        <v>96.4</v>
      </c>
      <c r="AL188" s="7">
        <v>8.3000000000000007</v>
      </c>
      <c r="AM188" s="7">
        <v>3102</v>
      </c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1"/>
    </row>
    <row r="189" spans="1:64" ht="13">
      <c r="A189" s="6" t="s">
        <v>417</v>
      </c>
      <c r="B189" s="6" t="s">
        <v>418</v>
      </c>
      <c r="C189" s="31">
        <v>600</v>
      </c>
      <c r="D189" s="24">
        <v>200</v>
      </c>
      <c r="E189" s="24">
        <v>455</v>
      </c>
      <c r="F189" s="8">
        <v>43.8</v>
      </c>
      <c r="G189" s="9">
        <v>195</v>
      </c>
      <c r="H189" s="8">
        <v>34.9</v>
      </c>
      <c r="I189" s="8">
        <v>133</v>
      </c>
      <c r="J189" s="8">
        <v>150</v>
      </c>
      <c r="K189" s="8">
        <v>88.1</v>
      </c>
      <c r="L189" s="9">
        <v>15</v>
      </c>
      <c r="M189" s="9">
        <v>68</v>
      </c>
      <c r="N189" s="9">
        <v>83</v>
      </c>
      <c r="O189" s="9">
        <v>95</v>
      </c>
      <c r="P189" s="9">
        <v>63</v>
      </c>
      <c r="Q189" s="9">
        <v>15</v>
      </c>
      <c r="R189" s="9">
        <v>3</v>
      </c>
      <c r="S189" s="9">
        <v>45</v>
      </c>
      <c r="T189" s="8">
        <v>828</v>
      </c>
      <c r="U189" s="8">
        <v>1</v>
      </c>
      <c r="V189" s="8">
        <v>0</v>
      </c>
      <c r="W189" s="7">
        <v>-3.7</v>
      </c>
      <c r="X189" s="7">
        <v>114.9</v>
      </c>
      <c r="Y189" s="7">
        <v>120.6</v>
      </c>
      <c r="Z189" s="7">
        <v>-5.7</v>
      </c>
      <c r="AA189" s="7">
        <v>21.7</v>
      </c>
      <c r="AB189" s="7">
        <v>1.52</v>
      </c>
      <c r="AC189" s="7">
        <v>14</v>
      </c>
      <c r="AD189" s="7">
        <v>2</v>
      </c>
      <c r="AE189" s="7">
        <v>8.9</v>
      </c>
      <c r="AF189" s="7">
        <v>5.4</v>
      </c>
      <c r="AG189" s="7">
        <v>9.1999999999999993</v>
      </c>
      <c r="AH189" s="7">
        <v>51.3</v>
      </c>
      <c r="AI189" s="7">
        <v>57.5</v>
      </c>
      <c r="AJ189" s="7">
        <v>32.799999999999997</v>
      </c>
      <c r="AK189" s="7">
        <v>96.1</v>
      </c>
      <c r="AL189" s="7">
        <v>12.2</v>
      </c>
      <c r="AM189" s="7">
        <v>1563</v>
      </c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1"/>
    </row>
    <row r="190" spans="1:64" ht="13">
      <c r="A190" s="6" t="s">
        <v>419</v>
      </c>
      <c r="B190" s="6" t="s">
        <v>420</v>
      </c>
      <c r="C190" s="31">
        <v>599</v>
      </c>
      <c r="D190" s="24">
        <v>200</v>
      </c>
      <c r="E190" s="24">
        <v>492</v>
      </c>
      <c r="F190" s="8">
        <v>40.799999999999997</v>
      </c>
      <c r="G190" s="9">
        <v>233</v>
      </c>
      <c r="H190" s="8">
        <v>36.200000000000003</v>
      </c>
      <c r="I190" s="8">
        <v>115</v>
      </c>
      <c r="J190" s="8">
        <v>144</v>
      </c>
      <c r="K190" s="8">
        <v>79.7</v>
      </c>
      <c r="L190" s="9">
        <v>26</v>
      </c>
      <c r="M190" s="9">
        <v>93</v>
      </c>
      <c r="N190" s="9">
        <v>118</v>
      </c>
      <c r="O190" s="9">
        <v>137</v>
      </c>
      <c r="P190" s="9">
        <v>85</v>
      </c>
      <c r="Q190" s="9">
        <v>30</v>
      </c>
      <c r="R190" s="9">
        <v>7</v>
      </c>
      <c r="S190" s="9">
        <v>52</v>
      </c>
      <c r="T190" s="8">
        <v>984</v>
      </c>
      <c r="U190" s="8">
        <v>0</v>
      </c>
      <c r="V190" s="8">
        <v>0</v>
      </c>
      <c r="W190" s="7">
        <v>-5.5</v>
      </c>
      <c r="X190" s="7">
        <v>107.5</v>
      </c>
      <c r="Y190" s="7">
        <v>117.5</v>
      </c>
      <c r="Z190" s="7">
        <v>-10</v>
      </c>
      <c r="AA190" s="7">
        <v>23.8</v>
      </c>
      <c r="AB190" s="7">
        <v>1.6</v>
      </c>
      <c r="AC190" s="7">
        <v>17.8</v>
      </c>
      <c r="AD190" s="7">
        <v>2.5</v>
      </c>
      <c r="AE190" s="7">
        <v>9.1999999999999993</v>
      </c>
      <c r="AF190" s="7">
        <v>5.8</v>
      </c>
      <c r="AG190" s="7">
        <v>11.1</v>
      </c>
      <c r="AH190" s="7">
        <v>49.3</v>
      </c>
      <c r="AI190" s="7">
        <v>54</v>
      </c>
      <c r="AJ190" s="7">
        <v>26.9</v>
      </c>
      <c r="AK190" s="7">
        <v>102.16</v>
      </c>
      <c r="AL190" s="7">
        <v>10.199999999999999</v>
      </c>
      <c r="AM190" s="7">
        <v>2049</v>
      </c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1"/>
    </row>
    <row r="191" spans="1:64" ht="13">
      <c r="A191" s="6" t="s">
        <v>421</v>
      </c>
      <c r="B191" s="6" t="s">
        <v>422</v>
      </c>
      <c r="C191" s="31">
        <v>596</v>
      </c>
      <c r="D191" s="24">
        <v>248</v>
      </c>
      <c r="E191" s="24">
        <v>460</v>
      </c>
      <c r="F191" s="8">
        <v>53.5</v>
      </c>
      <c r="G191" s="9">
        <v>47</v>
      </c>
      <c r="H191" s="8">
        <v>22.4</v>
      </c>
      <c r="I191" s="8">
        <v>89</v>
      </c>
      <c r="J191" s="8">
        <v>142</v>
      </c>
      <c r="K191" s="8">
        <v>64.099999999999994</v>
      </c>
      <c r="L191" s="9">
        <v>112</v>
      </c>
      <c r="M191" s="9">
        <v>195</v>
      </c>
      <c r="N191" s="9">
        <v>301</v>
      </c>
      <c r="O191" s="9">
        <v>136</v>
      </c>
      <c r="P191" s="9">
        <v>83</v>
      </c>
      <c r="Q191" s="9">
        <v>100</v>
      </c>
      <c r="R191" s="9">
        <v>41</v>
      </c>
      <c r="S191" s="9">
        <v>165</v>
      </c>
      <c r="T191" s="8">
        <v>1493</v>
      </c>
      <c r="U191" s="8">
        <v>3</v>
      </c>
      <c r="V191" s="8">
        <v>0</v>
      </c>
      <c r="W191" s="7">
        <v>1.1000000000000001</v>
      </c>
      <c r="X191" s="7">
        <v>113.1</v>
      </c>
      <c r="Y191" s="7">
        <v>109.2</v>
      </c>
      <c r="Z191" s="7">
        <v>4</v>
      </c>
      <c r="AA191" s="7">
        <v>13.9</v>
      </c>
      <c r="AB191" s="7">
        <v>1.68</v>
      </c>
      <c r="AC191" s="7">
        <v>18.2</v>
      </c>
      <c r="AD191" s="7">
        <v>8.1</v>
      </c>
      <c r="AE191" s="7">
        <v>13.9</v>
      </c>
      <c r="AF191" s="7">
        <v>11</v>
      </c>
      <c r="AG191" s="7">
        <v>10.8</v>
      </c>
      <c r="AH191" s="7">
        <v>54.7</v>
      </c>
      <c r="AI191" s="7">
        <v>56.8</v>
      </c>
      <c r="AJ191" s="7">
        <v>18.5</v>
      </c>
      <c r="AK191" s="7">
        <v>102.76</v>
      </c>
      <c r="AL191" s="7">
        <v>10.4</v>
      </c>
      <c r="AM191" s="7">
        <v>2822</v>
      </c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1"/>
    </row>
    <row r="192" spans="1:64" ht="13">
      <c r="A192" s="6" t="s">
        <v>423</v>
      </c>
      <c r="B192" s="6" t="s">
        <v>424</v>
      </c>
      <c r="C192" s="31">
        <v>595</v>
      </c>
      <c r="D192" s="24">
        <v>256</v>
      </c>
      <c r="E192" s="24">
        <v>467</v>
      </c>
      <c r="F192" s="8">
        <v>55.4</v>
      </c>
      <c r="G192" s="9">
        <v>109</v>
      </c>
      <c r="H192" s="8">
        <v>31.5</v>
      </c>
      <c r="I192" s="8">
        <v>45</v>
      </c>
      <c r="J192" s="8">
        <v>64</v>
      </c>
      <c r="K192" s="8">
        <v>68.7</v>
      </c>
      <c r="L192" s="9">
        <v>115</v>
      </c>
      <c r="M192" s="9">
        <v>358</v>
      </c>
      <c r="N192" s="9">
        <v>474</v>
      </c>
      <c r="O192" s="9">
        <v>58</v>
      </c>
      <c r="P192" s="9">
        <v>58</v>
      </c>
      <c r="Q192" s="9">
        <v>38</v>
      </c>
      <c r="R192" s="9">
        <v>70</v>
      </c>
      <c r="S192" s="9">
        <v>109</v>
      </c>
      <c r="T192" s="8">
        <v>1523</v>
      </c>
      <c r="U192" s="8">
        <v>15</v>
      </c>
      <c r="V192" s="8">
        <v>0</v>
      </c>
      <c r="W192" s="7">
        <v>0.6</v>
      </c>
      <c r="X192" s="7">
        <v>112.8</v>
      </c>
      <c r="Y192" s="7">
        <v>110.9</v>
      </c>
      <c r="Z192" s="7">
        <v>1.9</v>
      </c>
      <c r="AA192" s="7">
        <v>6.2</v>
      </c>
      <c r="AB192" s="7">
        <v>1.05</v>
      </c>
      <c r="AC192" s="7">
        <v>9.8000000000000007</v>
      </c>
      <c r="AD192" s="7">
        <v>8.6999999999999993</v>
      </c>
      <c r="AE192" s="7">
        <v>23.8</v>
      </c>
      <c r="AF192" s="7">
        <v>16.7</v>
      </c>
      <c r="AG192" s="7">
        <v>9.3000000000000007</v>
      </c>
      <c r="AH192" s="7">
        <v>59.2</v>
      </c>
      <c r="AI192" s="7">
        <v>60.3</v>
      </c>
      <c r="AJ192" s="7">
        <v>16.899999999999999</v>
      </c>
      <c r="AK192" s="7">
        <v>98.6</v>
      </c>
      <c r="AL192" s="7">
        <v>11.9</v>
      </c>
      <c r="AM192" s="7">
        <v>2914</v>
      </c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1"/>
    </row>
    <row r="193" spans="1:64" ht="13">
      <c r="A193" s="13" t="s">
        <v>425</v>
      </c>
      <c r="B193" s="6" t="s">
        <v>426</v>
      </c>
      <c r="C193" s="31">
        <v>594</v>
      </c>
      <c r="D193" s="24">
        <v>222</v>
      </c>
      <c r="E193" s="24">
        <v>570</v>
      </c>
      <c r="F193" s="8">
        <v>39.1</v>
      </c>
      <c r="G193" s="9">
        <v>306</v>
      </c>
      <c r="H193" s="8">
        <v>34</v>
      </c>
      <c r="I193" s="8">
        <v>42</v>
      </c>
      <c r="J193" s="8">
        <v>48</v>
      </c>
      <c r="K193" s="8">
        <v>93.5</v>
      </c>
      <c r="L193" s="9">
        <v>12</v>
      </c>
      <c r="M193" s="9">
        <v>114</v>
      </c>
      <c r="N193" s="9">
        <v>126</v>
      </c>
      <c r="O193" s="9">
        <v>144</v>
      </c>
      <c r="P193" s="9">
        <v>84</v>
      </c>
      <c r="Q193" s="9">
        <v>18</v>
      </c>
      <c r="R193" s="9">
        <v>6</v>
      </c>
      <c r="S193" s="9">
        <v>78</v>
      </c>
      <c r="T193" s="8">
        <v>948</v>
      </c>
      <c r="U193" s="8">
        <v>1</v>
      </c>
      <c r="V193" s="8">
        <v>0</v>
      </c>
      <c r="W193" s="7">
        <v>-6.6</v>
      </c>
      <c r="X193" s="7">
        <v>102.1</v>
      </c>
      <c r="Y193" s="7">
        <v>116.4</v>
      </c>
      <c r="Z193" s="7">
        <v>-14.3</v>
      </c>
      <c r="AA193" s="7">
        <v>16.899999999999999</v>
      </c>
      <c r="AB193" s="7">
        <v>1.77</v>
      </c>
      <c r="AC193" s="7">
        <v>17.8</v>
      </c>
      <c r="AD193" s="7">
        <v>0.9</v>
      </c>
      <c r="AE193" s="7">
        <v>8</v>
      </c>
      <c r="AF193" s="7">
        <v>4.3</v>
      </c>
      <c r="AG193" s="7">
        <v>10.1</v>
      </c>
      <c r="AH193" s="7">
        <v>48.2</v>
      </c>
      <c r="AI193" s="7">
        <v>50.2</v>
      </c>
      <c r="AJ193" s="7">
        <v>20.5</v>
      </c>
      <c r="AK193" s="7">
        <v>99.74</v>
      </c>
      <c r="AL193" s="7">
        <v>6.4</v>
      </c>
      <c r="AM193" s="7">
        <v>2848</v>
      </c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1"/>
    </row>
    <row r="194" spans="1:64" ht="13">
      <c r="A194" s="6" t="s">
        <v>427</v>
      </c>
      <c r="B194" s="6" t="s">
        <v>428</v>
      </c>
      <c r="C194" s="31">
        <v>592</v>
      </c>
      <c r="D194" s="24">
        <v>204</v>
      </c>
      <c r="E194" s="24">
        <v>544</v>
      </c>
      <c r="F194" s="8">
        <v>37.200000000000003</v>
      </c>
      <c r="G194" s="9">
        <v>354</v>
      </c>
      <c r="H194" s="8">
        <v>32.200000000000003</v>
      </c>
      <c r="I194" s="8">
        <v>68</v>
      </c>
      <c r="J194" s="8">
        <v>95</v>
      </c>
      <c r="K194" s="8">
        <v>75.3</v>
      </c>
      <c r="L194" s="9">
        <v>48</v>
      </c>
      <c r="M194" s="9">
        <v>238</v>
      </c>
      <c r="N194" s="9">
        <v>286</v>
      </c>
      <c r="O194" s="9">
        <v>170</v>
      </c>
      <c r="P194" s="9">
        <v>95</v>
      </c>
      <c r="Q194" s="9">
        <v>68</v>
      </c>
      <c r="R194" s="9">
        <v>48</v>
      </c>
      <c r="S194" s="9">
        <v>204</v>
      </c>
      <c r="T194" s="8">
        <v>1442</v>
      </c>
      <c r="U194" s="8">
        <v>1</v>
      </c>
      <c r="V194" s="8">
        <v>0</v>
      </c>
      <c r="W194" s="7">
        <v>-5.3</v>
      </c>
      <c r="X194" s="7">
        <v>105.4</v>
      </c>
      <c r="Y194" s="7">
        <v>115.5</v>
      </c>
      <c r="Z194" s="7">
        <v>-10.1</v>
      </c>
      <c r="AA194" s="7">
        <v>13.3</v>
      </c>
      <c r="AB194" s="7">
        <v>1.74</v>
      </c>
      <c r="AC194" s="7">
        <v>19.8</v>
      </c>
      <c r="AD194" s="7">
        <v>2.5</v>
      </c>
      <c r="AE194" s="7">
        <v>12.2</v>
      </c>
      <c r="AF194" s="7">
        <v>7.4</v>
      </c>
      <c r="AG194" s="7">
        <v>11.4</v>
      </c>
      <c r="AH194" s="7">
        <v>47.6</v>
      </c>
      <c r="AI194" s="7">
        <v>50.3</v>
      </c>
      <c r="AJ194" s="7">
        <v>15.6</v>
      </c>
      <c r="AK194" s="7">
        <v>102.7</v>
      </c>
      <c r="AL194" s="7">
        <v>5.8</v>
      </c>
      <c r="AM194" s="7">
        <v>3869</v>
      </c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1"/>
    </row>
    <row r="195" spans="1:64" ht="13">
      <c r="A195" s="6" t="s">
        <v>429</v>
      </c>
      <c r="B195" s="6" t="s">
        <v>430</v>
      </c>
      <c r="C195" s="31">
        <v>585</v>
      </c>
      <c r="D195" s="24">
        <v>208</v>
      </c>
      <c r="E195" s="24">
        <v>488</v>
      </c>
      <c r="F195" s="8">
        <v>43.2</v>
      </c>
      <c r="G195" s="9">
        <v>267</v>
      </c>
      <c r="H195" s="8">
        <v>34.9</v>
      </c>
      <c r="I195" s="8">
        <v>72</v>
      </c>
      <c r="J195" s="8">
        <v>91</v>
      </c>
      <c r="K195" s="8">
        <v>82.2</v>
      </c>
      <c r="L195" s="9">
        <v>20</v>
      </c>
      <c r="M195" s="9">
        <v>124</v>
      </c>
      <c r="N195" s="9">
        <v>143</v>
      </c>
      <c r="O195" s="9">
        <v>85</v>
      </c>
      <c r="P195" s="9">
        <v>59</v>
      </c>
      <c r="Q195" s="9">
        <v>39</v>
      </c>
      <c r="R195" s="9">
        <v>13</v>
      </c>
      <c r="S195" s="9">
        <v>150</v>
      </c>
      <c r="T195" s="8">
        <v>988</v>
      </c>
      <c r="U195" s="8">
        <v>0</v>
      </c>
      <c r="V195" s="8">
        <v>0</v>
      </c>
      <c r="W195" s="7">
        <v>-1.1000000000000001</v>
      </c>
      <c r="X195" s="7">
        <v>111.9</v>
      </c>
      <c r="Y195" s="7">
        <v>114.4</v>
      </c>
      <c r="Z195" s="7">
        <v>-2.5</v>
      </c>
      <c r="AA195" s="7">
        <v>8.1999999999999993</v>
      </c>
      <c r="AB195" s="7">
        <v>1.46</v>
      </c>
      <c r="AC195" s="7">
        <v>12.5</v>
      </c>
      <c r="AD195" s="7">
        <v>1.2</v>
      </c>
      <c r="AE195" s="7">
        <v>8.3000000000000007</v>
      </c>
      <c r="AF195" s="7">
        <v>4.9000000000000004</v>
      </c>
      <c r="AG195" s="7">
        <v>8.6</v>
      </c>
      <c r="AH195" s="7">
        <v>52.9</v>
      </c>
      <c r="AI195" s="7">
        <v>55.9</v>
      </c>
      <c r="AJ195" s="7">
        <v>17.3</v>
      </c>
      <c r="AK195" s="7">
        <v>102.79</v>
      </c>
      <c r="AL195" s="7">
        <v>5.7</v>
      </c>
      <c r="AM195" s="7">
        <v>2964</v>
      </c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1"/>
    </row>
    <row r="196" spans="1:64" ht="13">
      <c r="A196" s="6" t="s">
        <v>431</v>
      </c>
      <c r="B196" s="6" t="s">
        <v>432</v>
      </c>
      <c r="C196" s="31">
        <v>585</v>
      </c>
      <c r="D196" s="24">
        <v>222</v>
      </c>
      <c r="E196" s="24">
        <v>474</v>
      </c>
      <c r="F196" s="8">
        <v>46.8</v>
      </c>
      <c r="G196" s="9">
        <v>215</v>
      </c>
      <c r="H196" s="8">
        <v>39.799999999999997</v>
      </c>
      <c r="I196" s="8">
        <v>59</v>
      </c>
      <c r="J196" s="8">
        <v>81</v>
      </c>
      <c r="K196" s="8">
        <v>69</v>
      </c>
      <c r="L196" s="9">
        <v>37</v>
      </c>
      <c r="M196" s="9">
        <v>133</v>
      </c>
      <c r="N196" s="9">
        <v>170</v>
      </c>
      <c r="O196" s="9">
        <v>363</v>
      </c>
      <c r="P196" s="9">
        <v>126</v>
      </c>
      <c r="Q196" s="9">
        <v>74</v>
      </c>
      <c r="R196" s="9">
        <v>15</v>
      </c>
      <c r="S196" s="9">
        <v>185</v>
      </c>
      <c r="T196" s="8">
        <v>1473</v>
      </c>
      <c r="U196" s="8">
        <v>1</v>
      </c>
      <c r="V196" s="8">
        <v>0</v>
      </c>
      <c r="W196" s="7">
        <v>0</v>
      </c>
      <c r="X196" s="7">
        <v>111</v>
      </c>
      <c r="Y196" s="7">
        <v>110.7</v>
      </c>
      <c r="Z196" s="7">
        <v>0.3</v>
      </c>
      <c r="AA196" s="7">
        <v>23.7</v>
      </c>
      <c r="AB196" s="7">
        <v>2.84</v>
      </c>
      <c r="AC196" s="7">
        <v>36.200000000000003</v>
      </c>
      <c r="AD196" s="7">
        <v>1.7</v>
      </c>
      <c r="AE196" s="7">
        <v>6.3</v>
      </c>
      <c r="AF196" s="7">
        <v>4.0999999999999996</v>
      </c>
      <c r="AG196" s="7">
        <v>12.8</v>
      </c>
      <c r="AH196" s="7">
        <v>55.7</v>
      </c>
      <c r="AI196" s="7">
        <v>57.3</v>
      </c>
      <c r="AJ196" s="7">
        <v>13.5</v>
      </c>
      <c r="AK196" s="7">
        <v>98.76</v>
      </c>
      <c r="AL196" s="7">
        <v>6.9</v>
      </c>
      <c r="AM196" s="7">
        <v>4164</v>
      </c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1"/>
    </row>
    <row r="197" spans="1:64" ht="13">
      <c r="A197" s="6" t="s">
        <v>433</v>
      </c>
      <c r="B197" s="6" t="s">
        <v>434</v>
      </c>
      <c r="C197" s="31">
        <v>583</v>
      </c>
      <c r="D197" s="24">
        <v>211</v>
      </c>
      <c r="E197" s="24">
        <v>491</v>
      </c>
      <c r="F197" s="8">
        <v>42.7</v>
      </c>
      <c r="G197" s="9">
        <v>292</v>
      </c>
      <c r="H197" s="8">
        <v>36.299999999999997</v>
      </c>
      <c r="I197" s="8">
        <v>59</v>
      </c>
      <c r="J197" s="8">
        <v>65</v>
      </c>
      <c r="K197" s="8">
        <v>87.9</v>
      </c>
      <c r="L197" s="9">
        <v>22</v>
      </c>
      <c r="M197" s="9">
        <v>135</v>
      </c>
      <c r="N197" s="9">
        <v>157</v>
      </c>
      <c r="O197" s="9">
        <v>146</v>
      </c>
      <c r="P197" s="9">
        <v>76</v>
      </c>
      <c r="Q197" s="9">
        <v>43</v>
      </c>
      <c r="R197" s="9">
        <v>11</v>
      </c>
      <c r="S197" s="9">
        <v>130</v>
      </c>
      <c r="T197" s="8">
        <v>1075</v>
      </c>
      <c r="U197" s="8">
        <v>1</v>
      </c>
      <c r="V197" s="8">
        <v>0</v>
      </c>
      <c r="W197" s="7">
        <v>2</v>
      </c>
      <c r="X197" s="7">
        <v>112.7</v>
      </c>
      <c r="Y197" s="7">
        <v>110</v>
      </c>
      <c r="Z197" s="7">
        <v>2.7</v>
      </c>
      <c r="AA197" s="7">
        <v>15.2</v>
      </c>
      <c r="AB197" s="7">
        <v>1.97</v>
      </c>
      <c r="AC197" s="7">
        <v>19.7</v>
      </c>
      <c r="AD197" s="7">
        <v>1.7</v>
      </c>
      <c r="AE197" s="7">
        <v>9.8000000000000007</v>
      </c>
      <c r="AF197" s="7">
        <v>5.7</v>
      </c>
      <c r="AG197" s="7">
        <v>10</v>
      </c>
      <c r="AH197" s="7">
        <v>53.4</v>
      </c>
      <c r="AI197" s="7">
        <v>55.9</v>
      </c>
      <c r="AJ197" s="7">
        <v>18.3</v>
      </c>
      <c r="AK197" s="7">
        <v>101.35</v>
      </c>
      <c r="AL197" s="7">
        <v>7.4</v>
      </c>
      <c r="AM197" s="7">
        <v>2858</v>
      </c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1"/>
    </row>
    <row r="198" spans="1:64" ht="13">
      <c r="A198" s="6" t="s">
        <v>435</v>
      </c>
      <c r="B198" s="6" t="s">
        <v>436</v>
      </c>
      <c r="C198" s="31">
        <v>582</v>
      </c>
      <c r="D198" s="24">
        <v>185</v>
      </c>
      <c r="E198" s="24">
        <v>469</v>
      </c>
      <c r="F198" s="8">
        <v>40</v>
      </c>
      <c r="G198" s="9">
        <v>312</v>
      </c>
      <c r="H198" s="8">
        <v>41</v>
      </c>
      <c r="I198" s="8">
        <v>78</v>
      </c>
      <c r="J198" s="8">
        <v>92</v>
      </c>
      <c r="K198" s="8">
        <v>90</v>
      </c>
      <c r="L198" s="9">
        <v>36</v>
      </c>
      <c r="M198" s="9">
        <v>149</v>
      </c>
      <c r="N198" s="9">
        <v>185</v>
      </c>
      <c r="O198" s="9">
        <v>320</v>
      </c>
      <c r="P198" s="9">
        <v>78</v>
      </c>
      <c r="Q198" s="9">
        <v>78</v>
      </c>
      <c r="R198" s="9">
        <v>14</v>
      </c>
      <c r="S198" s="9">
        <v>114</v>
      </c>
      <c r="T198" s="8">
        <v>1484</v>
      </c>
      <c r="U198" s="8">
        <v>1</v>
      </c>
      <c r="V198" s="8">
        <v>0</v>
      </c>
      <c r="W198" s="7">
        <v>3.7</v>
      </c>
      <c r="X198" s="7">
        <v>115.5</v>
      </c>
      <c r="Y198" s="7">
        <v>109</v>
      </c>
      <c r="Z198" s="7">
        <v>6.5</v>
      </c>
      <c r="AA198" s="7">
        <v>24.3</v>
      </c>
      <c r="AB198" s="7">
        <v>4.25</v>
      </c>
      <c r="AC198" s="7">
        <v>35.6</v>
      </c>
      <c r="AD198" s="7">
        <v>1.8</v>
      </c>
      <c r="AE198" s="7">
        <v>8.5</v>
      </c>
      <c r="AF198" s="7">
        <v>5.2</v>
      </c>
      <c r="AG198" s="7">
        <v>8.4</v>
      </c>
      <c r="AH198" s="7">
        <v>53.5</v>
      </c>
      <c r="AI198" s="7">
        <v>57.3</v>
      </c>
      <c r="AJ198" s="7">
        <v>14.1</v>
      </c>
      <c r="AK198" s="7">
        <v>97.92</v>
      </c>
      <c r="AL198" s="7">
        <v>9.1999999999999993</v>
      </c>
      <c r="AM198" s="7">
        <v>3596</v>
      </c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1"/>
    </row>
    <row r="199" spans="1:64" ht="13">
      <c r="A199" s="6" t="s">
        <v>437</v>
      </c>
      <c r="B199" s="6" t="s">
        <v>438</v>
      </c>
      <c r="C199" s="31">
        <v>579</v>
      </c>
      <c r="D199" s="24">
        <v>208</v>
      </c>
      <c r="E199" s="24">
        <v>429</v>
      </c>
      <c r="F199" s="8">
        <v>47.8</v>
      </c>
      <c r="G199" s="9">
        <v>260</v>
      </c>
      <c r="H199" s="8">
        <v>43.3</v>
      </c>
      <c r="I199" s="8">
        <v>52</v>
      </c>
      <c r="J199" s="8">
        <v>59</v>
      </c>
      <c r="K199" s="8">
        <v>89.5</v>
      </c>
      <c r="L199" s="9">
        <v>39</v>
      </c>
      <c r="M199" s="9">
        <v>143</v>
      </c>
      <c r="N199" s="9">
        <v>182</v>
      </c>
      <c r="O199" s="9">
        <v>215</v>
      </c>
      <c r="P199" s="9">
        <v>72</v>
      </c>
      <c r="Q199" s="9">
        <v>52</v>
      </c>
      <c r="R199" s="9">
        <v>7</v>
      </c>
      <c r="S199" s="9">
        <v>59</v>
      </c>
      <c r="T199" s="8">
        <v>1209</v>
      </c>
      <c r="U199" s="8">
        <v>0</v>
      </c>
      <c r="V199" s="8">
        <v>0</v>
      </c>
      <c r="W199" s="7">
        <v>1.9</v>
      </c>
      <c r="X199" s="7">
        <v>117.6</v>
      </c>
      <c r="Y199" s="7">
        <v>114.5</v>
      </c>
      <c r="Z199" s="7">
        <v>3.1</v>
      </c>
      <c r="AA199" s="7">
        <v>17.899999999999999</v>
      </c>
      <c r="AB199" s="7">
        <v>2.99</v>
      </c>
      <c r="AC199" s="7">
        <v>29.3</v>
      </c>
      <c r="AD199" s="7">
        <v>2.4</v>
      </c>
      <c r="AE199" s="7">
        <v>9.4</v>
      </c>
      <c r="AF199" s="7">
        <v>5.9</v>
      </c>
      <c r="AG199" s="7">
        <v>9.8000000000000007</v>
      </c>
      <c r="AH199" s="7">
        <v>60.9</v>
      </c>
      <c r="AI199" s="7">
        <v>63.1</v>
      </c>
      <c r="AJ199" s="7">
        <v>14</v>
      </c>
      <c r="AK199" s="7">
        <v>104.99</v>
      </c>
      <c r="AL199" s="7">
        <v>9.3000000000000007</v>
      </c>
      <c r="AM199" s="7">
        <v>3228</v>
      </c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1"/>
    </row>
    <row r="200" spans="1:64" ht="13">
      <c r="A200" s="6" t="s">
        <v>439</v>
      </c>
      <c r="B200" s="6" t="s">
        <v>440</v>
      </c>
      <c r="C200" s="31">
        <v>577</v>
      </c>
      <c r="D200" s="24">
        <v>202</v>
      </c>
      <c r="E200" s="24">
        <v>521</v>
      </c>
      <c r="F200" s="8">
        <v>39.200000000000003</v>
      </c>
      <c r="G200" s="9">
        <v>308</v>
      </c>
      <c r="H200" s="8">
        <v>35.9</v>
      </c>
      <c r="I200" s="8">
        <v>62</v>
      </c>
      <c r="J200" s="8">
        <v>73</v>
      </c>
      <c r="K200" s="8">
        <v>81.099999999999994</v>
      </c>
      <c r="L200" s="9">
        <v>28</v>
      </c>
      <c r="M200" s="9">
        <v>106</v>
      </c>
      <c r="N200" s="9">
        <v>134</v>
      </c>
      <c r="O200" s="9">
        <v>258</v>
      </c>
      <c r="P200" s="9">
        <v>84</v>
      </c>
      <c r="Q200" s="9">
        <v>73</v>
      </c>
      <c r="R200" s="9">
        <v>17</v>
      </c>
      <c r="S200" s="9">
        <v>90</v>
      </c>
      <c r="T200" s="8">
        <v>1310</v>
      </c>
      <c r="U200" s="8">
        <v>2</v>
      </c>
      <c r="V200" s="8">
        <v>0</v>
      </c>
      <c r="W200" s="7">
        <v>-4.0999999999999996</v>
      </c>
      <c r="X200" s="7">
        <v>108.4</v>
      </c>
      <c r="Y200" s="7">
        <v>117.1</v>
      </c>
      <c r="Z200" s="7">
        <v>-8.6999999999999993</v>
      </c>
      <c r="AA200" s="7">
        <v>27.8</v>
      </c>
      <c r="AB200" s="7">
        <v>3.01</v>
      </c>
      <c r="AC200" s="7">
        <v>29</v>
      </c>
      <c r="AD200" s="7">
        <v>1.9</v>
      </c>
      <c r="AE200" s="7">
        <v>7.7</v>
      </c>
      <c r="AF200" s="7">
        <v>4.7</v>
      </c>
      <c r="AG200" s="7">
        <v>9.6</v>
      </c>
      <c r="AH200" s="7">
        <v>49.8</v>
      </c>
      <c r="AI200" s="7">
        <v>52.3</v>
      </c>
      <c r="AJ200" s="7">
        <v>19.3</v>
      </c>
      <c r="AK200" s="7">
        <v>99.89</v>
      </c>
      <c r="AL200" s="7">
        <v>9</v>
      </c>
      <c r="AM200" s="7">
        <v>2849</v>
      </c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1"/>
    </row>
    <row r="201" spans="1:64" ht="13">
      <c r="A201" s="6" t="s">
        <v>441</v>
      </c>
      <c r="B201" s="6" t="s">
        <v>442</v>
      </c>
      <c r="C201" s="31">
        <v>576</v>
      </c>
      <c r="D201" s="24">
        <v>264</v>
      </c>
      <c r="E201" s="24">
        <v>468</v>
      </c>
      <c r="F201" s="8">
        <v>56.6</v>
      </c>
      <c r="G201" s="9">
        <v>32</v>
      </c>
      <c r="H201" s="8">
        <v>18.8</v>
      </c>
      <c r="I201" s="8">
        <v>40</v>
      </c>
      <c r="J201" s="8">
        <v>60</v>
      </c>
      <c r="K201" s="8">
        <v>66.7</v>
      </c>
      <c r="L201" s="9">
        <v>124</v>
      </c>
      <c r="M201" s="9">
        <v>284</v>
      </c>
      <c r="N201" s="9">
        <v>408</v>
      </c>
      <c r="O201" s="9">
        <v>64</v>
      </c>
      <c r="P201" s="9">
        <v>68</v>
      </c>
      <c r="Q201" s="9">
        <v>32</v>
      </c>
      <c r="R201" s="9">
        <v>40</v>
      </c>
      <c r="S201" s="9">
        <v>88</v>
      </c>
      <c r="T201" s="8">
        <v>1300</v>
      </c>
      <c r="U201" s="8">
        <v>20</v>
      </c>
      <c r="V201" s="8">
        <v>0</v>
      </c>
      <c r="W201" s="7">
        <v>-4.0999999999999996</v>
      </c>
      <c r="X201" s="7">
        <v>110</v>
      </c>
      <c r="Y201" s="7">
        <v>116.8</v>
      </c>
      <c r="Z201" s="7">
        <v>-6.9</v>
      </c>
      <c r="AA201" s="7">
        <v>8.3000000000000007</v>
      </c>
      <c r="AB201" s="7">
        <v>0.93</v>
      </c>
      <c r="AC201" s="7">
        <v>10.199999999999999</v>
      </c>
      <c r="AD201" s="7">
        <v>9.9</v>
      </c>
      <c r="AE201" s="7">
        <v>24.3</v>
      </c>
      <c r="AF201" s="7">
        <v>16.8</v>
      </c>
      <c r="AG201" s="7">
        <v>11</v>
      </c>
      <c r="AH201" s="7">
        <v>57.3</v>
      </c>
      <c r="AI201" s="7">
        <v>58.3</v>
      </c>
      <c r="AJ201" s="7">
        <v>19.7</v>
      </c>
      <c r="AK201" s="7">
        <v>98.94</v>
      </c>
      <c r="AL201" s="7">
        <v>12.5</v>
      </c>
      <c r="AM201" s="7">
        <v>2489</v>
      </c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1"/>
    </row>
    <row r="202" spans="1:64" ht="13">
      <c r="A202" s="6" t="s">
        <v>443</v>
      </c>
      <c r="B202" s="6" t="s">
        <v>444</v>
      </c>
      <c r="C202" s="31">
        <v>571</v>
      </c>
      <c r="D202" s="24">
        <v>231</v>
      </c>
      <c r="E202" s="24">
        <v>490</v>
      </c>
      <c r="F202" s="8">
        <v>47.4</v>
      </c>
      <c r="G202" s="9">
        <v>211</v>
      </c>
      <c r="H202" s="8">
        <v>35.6</v>
      </c>
      <c r="I202" s="8">
        <v>27</v>
      </c>
      <c r="J202" s="8">
        <v>34</v>
      </c>
      <c r="K202" s="8">
        <v>81.099999999999994</v>
      </c>
      <c r="L202" s="9">
        <v>68</v>
      </c>
      <c r="M202" s="9">
        <v>156</v>
      </c>
      <c r="N202" s="9">
        <v>231</v>
      </c>
      <c r="O202" s="9">
        <v>170</v>
      </c>
      <c r="P202" s="9">
        <v>61</v>
      </c>
      <c r="Q202" s="9">
        <v>122</v>
      </c>
      <c r="R202" s="9">
        <v>34</v>
      </c>
      <c r="S202" s="9">
        <v>143</v>
      </c>
      <c r="T202" s="8">
        <v>1510</v>
      </c>
      <c r="U202" s="8">
        <v>0</v>
      </c>
      <c r="V202" s="8">
        <v>0</v>
      </c>
      <c r="W202" s="7">
        <v>5.4</v>
      </c>
      <c r="X202" s="7">
        <v>117.2</v>
      </c>
      <c r="Y202" s="7">
        <v>107.1</v>
      </c>
      <c r="Z202" s="7">
        <v>10.1</v>
      </c>
      <c r="AA202" s="7">
        <v>11.7</v>
      </c>
      <c r="AB202" s="7">
        <v>2.93</v>
      </c>
      <c r="AC202" s="7">
        <v>23.5</v>
      </c>
      <c r="AD202" s="7">
        <v>3.6</v>
      </c>
      <c r="AE202" s="7">
        <v>7.9</v>
      </c>
      <c r="AF202" s="7">
        <v>5.7</v>
      </c>
      <c r="AG202" s="7">
        <v>8</v>
      </c>
      <c r="AH202" s="7">
        <v>55</v>
      </c>
      <c r="AI202" s="7">
        <v>56.2</v>
      </c>
      <c r="AJ202" s="7">
        <v>12.4</v>
      </c>
      <c r="AK202" s="7">
        <v>101.87</v>
      </c>
      <c r="AL202" s="7">
        <v>7.5</v>
      </c>
      <c r="AM202" s="7">
        <v>3967</v>
      </c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1"/>
    </row>
    <row r="203" spans="1:64" ht="13">
      <c r="A203" s="6" t="s">
        <v>445</v>
      </c>
      <c r="B203" s="6" t="s">
        <v>446</v>
      </c>
      <c r="C203" s="31">
        <v>570</v>
      </c>
      <c r="D203" s="24">
        <v>205</v>
      </c>
      <c r="E203" s="24">
        <v>474</v>
      </c>
      <c r="F203" s="8">
        <v>42.9</v>
      </c>
      <c r="G203" s="9">
        <v>314</v>
      </c>
      <c r="H203" s="8">
        <v>37.6</v>
      </c>
      <c r="I203" s="8">
        <v>45</v>
      </c>
      <c r="J203" s="8">
        <v>51</v>
      </c>
      <c r="K203" s="8">
        <v>84.9</v>
      </c>
      <c r="L203" s="9">
        <v>45</v>
      </c>
      <c r="M203" s="9">
        <v>141</v>
      </c>
      <c r="N203" s="9">
        <v>186</v>
      </c>
      <c r="O203" s="9">
        <v>70</v>
      </c>
      <c r="P203" s="9">
        <v>38</v>
      </c>
      <c r="Q203" s="9">
        <v>38</v>
      </c>
      <c r="R203" s="9">
        <v>6</v>
      </c>
      <c r="S203" s="9">
        <v>128</v>
      </c>
      <c r="T203" s="8">
        <v>998</v>
      </c>
      <c r="U203" s="8">
        <v>0</v>
      </c>
      <c r="V203" s="8">
        <v>0</v>
      </c>
      <c r="W203" s="7">
        <v>-5.6</v>
      </c>
      <c r="X203" s="7">
        <v>107.2</v>
      </c>
      <c r="Y203" s="7">
        <v>120.3</v>
      </c>
      <c r="Z203" s="7">
        <v>-13.1</v>
      </c>
      <c r="AA203" s="7">
        <v>8</v>
      </c>
      <c r="AB203" s="7">
        <v>1.89</v>
      </c>
      <c r="AC203" s="7">
        <v>11.3</v>
      </c>
      <c r="AD203" s="7">
        <v>3.1</v>
      </c>
      <c r="AE203" s="7">
        <v>10.9</v>
      </c>
      <c r="AF203" s="7">
        <v>7</v>
      </c>
      <c r="AG203" s="7">
        <v>6</v>
      </c>
      <c r="AH203" s="7">
        <v>55.4</v>
      </c>
      <c r="AI203" s="7">
        <v>57.3</v>
      </c>
      <c r="AJ203" s="7">
        <v>17.399999999999999</v>
      </c>
      <c r="AK203" s="7">
        <v>102.1</v>
      </c>
      <c r="AL203" s="7">
        <v>7.1</v>
      </c>
      <c r="AM203" s="7">
        <v>2700</v>
      </c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1"/>
    </row>
    <row r="204" spans="1:64" ht="13">
      <c r="A204" s="13" t="s">
        <v>447</v>
      </c>
      <c r="B204" s="6" t="s">
        <v>448</v>
      </c>
      <c r="C204" s="31">
        <v>568</v>
      </c>
      <c r="D204" s="24">
        <v>211</v>
      </c>
      <c r="E204" s="24">
        <v>462</v>
      </c>
      <c r="F204" s="8">
        <v>46.1</v>
      </c>
      <c r="G204" s="9">
        <v>119</v>
      </c>
      <c r="H204" s="8">
        <v>31.1</v>
      </c>
      <c r="I204" s="8">
        <v>106</v>
      </c>
      <c r="J204" s="8">
        <v>145</v>
      </c>
      <c r="K204" s="8">
        <v>75.400000000000006</v>
      </c>
      <c r="L204" s="9">
        <v>86</v>
      </c>
      <c r="M204" s="9">
        <v>205</v>
      </c>
      <c r="N204" s="9">
        <v>290</v>
      </c>
      <c r="O204" s="9">
        <v>165</v>
      </c>
      <c r="P204" s="9">
        <v>99</v>
      </c>
      <c r="Q204" s="9">
        <v>59</v>
      </c>
      <c r="R204" s="9">
        <v>13</v>
      </c>
      <c r="S204" s="9">
        <v>79</v>
      </c>
      <c r="T204" s="8">
        <v>1294</v>
      </c>
      <c r="U204" s="8">
        <v>3</v>
      </c>
      <c r="V204" s="8">
        <v>1</v>
      </c>
      <c r="W204" s="7">
        <v>-2.2999999999999998</v>
      </c>
      <c r="X204" s="7">
        <v>107.9</v>
      </c>
      <c r="Y204" s="7">
        <v>113.9</v>
      </c>
      <c r="Z204" s="7">
        <v>-6</v>
      </c>
      <c r="AA204" s="7">
        <v>18.100000000000001</v>
      </c>
      <c r="AB204" s="7">
        <v>1.69</v>
      </c>
      <c r="AC204" s="7">
        <v>21.1</v>
      </c>
      <c r="AD204" s="7">
        <v>6</v>
      </c>
      <c r="AE204" s="7">
        <v>14.5</v>
      </c>
      <c r="AF204" s="7">
        <v>10.3</v>
      </c>
      <c r="AG204" s="7">
        <v>12.4</v>
      </c>
      <c r="AH204" s="7">
        <v>50.1</v>
      </c>
      <c r="AI204" s="7">
        <v>54.3</v>
      </c>
      <c r="AJ204" s="7">
        <v>19.399999999999999</v>
      </c>
      <c r="AK204" s="7">
        <v>99.18</v>
      </c>
      <c r="AL204" s="7">
        <v>9.8000000000000007</v>
      </c>
      <c r="AM204" s="7">
        <v>2835</v>
      </c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1"/>
    </row>
    <row r="205" spans="1:64" ht="13">
      <c r="A205" s="6" t="s">
        <v>449</v>
      </c>
      <c r="B205" s="6" t="s">
        <v>450</v>
      </c>
      <c r="C205" s="31">
        <v>567</v>
      </c>
      <c r="D205" s="24">
        <v>197</v>
      </c>
      <c r="E205" s="24">
        <v>491</v>
      </c>
      <c r="F205" s="8">
        <v>40.299999999999997</v>
      </c>
      <c r="G205" s="9">
        <v>294</v>
      </c>
      <c r="H205" s="8">
        <v>35.5</v>
      </c>
      <c r="I205" s="8">
        <v>68</v>
      </c>
      <c r="J205" s="8">
        <v>78</v>
      </c>
      <c r="K205" s="8">
        <v>86.1</v>
      </c>
      <c r="L205" s="9">
        <v>24</v>
      </c>
      <c r="M205" s="9">
        <v>105</v>
      </c>
      <c r="N205" s="9">
        <v>132</v>
      </c>
      <c r="O205" s="9">
        <v>97</v>
      </c>
      <c r="P205" s="9">
        <v>76</v>
      </c>
      <c r="Q205" s="9">
        <v>30</v>
      </c>
      <c r="R205" s="9">
        <v>19</v>
      </c>
      <c r="S205" s="9">
        <v>73</v>
      </c>
      <c r="T205" s="8">
        <v>942</v>
      </c>
      <c r="U205" s="8">
        <v>2</v>
      </c>
      <c r="V205" s="8">
        <v>0</v>
      </c>
      <c r="W205" s="7">
        <v>-4.5999999999999996</v>
      </c>
      <c r="X205" s="7">
        <v>106.9</v>
      </c>
      <c r="Y205" s="7">
        <v>113.8</v>
      </c>
      <c r="Z205" s="7">
        <v>-6.8</v>
      </c>
      <c r="AA205" s="7">
        <v>18.2</v>
      </c>
      <c r="AB205" s="7">
        <v>1.29</v>
      </c>
      <c r="AC205" s="7">
        <v>14</v>
      </c>
      <c r="AD205" s="7">
        <v>2.4</v>
      </c>
      <c r="AE205" s="7">
        <v>11.7</v>
      </c>
      <c r="AF205" s="7">
        <v>6.8</v>
      </c>
      <c r="AG205" s="7">
        <v>10.9</v>
      </c>
      <c r="AH205" s="7">
        <v>50.9</v>
      </c>
      <c r="AI205" s="7">
        <v>54</v>
      </c>
      <c r="AJ205" s="7">
        <v>27</v>
      </c>
      <c r="AK205" s="7">
        <v>98.77</v>
      </c>
      <c r="AL205" s="7">
        <v>10</v>
      </c>
      <c r="AM205" s="7">
        <v>1903</v>
      </c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1"/>
    </row>
    <row r="206" spans="1:64" ht="13">
      <c r="A206" s="6" t="s">
        <v>451</v>
      </c>
      <c r="B206" s="6" t="s">
        <v>452</v>
      </c>
      <c r="C206" s="31">
        <v>567</v>
      </c>
      <c r="D206" s="24">
        <v>208</v>
      </c>
      <c r="E206" s="24">
        <v>517</v>
      </c>
      <c r="F206" s="8">
        <v>39.700000000000003</v>
      </c>
      <c r="G206" s="9">
        <v>271</v>
      </c>
      <c r="H206" s="8">
        <v>35.299999999999997</v>
      </c>
      <c r="I206" s="8">
        <v>63</v>
      </c>
      <c r="J206" s="8">
        <v>82</v>
      </c>
      <c r="K206" s="8">
        <v>72.3</v>
      </c>
      <c r="L206" s="9">
        <v>44</v>
      </c>
      <c r="M206" s="9">
        <v>195</v>
      </c>
      <c r="N206" s="9">
        <v>239</v>
      </c>
      <c r="O206" s="9">
        <v>126</v>
      </c>
      <c r="P206" s="9">
        <v>88</v>
      </c>
      <c r="Q206" s="9">
        <v>50</v>
      </c>
      <c r="R206" s="9">
        <v>32</v>
      </c>
      <c r="S206" s="9">
        <v>88</v>
      </c>
      <c r="T206" s="8">
        <v>1191</v>
      </c>
      <c r="U206" s="8">
        <v>1</v>
      </c>
      <c r="V206" s="8">
        <v>0</v>
      </c>
      <c r="W206" s="7">
        <v>-2.9</v>
      </c>
      <c r="X206" s="7">
        <v>108.7</v>
      </c>
      <c r="Y206" s="7">
        <v>113.5</v>
      </c>
      <c r="Z206" s="7">
        <v>-4.8</v>
      </c>
      <c r="AA206" s="7">
        <v>10.6</v>
      </c>
      <c r="AB206" s="7">
        <v>1.44</v>
      </c>
      <c r="AC206" s="7">
        <v>16.3</v>
      </c>
      <c r="AD206" s="7">
        <v>2.5</v>
      </c>
      <c r="AE206" s="7">
        <v>11.3</v>
      </c>
      <c r="AF206" s="7">
        <v>7</v>
      </c>
      <c r="AG206" s="7">
        <v>11.3</v>
      </c>
      <c r="AH206" s="7">
        <v>49</v>
      </c>
      <c r="AI206" s="7">
        <v>51.2</v>
      </c>
      <c r="AJ206" s="7">
        <v>16.5</v>
      </c>
      <c r="AK206" s="7">
        <v>105.94</v>
      </c>
      <c r="AL206" s="7">
        <v>6.2</v>
      </c>
      <c r="AM206" s="7">
        <v>3473</v>
      </c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1"/>
    </row>
    <row r="207" spans="1:64" ht="13">
      <c r="A207" s="6" t="s">
        <v>453</v>
      </c>
      <c r="B207" s="6" t="s">
        <v>454</v>
      </c>
      <c r="C207" s="31">
        <v>567</v>
      </c>
      <c r="D207" s="24">
        <v>196</v>
      </c>
      <c r="E207" s="24">
        <v>480</v>
      </c>
      <c r="F207" s="8">
        <v>41</v>
      </c>
      <c r="G207" s="9">
        <v>242</v>
      </c>
      <c r="H207" s="8">
        <v>31.4</v>
      </c>
      <c r="I207" s="8">
        <v>98</v>
      </c>
      <c r="J207" s="8">
        <v>109</v>
      </c>
      <c r="K207" s="8">
        <v>88.2</v>
      </c>
      <c r="L207" s="9">
        <v>25</v>
      </c>
      <c r="M207" s="9">
        <v>119</v>
      </c>
      <c r="N207" s="9">
        <v>140</v>
      </c>
      <c r="O207" s="9">
        <v>130</v>
      </c>
      <c r="P207" s="9">
        <v>102</v>
      </c>
      <c r="Q207" s="9">
        <v>53</v>
      </c>
      <c r="R207" s="9">
        <v>32</v>
      </c>
      <c r="S207" s="9">
        <v>98</v>
      </c>
      <c r="T207" s="8">
        <v>1078</v>
      </c>
      <c r="U207" s="8">
        <v>0</v>
      </c>
      <c r="V207" s="8">
        <v>0</v>
      </c>
      <c r="W207" s="7">
        <v>0.1</v>
      </c>
      <c r="X207" s="7">
        <v>105.7</v>
      </c>
      <c r="Y207" s="7">
        <v>104.8</v>
      </c>
      <c r="Z207" s="7">
        <v>1</v>
      </c>
      <c r="AA207" s="7">
        <v>21.6</v>
      </c>
      <c r="AB207" s="7">
        <v>1.26</v>
      </c>
      <c r="AC207" s="7">
        <v>17</v>
      </c>
      <c r="AD207" s="7">
        <v>2.2999999999999998</v>
      </c>
      <c r="AE207" s="7">
        <v>12.6</v>
      </c>
      <c r="AF207" s="7">
        <v>7.2</v>
      </c>
      <c r="AG207" s="7">
        <v>13.5</v>
      </c>
      <c r="AH207" s="7">
        <v>48.9</v>
      </c>
      <c r="AI207" s="7">
        <v>53.6</v>
      </c>
      <c r="AJ207" s="7">
        <v>26.8</v>
      </c>
      <c r="AK207" s="7">
        <v>99.02</v>
      </c>
      <c r="AL207" s="7">
        <v>10.7</v>
      </c>
      <c r="AM207" s="7">
        <v>2060</v>
      </c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1"/>
    </row>
    <row r="208" spans="1:64" ht="13">
      <c r="A208" s="6" t="s">
        <v>455</v>
      </c>
      <c r="B208" s="6" t="s">
        <v>456</v>
      </c>
      <c r="C208" s="31">
        <v>566</v>
      </c>
      <c r="D208" s="24">
        <v>221</v>
      </c>
      <c r="E208" s="24">
        <v>451</v>
      </c>
      <c r="F208" s="8">
        <v>49.2</v>
      </c>
      <c r="G208" s="9">
        <v>189</v>
      </c>
      <c r="H208" s="8">
        <v>32.799999999999997</v>
      </c>
      <c r="I208" s="8">
        <v>60</v>
      </c>
      <c r="J208" s="8">
        <v>78</v>
      </c>
      <c r="K208" s="8">
        <v>78.5</v>
      </c>
      <c r="L208" s="9">
        <v>28</v>
      </c>
      <c r="M208" s="9">
        <v>133</v>
      </c>
      <c r="N208" s="9">
        <v>161</v>
      </c>
      <c r="O208" s="9">
        <v>207</v>
      </c>
      <c r="P208" s="9">
        <v>69</v>
      </c>
      <c r="Q208" s="9">
        <v>41</v>
      </c>
      <c r="R208" s="9">
        <v>18</v>
      </c>
      <c r="S208" s="9">
        <v>106</v>
      </c>
      <c r="T208" s="8">
        <v>1187</v>
      </c>
      <c r="U208" s="8">
        <v>1</v>
      </c>
      <c r="V208" s="8">
        <v>1</v>
      </c>
      <c r="W208" s="7">
        <v>-5.0999999999999996</v>
      </c>
      <c r="X208" s="7">
        <v>110.1</v>
      </c>
      <c r="Y208" s="7">
        <v>117.8</v>
      </c>
      <c r="Z208" s="7">
        <v>-7.7</v>
      </c>
      <c r="AA208" s="7">
        <v>21</v>
      </c>
      <c r="AB208" s="7">
        <v>3.01</v>
      </c>
      <c r="AC208" s="7">
        <v>27.4</v>
      </c>
      <c r="AD208" s="7">
        <v>1.8</v>
      </c>
      <c r="AE208" s="7">
        <v>9</v>
      </c>
      <c r="AF208" s="7">
        <v>5.4</v>
      </c>
      <c r="AG208" s="7">
        <v>9.1</v>
      </c>
      <c r="AH208" s="7">
        <v>56.1</v>
      </c>
      <c r="AI208" s="7">
        <v>58.5</v>
      </c>
      <c r="AJ208" s="7">
        <v>16.3</v>
      </c>
      <c r="AK208" s="7">
        <v>104.63</v>
      </c>
      <c r="AL208" s="7">
        <v>8.4</v>
      </c>
      <c r="AM208" s="7">
        <v>3039</v>
      </c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1"/>
    </row>
    <row r="209" spans="1:64" ht="13">
      <c r="A209" s="6" t="s">
        <v>457</v>
      </c>
      <c r="B209" s="6" t="s">
        <v>458</v>
      </c>
      <c r="C209" s="31">
        <v>564</v>
      </c>
      <c r="D209" s="24">
        <v>185</v>
      </c>
      <c r="E209" s="24">
        <v>439</v>
      </c>
      <c r="F209" s="8">
        <v>42</v>
      </c>
      <c r="G209" s="9">
        <v>224</v>
      </c>
      <c r="H209" s="8">
        <v>37.799999999999997</v>
      </c>
      <c r="I209" s="8">
        <v>112</v>
      </c>
      <c r="J209" s="8">
        <v>129</v>
      </c>
      <c r="K209" s="8">
        <v>86.7</v>
      </c>
      <c r="L209" s="9">
        <v>17</v>
      </c>
      <c r="M209" s="9">
        <v>102</v>
      </c>
      <c r="N209" s="9">
        <v>116</v>
      </c>
      <c r="O209" s="9">
        <v>191</v>
      </c>
      <c r="P209" s="9">
        <v>59</v>
      </c>
      <c r="Q209" s="9">
        <v>23</v>
      </c>
      <c r="R209" s="9">
        <v>3</v>
      </c>
      <c r="S209" s="9">
        <v>59</v>
      </c>
      <c r="T209" s="8">
        <v>1013</v>
      </c>
      <c r="U209" s="8">
        <v>2</v>
      </c>
      <c r="V209" s="8">
        <v>0</v>
      </c>
      <c r="W209" s="7">
        <v>-1.2</v>
      </c>
      <c r="X209" s="7">
        <v>109</v>
      </c>
      <c r="Y209" s="7">
        <v>110.7</v>
      </c>
      <c r="Z209" s="7">
        <v>-1.6</v>
      </c>
      <c r="AA209" s="7">
        <v>32</v>
      </c>
      <c r="AB209" s="7">
        <v>3.29</v>
      </c>
      <c r="AC209" s="7">
        <v>25.7</v>
      </c>
      <c r="AD209" s="7">
        <v>1.6</v>
      </c>
      <c r="AE209" s="7">
        <v>10.7</v>
      </c>
      <c r="AF209" s="7">
        <v>6</v>
      </c>
      <c r="AG209" s="7">
        <v>7.8</v>
      </c>
      <c r="AH209" s="7">
        <v>51.7</v>
      </c>
      <c r="AI209" s="7">
        <v>57</v>
      </c>
      <c r="AJ209" s="7">
        <v>24.6</v>
      </c>
      <c r="AK209" s="7">
        <v>101.44</v>
      </c>
      <c r="AL209" s="7">
        <v>12.8</v>
      </c>
      <c r="AM209" s="7">
        <v>1936</v>
      </c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1"/>
    </row>
    <row r="210" spans="1:64" ht="13">
      <c r="A210" s="6" t="s">
        <v>459</v>
      </c>
      <c r="B210" s="6" t="s">
        <v>460</v>
      </c>
      <c r="C210" s="31">
        <v>556</v>
      </c>
      <c r="D210" s="24">
        <v>201</v>
      </c>
      <c r="E210" s="24">
        <v>509</v>
      </c>
      <c r="F210" s="8">
        <v>39.1</v>
      </c>
      <c r="G210" s="9">
        <v>221</v>
      </c>
      <c r="H210" s="8">
        <v>32.4</v>
      </c>
      <c r="I210" s="8">
        <v>94</v>
      </c>
      <c r="J210" s="8">
        <v>127</v>
      </c>
      <c r="K210" s="8">
        <v>72.8</v>
      </c>
      <c r="L210" s="9">
        <v>27</v>
      </c>
      <c r="M210" s="9">
        <v>107</v>
      </c>
      <c r="N210" s="9">
        <v>134</v>
      </c>
      <c r="O210" s="9">
        <v>161</v>
      </c>
      <c r="P210" s="9">
        <v>87</v>
      </c>
      <c r="Q210" s="9">
        <v>40</v>
      </c>
      <c r="R210" s="9">
        <v>34</v>
      </c>
      <c r="S210" s="9">
        <v>60</v>
      </c>
      <c r="T210" s="8">
        <v>1106</v>
      </c>
      <c r="U210" s="8">
        <v>0</v>
      </c>
      <c r="V210" s="8">
        <v>0</v>
      </c>
      <c r="W210" s="7">
        <v>-0.8</v>
      </c>
      <c r="X210" s="7">
        <v>110.2</v>
      </c>
      <c r="Y210" s="7">
        <v>111.8</v>
      </c>
      <c r="Z210" s="7">
        <v>-1.5</v>
      </c>
      <c r="AA210" s="7">
        <v>21.3</v>
      </c>
      <c r="AB210" s="7">
        <v>1.86</v>
      </c>
      <c r="AC210" s="7">
        <v>19.8</v>
      </c>
      <c r="AD210" s="7">
        <v>2.5</v>
      </c>
      <c r="AE210" s="7">
        <v>8.8000000000000007</v>
      </c>
      <c r="AF210" s="7">
        <v>5.6</v>
      </c>
      <c r="AG210" s="7">
        <v>10.7</v>
      </c>
      <c r="AH210" s="7">
        <v>46.2</v>
      </c>
      <c r="AI210" s="7">
        <v>49.7</v>
      </c>
      <c r="AJ210" s="7">
        <v>23.7</v>
      </c>
      <c r="AK210" s="7">
        <v>101.21</v>
      </c>
      <c r="AL210" s="7">
        <v>8.9</v>
      </c>
      <c r="AM210" s="7">
        <v>2353</v>
      </c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1"/>
    </row>
    <row r="211" spans="1:64" ht="13">
      <c r="A211" s="6" t="s">
        <v>461</v>
      </c>
      <c r="B211" s="6" t="s">
        <v>462</v>
      </c>
      <c r="C211" s="31">
        <v>551</v>
      </c>
      <c r="D211" s="24">
        <v>204</v>
      </c>
      <c r="E211" s="24">
        <v>428</v>
      </c>
      <c r="F211" s="8">
        <v>47.7</v>
      </c>
      <c r="G211" s="9">
        <v>136</v>
      </c>
      <c r="H211" s="8">
        <v>35.299999999999997</v>
      </c>
      <c r="I211" s="8">
        <v>95</v>
      </c>
      <c r="J211" s="8">
        <v>136</v>
      </c>
      <c r="K211" s="8">
        <v>69.3</v>
      </c>
      <c r="L211" s="9">
        <v>48</v>
      </c>
      <c r="M211" s="9">
        <v>184</v>
      </c>
      <c r="N211" s="9">
        <v>231</v>
      </c>
      <c r="O211" s="9">
        <v>95</v>
      </c>
      <c r="P211" s="9">
        <v>54</v>
      </c>
      <c r="Q211" s="9">
        <v>48</v>
      </c>
      <c r="R211" s="9">
        <v>95</v>
      </c>
      <c r="S211" s="9">
        <v>122</v>
      </c>
      <c r="T211" s="8">
        <v>1340</v>
      </c>
      <c r="U211" s="8">
        <v>0</v>
      </c>
      <c r="V211" s="8">
        <v>0</v>
      </c>
      <c r="W211" s="7">
        <v>-0.4</v>
      </c>
      <c r="X211" s="7">
        <v>113.9</v>
      </c>
      <c r="Y211" s="7">
        <v>113.9</v>
      </c>
      <c r="Z211" s="7">
        <v>0</v>
      </c>
      <c r="AA211" s="7">
        <v>7.3</v>
      </c>
      <c r="AB211" s="7">
        <v>1.68</v>
      </c>
      <c r="AC211" s="7">
        <v>14.7</v>
      </c>
      <c r="AD211" s="7">
        <v>3</v>
      </c>
      <c r="AE211" s="7">
        <v>10.3</v>
      </c>
      <c r="AF211" s="7">
        <v>6.9</v>
      </c>
      <c r="AG211" s="7">
        <v>8.8000000000000007</v>
      </c>
      <c r="AH211" s="7">
        <v>53.3</v>
      </c>
      <c r="AI211" s="7">
        <v>56.4</v>
      </c>
      <c r="AJ211" s="7">
        <v>13.8</v>
      </c>
      <c r="AK211" s="7">
        <v>101.83</v>
      </c>
      <c r="AL211" s="7">
        <v>6.6</v>
      </c>
      <c r="AM211" s="7">
        <v>3501</v>
      </c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1"/>
    </row>
    <row r="212" spans="1:64" ht="13">
      <c r="A212" s="6" t="s">
        <v>463</v>
      </c>
      <c r="B212" s="6" t="s">
        <v>464</v>
      </c>
      <c r="C212" s="31">
        <v>548</v>
      </c>
      <c r="D212" s="24">
        <v>195</v>
      </c>
      <c r="E212" s="24">
        <v>435</v>
      </c>
      <c r="F212" s="8">
        <v>44.8</v>
      </c>
      <c r="G212" s="9">
        <v>315</v>
      </c>
      <c r="H212" s="8">
        <v>41.1</v>
      </c>
      <c r="I212" s="8">
        <v>32</v>
      </c>
      <c r="J212" s="8">
        <v>44</v>
      </c>
      <c r="K212" s="8">
        <v>66.7</v>
      </c>
      <c r="L212" s="9">
        <v>82</v>
      </c>
      <c r="M212" s="9">
        <v>170</v>
      </c>
      <c r="N212" s="9">
        <v>246</v>
      </c>
      <c r="O212" s="9">
        <v>88</v>
      </c>
      <c r="P212" s="9">
        <v>57</v>
      </c>
      <c r="Q212" s="9">
        <v>57</v>
      </c>
      <c r="R212" s="9">
        <v>25</v>
      </c>
      <c r="S212" s="9">
        <v>139</v>
      </c>
      <c r="T212" s="8">
        <v>1166</v>
      </c>
      <c r="U212" s="8">
        <v>0</v>
      </c>
      <c r="V212" s="8">
        <v>0</v>
      </c>
      <c r="W212" s="7">
        <v>4.9000000000000004</v>
      </c>
      <c r="X212" s="7">
        <v>119.1</v>
      </c>
      <c r="Y212" s="7">
        <v>110.3</v>
      </c>
      <c r="Z212" s="7">
        <v>8.8000000000000007</v>
      </c>
      <c r="AA212" s="7">
        <v>6.6</v>
      </c>
      <c r="AB212" s="7">
        <v>1.61</v>
      </c>
      <c r="AC212" s="7">
        <v>15</v>
      </c>
      <c r="AD212" s="7">
        <v>4.7</v>
      </c>
      <c r="AE212" s="7">
        <v>8.9</v>
      </c>
      <c r="AF212" s="7">
        <v>6.9</v>
      </c>
      <c r="AG212" s="7">
        <v>9.3000000000000007</v>
      </c>
      <c r="AH212" s="7">
        <v>59.7</v>
      </c>
      <c r="AI212" s="7">
        <v>60.4</v>
      </c>
      <c r="AJ212" s="7">
        <v>12.3</v>
      </c>
      <c r="AK212" s="7">
        <v>98.14</v>
      </c>
      <c r="AL212" s="7">
        <v>6</v>
      </c>
      <c r="AM212" s="7">
        <v>3711</v>
      </c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1"/>
    </row>
    <row r="213" spans="1:64" ht="13">
      <c r="A213" s="6" t="s">
        <v>465</v>
      </c>
      <c r="B213" s="6" t="s">
        <v>466</v>
      </c>
      <c r="C213" s="31">
        <v>546</v>
      </c>
      <c r="D213" s="24">
        <v>211</v>
      </c>
      <c r="E213" s="24">
        <v>409</v>
      </c>
      <c r="F213" s="8">
        <v>51.1</v>
      </c>
      <c r="G213" s="9">
        <v>192</v>
      </c>
      <c r="H213" s="8">
        <v>38.299999999999997</v>
      </c>
      <c r="I213" s="8">
        <v>50</v>
      </c>
      <c r="J213" s="8">
        <v>74</v>
      </c>
      <c r="K213" s="8">
        <v>68.5</v>
      </c>
      <c r="L213" s="9">
        <v>112</v>
      </c>
      <c r="M213" s="9">
        <v>242</v>
      </c>
      <c r="N213" s="9">
        <v>353</v>
      </c>
      <c r="O213" s="9">
        <v>62</v>
      </c>
      <c r="P213" s="9">
        <v>56</v>
      </c>
      <c r="Q213" s="9">
        <v>62</v>
      </c>
      <c r="R213" s="9">
        <v>37</v>
      </c>
      <c r="S213" s="9">
        <v>112</v>
      </c>
      <c r="T213" s="8">
        <v>1314</v>
      </c>
      <c r="U213" s="8">
        <v>8</v>
      </c>
      <c r="V213" s="8">
        <v>0</v>
      </c>
      <c r="W213" s="7">
        <v>-4.5999999999999996</v>
      </c>
      <c r="X213" s="7">
        <v>107.1</v>
      </c>
      <c r="Y213" s="7">
        <v>116.8</v>
      </c>
      <c r="Z213" s="7">
        <v>-9.6999999999999993</v>
      </c>
      <c r="AA213" s="7">
        <v>6.6</v>
      </c>
      <c r="AB213" s="7">
        <v>1.1100000000000001</v>
      </c>
      <c r="AC213" s="7">
        <v>10.8</v>
      </c>
      <c r="AD213" s="7">
        <v>7.7</v>
      </c>
      <c r="AE213" s="7">
        <v>15.9</v>
      </c>
      <c r="AF213" s="7">
        <v>11.9</v>
      </c>
      <c r="AG213" s="7">
        <v>9.6999999999999993</v>
      </c>
      <c r="AH213" s="7">
        <v>60.1</v>
      </c>
      <c r="AI213" s="7">
        <v>61.4</v>
      </c>
      <c r="AJ213" s="7">
        <v>15</v>
      </c>
      <c r="AK213" s="7">
        <v>102.96</v>
      </c>
      <c r="AL213" s="7">
        <v>10.1</v>
      </c>
      <c r="AM213" s="7">
        <v>2871</v>
      </c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1"/>
    </row>
    <row r="214" spans="1:64" ht="13">
      <c r="A214" s="6" t="s">
        <v>467</v>
      </c>
      <c r="B214" s="6" t="s">
        <v>468</v>
      </c>
      <c r="C214" s="31">
        <v>543</v>
      </c>
      <c r="D214" s="24">
        <v>195</v>
      </c>
      <c r="E214" s="24">
        <v>493</v>
      </c>
      <c r="F214" s="8">
        <v>39.299999999999997</v>
      </c>
      <c r="G214" s="9">
        <v>174</v>
      </c>
      <c r="H214" s="8">
        <v>29.9</v>
      </c>
      <c r="I214" s="8">
        <v>102</v>
      </c>
      <c r="J214" s="8">
        <v>124</v>
      </c>
      <c r="K214" s="8">
        <v>82.3</v>
      </c>
      <c r="L214" s="9">
        <v>16</v>
      </c>
      <c r="M214" s="9">
        <v>183</v>
      </c>
      <c r="N214" s="9">
        <v>202</v>
      </c>
      <c r="O214" s="9">
        <v>229</v>
      </c>
      <c r="P214" s="9">
        <v>105</v>
      </c>
      <c r="Q214" s="9">
        <v>62</v>
      </c>
      <c r="R214" s="9">
        <v>12</v>
      </c>
      <c r="S214" s="9">
        <v>62</v>
      </c>
      <c r="T214" s="8">
        <v>1243</v>
      </c>
      <c r="U214" s="8">
        <v>8</v>
      </c>
      <c r="V214" s="8">
        <v>1</v>
      </c>
      <c r="W214" s="7">
        <v>-6.7</v>
      </c>
      <c r="X214" s="7">
        <v>109</v>
      </c>
      <c r="Y214" s="7">
        <v>118.1</v>
      </c>
      <c r="Z214" s="7">
        <v>-9.1</v>
      </c>
      <c r="AA214" s="7">
        <v>34.700000000000003</v>
      </c>
      <c r="AB214" s="7">
        <v>2.15</v>
      </c>
      <c r="AC214" s="7">
        <v>25.9</v>
      </c>
      <c r="AD214" s="7">
        <v>1.5</v>
      </c>
      <c r="AE214" s="7">
        <v>18.3</v>
      </c>
      <c r="AF214" s="7">
        <v>9.4</v>
      </c>
      <c r="AG214" s="7">
        <v>12</v>
      </c>
      <c r="AH214" s="7">
        <v>44.5</v>
      </c>
      <c r="AI214" s="7">
        <v>49.4</v>
      </c>
      <c r="AJ214" s="7">
        <v>26.3</v>
      </c>
      <c r="AK214" s="7">
        <v>102.86</v>
      </c>
      <c r="AL214" s="7">
        <v>11.8</v>
      </c>
      <c r="AM214" s="7">
        <v>2165</v>
      </c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1"/>
    </row>
    <row r="215" spans="1:64" ht="13">
      <c r="A215" s="6" t="s">
        <v>469</v>
      </c>
      <c r="B215" s="6" t="s">
        <v>470</v>
      </c>
      <c r="C215" s="31">
        <v>540</v>
      </c>
      <c r="D215" s="24">
        <v>198</v>
      </c>
      <c r="E215" s="24">
        <v>462</v>
      </c>
      <c r="F215" s="8">
        <v>42.3</v>
      </c>
      <c r="G215" s="9">
        <v>312</v>
      </c>
      <c r="H215" s="8">
        <v>36.299999999999997</v>
      </c>
      <c r="I215" s="8">
        <v>36</v>
      </c>
      <c r="J215" s="8">
        <v>36</v>
      </c>
      <c r="K215" s="8">
        <v>89.5</v>
      </c>
      <c r="L215" s="9">
        <v>78</v>
      </c>
      <c r="M215" s="9">
        <v>288</v>
      </c>
      <c r="N215" s="9">
        <v>372</v>
      </c>
      <c r="O215" s="9">
        <v>126</v>
      </c>
      <c r="P215" s="9">
        <v>48</v>
      </c>
      <c r="Q215" s="9">
        <v>36</v>
      </c>
      <c r="R215" s="9">
        <v>54</v>
      </c>
      <c r="S215" s="9">
        <v>84</v>
      </c>
      <c r="T215" s="8">
        <v>1386</v>
      </c>
      <c r="U215" s="8">
        <v>7</v>
      </c>
      <c r="V215" s="8">
        <v>0</v>
      </c>
      <c r="W215" s="7">
        <v>6.6</v>
      </c>
      <c r="X215" s="7">
        <v>119.6</v>
      </c>
      <c r="Y215" s="7">
        <v>108.1</v>
      </c>
      <c r="Z215" s="7">
        <v>11.5</v>
      </c>
      <c r="AA215" s="7">
        <v>10.199999999999999</v>
      </c>
      <c r="AB215" s="7">
        <v>2.78</v>
      </c>
      <c r="AC215" s="7">
        <v>19.600000000000001</v>
      </c>
      <c r="AD215" s="7">
        <v>4.5999999999999996</v>
      </c>
      <c r="AE215" s="7">
        <v>16.5</v>
      </c>
      <c r="AF215" s="7">
        <v>10.6</v>
      </c>
      <c r="AG215" s="7">
        <v>7</v>
      </c>
      <c r="AH215" s="7">
        <v>54.7</v>
      </c>
      <c r="AI215" s="7">
        <v>56.3</v>
      </c>
      <c r="AJ215" s="7">
        <v>13.6</v>
      </c>
      <c r="AK215" s="7">
        <v>97.75</v>
      </c>
      <c r="AL215" s="7">
        <v>9.1</v>
      </c>
      <c r="AM215" s="7">
        <v>3381</v>
      </c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1"/>
    </row>
    <row r="216" spans="1:64" ht="13">
      <c r="A216" s="6" t="s">
        <v>471</v>
      </c>
      <c r="B216" s="6" t="s">
        <v>472</v>
      </c>
      <c r="C216" s="31">
        <v>540</v>
      </c>
      <c r="D216" s="24">
        <v>194</v>
      </c>
      <c r="E216" s="24">
        <v>378</v>
      </c>
      <c r="F216" s="8">
        <v>50.7</v>
      </c>
      <c r="G216" s="9">
        <v>194</v>
      </c>
      <c r="H216" s="8">
        <v>43.1</v>
      </c>
      <c r="I216" s="8">
        <v>72</v>
      </c>
      <c r="J216" s="8">
        <v>81</v>
      </c>
      <c r="K216" s="8">
        <v>91.3</v>
      </c>
      <c r="L216" s="9">
        <v>36</v>
      </c>
      <c r="M216" s="9">
        <v>140</v>
      </c>
      <c r="N216" s="9">
        <v>180</v>
      </c>
      <c r="O216" s="9">
        <v>54</v>
      </c>
      <c r="P216" s="9">
        <v>36</v>
      </c>
      <c r="Q216" s="9">
        <v>36</v>
      </c>
      <c r="R216" s="9">
        <v>18</v>
      </c>
      <c r="S216" s="9">
        <v>113</v>
      </c>
      <c r="T216" s="8">
        <v>954</v>
      </c>
      <c r="U216" s="8">
        <v>0</v>
      </c>
      <c r="V216" s="8">
        <v>0</v>
      </c>
      <c r="W216" s="7">
        <v>4.4000000000000004</v>
      </c>
      <c r="X216" s="7">
        <v>120.1</v>
      </c>
      <c r="Y216" s="7">
        <v>111.5</v>
      </c>
      <c r="Z216" s="7">
        <v>8.5</v>
      </c>
      <c r="AA216" s="7">
        <v>6.3</v>
      </c>
      <c r="AB216" s="7">
        <v>1.46</v>
      </c>
      <c r="AC216" s="7">
        <v>10.8</v>
      </c>
      <c r="AD216" s="7">
        <v>3.4</v>
      </c>
      <c r="AE216" s="7">
        <v>11.8</v>
      </c>
      <c r="AF216" s="7">
        <v>7.8</v>
      </c>
      <c r="AG216" s="7">
        <v>7.4</v>
      </c>
      <c r="AH216" s="7">
        <v>61.7</v>
      </c>
      <c r="AI216" s="7">
        <v>65.3</v>
      </c>
      <c r="AJ216" s="7">
        <v>17.100000000000001</v>
      </c>
      <c r="AK216" s="7">
        <v>101.64</v>
      </c>
      <c r="AL216" s="7">
        <v>8.6999999999999993</v>
      </c>
      <c r="AM216" s="7">
        <v>2373</v>
      </c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1"/>
    </row>
    <row r="217" spans="1:64" ht="13">
      <c r="A217" s="6" t="s">
        <v>473</v>
      </c>
      <c r="B217" s="6" t="s">
        <v>474</v>
      </c>
      <c r="C217" s="31">
        <v>540</v>
      </c>
      <c r="D217" s="24">
        <v>183</v>
      </c>
      <c r="E217" s="24">
        <v>423</v>
      </c>
      <c r="F217" s="8">
        <v>42.9</v>
      </c>
      <c r="G217" s="9">
        <v>365</v>
      </c>
      <c r="H217" s="8">
        <v>42.7</v>
      </c>
      <c r="I217" s="8">
        <v>22</v>
      </c>
      <c r="J217" s="8">
        <v>29</v>
      </c>
      <c r="K217" s="8">
        <v>81.5</v>
      </c>
      <c r="L217" s="9">
        <v>15</v>
      </c>
      <c r="M217" s="9">
        <v>153</v>
      </c>
      <c r="N217" s="9">
        <v>175</v>
      </c>
      <c r="O217" s="9">
        <v>110</v>
      </c>
      <c r="P217" s="9">
        <v>37</v>
      </c>
      <c r="Q217" s="9">
        <v>37</v>
      </c>
      <c r="R217" s="9">
        <v>7</v>
      </c>
      <c r="S217" s="9">
        <v>161</v>
      </c>
      <c r="T217" s="8">
        <v>1007</v>
      </c>
      <c r="U217" s="8">
        <v>0</v>
      </c>
      <c r="V217" s="8">
        <v>0</v>
      </c>
      <c r="W217" s="7">
        <v>3.1</v>
      </c>
      <c r="X217" s="7">
        <v>114</v>
      </c>
      <c r="Y217" s="7">
        <v>107.6</v>
      </c>
      <c r="Z217" s="7">
        <v>6.4</v>
      </c>
      <c r="AA217" s="7">
        <v>8.6</v>
      </c>
      <c r="AB217" s="7">
        <v>2.7</v>
      </c>
      <c r="AC217" s="7">
        <v>18.600000000000001</v>
      </c>
      <c r="AD217" s="7">
        <v>1.1000000000000001</v>
      </c>
      <c r="AE217" s="7">
        <v>8.6999999999999993</v>
      </c>
      <c r="AF217" s="7">
        <v>5.0999999999999996</v>
      </c>
      <c r="AG217" s="7">
        <v>6.9</v>
      </c>
      <c r="AH217" s="7">
        <v>61.2</v>
      </c>
      <c r="AI217" s="7">
        <v>62.1</v>
      </c>
      <c r="AJ217" s="7">
        <v>12.3</v>
      </c>
      <c r="AK217" s="7">
        <v>100.84</v>
      </c>
      <c r="AL217" s="7">
        <v>5.8</v>
      </c>
      <c r="AM217" s="7">
        <v>3487</v>
      </c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1"/>
    </row>
    <row r="218" spans="1:64" ht="13">
      <c r="A218" s="6" t="s">
        <v>475</v>
      </c>
      <c r="B218" s="6" t="s">
        <v>476</v>
      </c>
      <c r="C218" s="31">
        <v>540</v>
      </c>
      <c r="D218" s="24">
        <v>204</v>
      </c>
      <c r="E218" s="24">
        <v>456</v>
      </c>
      <c r="F218" s="8">
        <v>44.8</v>
      </c>
      <c r="G218" s="9">
        <v>168</v>
      </c>
      <c r="H218" s="8">
        <v>35.5</v>
      </c>
      <c r="I218" s="8">
        <v>78</v>
      </c>
      <c r="J218" s="8">
        <v>90</v>
      </c>
      <c r="K218" s="8">
        <v>82.4</v>
      </c>
      <c r="L218" s="9">
        <v>24</v>
      </c>
      <c r="M218" s="9">
        <v>84</v>
      </c>
      <c r="N218" s="9">
        <v>108</v>
      </c>
      <c r="O218" s="9">
        <v>222</v>
      </c>
      <c r="P218" s="9">
        <v>78</v>
      </c>
      <c r="Q218" s="9">
        <v>42</v>
      </c>
      <c r="R218" s="9">
        <v>12</v>
      </c>
      <c r="S218" s="9">
        <v>96</v>
      </c>
      <c r="T218" s="8">
        <v>1086</v>
      </c>
      <c r="U218" s="8">
        <v>1</v>
      </c>
      <c r="V218" s="8">
        <v>0</v>
      </c>
      <c r="W218" s="7">
        <v>-2.2000000000000002</v>
      </c>
      <c r="X218" s="7">
        <v>108.5</v>
      </c>
      <c r="Y218" s="7">
        <v>114.5</v>
      </c>
      <c r="Z218" s="7">
        <v>-6</v>
      </c>
      <c r="AA218" s="7">
        <v>31.7</v>
      </c>
      <c r="AB218" s="7">
        <v>2.75</v>
      </c>
      <c r="AC218" s="7">
        <v>27.9</v>
      </c>
      <c r="AD218" s="7">
        <v>2.2000000000000002</v>
      </c>
      <c r="AE218" s="7">
        <v>7.6</v>
      </c>
      <c r="AF218" s="7">
        <v>4.9000000000000004</v>
      </c>
      <c r="AG218" s="7">
        <v>10.199999999999999</v>
      </c>
      <c r="AH218" s="7">
        <v>51.4</v>
      </c>
      <c r="AI218" s="7">
        <v>54.9</v>
      </c>
      <c r="AJ218" s="7">
        <v>22.2</v>
      </c>
      <c r="AK218" s="7">
        <v>102.6</v>
      </c>
      <c r="AL218" s="7">
        <v>10.199999999999999</v>
      </c>
      <c r="AM218" s="7">
        <v>2232</v>
      </c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1"/>
    </row>
    <row r="219" spans="1:64" ht="13">
      <c r="A219" s="6" t="s">
        <v>477</v>
      </c>
      <c r="B219" s="6" t="s">
        <v>478</v>
      </c>
      <c r="C219" s="31">
        <v>533</v>
      </c>
      <c r="D219" s="24">
        <v>200</v>
      </c>
      <c r="E219" s="24">
        <v>481</v>
      </c>
      <c r="F219" s="8">
        <v>41.2</v>
      </c>
      <c r="G219" s="9">
        <v>237</v>
      </c>
      <c r="H219" s="8">
        <v>33.5</v>
      </c>
      <c r="I219" s="8">
        <v>52</v>
      </c>
      <c r="J219" s="8">
        <v>67</v>
      </c>
      <c r="K219" s="8">
        <v>87.3</v>
      </c>
      <c r="L219" s="9">
        <v>74</v>
      </c>
      <c r="M219" s="9">
        <v>170</v>
      </c>
      <c r="N219" s="9">
        <v>244</v>
      </c>
      <c r="O219" s="9">
        <v>111</v>
      </c>
      <c r="P219" s="9">
        <v>59</v>
      </c>
      <c r="Q219" s="9">
        <v>30</v>
      </c>
      <c r="R219" s="9">
        <v>15</v>
      </c>
      <c r="S219" s="9">
        <v>96</v>
      </c>
      <c r="T219" s="8">
        <v>1095</v>
      </c>
      <c r="U219" s="8">
        <v>1</v>
      </c>
      <c r="V219" s="8">
        <v>0</v>
      </c>
      <c r="W219" s="7">
        <v>-1.7</v>
      </c>
      <c r="X219" s="7">
        <v>106.1</v>
      </c>
      <c r="Y219" s="7">
        <v>110.3</v>
      </c>
      <c r="Z219" s="7">
        <v>-4.2</v>
      </c>
      <c r="AA219" s="7">
        <v>10.5</v>
      </c>
      <c r="AB219" s="7">
        <v>2.02</v>
      </c>
      <c r="AC219" s="7">
        <v>16.600000000000001</v>
      </c>
      <c r="AD219" s="7">
        <v>4.2</v>
      </c>
      <c r="AE219" s="7">
        <v>11.4</v>
      </c>
      <c r="AF219" s="7">
        <v>7.6</v>
      </c>
      <c r="AG219" s="7">
        <v>8.1999999999999993</v>
      </c>
      <c r="AH219" s="7">
        <v>49.5</v>
      </c>
      <c r="AI219" s="7">
        <v>52.2</v>
      </c>
      <c r="AJ219" s="7">
        <v>14.9</v>
      </c>
      <c r="AK219" s="7">
        <v>96.97</v>
      </c>
      <c r="AL219" s="7">
        <v>7.4</v>
      </c>
      <c r="AM219" s="7">
        <v>3295</v>
      </c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1"/>
    </row>
    <row r="220" spans="1:64" ht="13">
      <c r="A220" s="6" t="s">
        <v>479</v>
      </c>
      <c r="B220" s="6" t="s">
        <v>480</v>
      </c>
      <c r="C220" s="31">
        <v>533</v>
      </c>
      <c r="D220" s="24">
        <v>175</v>
      </c>
      <c r="E220" s="24">
        <v>460</v>
      </c>
      <c r="F220" s="8">
        <v>38.200000000000003</v>
      </c>
      <c r="G220" s="9">
        <v>212</v>
      </c>
      <c r="H220" s="8">
        <v>25.8</v>
      </c>
      <c r="I220" s="8">
        <v>124</v>
      </c>
      <c r="J220" s="8">
        <v>153</v>
      </c>
      <c r="K220" s="8">
        <v>80.400000000000006</v>
      </c>
      <c r="L220" s="9">
        <v>51</v>
      </c>
      <c r="M220" s="9">
        <v>161</v>
      </c>
      <c r="N220" s="9">
        <v>212</v>
      </c>
      <c r="O220" s="9">
        <v>95</v>
      </c>
      <c r="P220" s="9">
        <v>51</v>
      </c>
      <c r="Q220" s="9">
        <v>29</v>
      </c>
      <c r="R220" s="9">
        <v>15</v>
      </c>
      <c r="S220" s="9">
        <v>66</v>
      </c>
      <c r="T220" s="8">
        <v>1015</v>
      </c>
      <c r="U220" s="8">
        <v>3</v>
      </c>
      <c r="V220" s="8">
        <v>0</v>
      </c>
      <c r="W220" s="7">
        <v>-2.2000000000000002</v>
      </c>
      <c r="X220" s="7">
        <v>109.9</v>
      </c>
      <c r="Y220" s="7">
        <v>116</v>
      </c>
      <c r="Z220" s="7">
        <v>-6.1</v>
      </c>
      <c r="AA220" s="7">
        <v>11.5</v>
      </c>
      <c r="AB220" s="7">
        <v>1.87</v>
      </c>
      <c r="AC220" s="7">
        <v>14.3</v>
      </c>
      <c r="AD220" s="7">
        <v>3.9</v>
      </c>
      <c r="AE220" s="7">
        <v>13</v>
      </c>
      <c r="AF220" s="7">
        <v>8.4</v>
      </c>
      <c r="AG220" s="7">
        <v>7.7</v>
      </c>
      <c r="AH220" s="7">
        <v>44.2</v>
      </c>
      <c r="AI220" s="7">
        <v>50.2</v>
      </c>
      <c r="AJ220" s="7">
        <v>19.600000000000001</v>
      </c>
      <c r="AK220" s="7">
        <v>99.93</v>
      </c>
      <c r="AL220" s="7">
        <v>8</v>
      </c>
      <c r="AM220" s="7">
        <v>2602</v>
      </c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1"/>
    </row>
    <row r="221" spans="1:64" ht="13">
      <c r="A221" s="6" t="s">
        <v>481</v>
      </c>
      <c r="B221" s="6" t="s">
        <v>482</v>
      </c>
      <c r="C221" s="31">
        <v>533</v>
      </c>
      <c r="D221" s="24">
        <v>203</v>
      </c>
      <c r="E221" s="24">
        <v>503</v>
      </c>
      <c r="F221" s="8">
        <v>40.5</v>
      </c>
      <c r="G221" s="9">
        <v>225</v>
      </c>
      <c r="H221" s="8">
        <v>32.299999999999997</v>
      </c>
      <c r="I221" s="8">
        <v>53</v>
      </c>
      <c r="J221" s="8">
        <v>68</v>
      </c>
      <c r="K221" s="8">
        <v>76.8</v>
      </c>
      <c r="L221" s="9">
        <v>30</v>
      </c>
      <c r="M221" s="9">
        <v>83</v>
      </c>
      <c r="N221" s="9">
        <v>113</v>
      </c>
      <c r="O221" s="9">
        <v>315</v>
      </c>
      <c r="P221" s="9">
        <v>120</v>
      </c>
      <c r="Q221" s="9">
        <v>60</v>
      </c>
      <c r="R221" s="9">
        <v>8</v>
      </c>
      <c r="S221" s="9">
        <v>158</v>
      </c>
      <c r="T221" s="8">
        <v>1230</v>
      </c>
      <c r="U221" s="8">
        <v>1</v>
      </c>
      <c r="V221" s="8">
        <v>0</v>
      </c>
      <c r="W221" s="7">
        <v>-3.1</v>
      </c>
      <c r="X221" s="7">
        <v>105.5</v>
      </c>
      <c r="Y221" s="7">
        <v>113.3</v>
      </c>
      <c r="Z221" s="7">
        <v>-7.8</v>
      </c>
      <c r="AA221" s="7">
        <v>30.7</v>
      </c>
      <c r="AB221" s="7">
        <v>2.7</v>
      </c>
      <c r="AC221" s="7">
        <v>32.799999999999997</v>
      </c>
      <c r="AD221" s="7">
        <v>1.9</v>
      </c>
      <c r="AE221" s="7">
        <v>5.7</v>
      </c>
      <c r="AF221" s="7">
        <v>3.7</v>
      </c>
      <c r="AG221" s="7">
        <v>12.1</v>
      </c>
      <c r="AH221" s="7">
        <v>47.6</v>
      </c>
      <c r="AI221" s="7">
        <v>49.9</v>
      </c>
      <c r="AJ221" s="7">
        <v>17.899999999999999</v>
      </c>
      <c r="AK221" s="7">
        <v>102.18</v>
      </c>
      <c r="AL221" s="7">
        <v>7</v>
      </c>
      <c r="AM221" s="7">
        <v>3127</v>
      </c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1"/>
    </row>
    <row r="222" spans="1:64" ht="13">
      <c r="A222" s="6" t="s">
        <v>483</v>
      </c>
      <c r="B222" s="6" t="s">
        <v>484</v>
      </c>
      <c r="C222" s="31">
        <v>531</v>
      </c>
      <c r="D222" s="24">
        <v>237</v>
      </c>
      <c r="E222" s="24">
        <v>378</v>
      </c>
      <c r="F222" s="8">
        <v>62.1</v>
      </c>
      <c r="G222" s="9">
        <v>19</v>
      </c>
      <c r="H222" s="8">
        <v>5.9</v>
      </c>
      <c r="I222" s="8">
        <v>64</v>
      </c>
      <c r="J222" s="8">
        <v>90</v>
      </c>
      <c r="K222" s="8">
        <v>70.099999999999994</v>
      </c>
      <c r="L222" s="9">
        <v>128</v>
      </c>
      <c r="M222" s="9">
        <v>198</v>
      </c>
      <c r="N222" s="9">
        <v>326</v>
      </c>
      <c r="O222" s="9">
        <v>64</v>
      </c>
      <c r="P222" s="9">
        <v>38</v>
      </c>
      <c r="Q222" s="9">
        <v>51</v>
      </c>
      <c r="R222" s="9">
        <v>38</v>
      </c>
      <c r="S222" s="9">
        <v>147</v>
      </c>
      <c r="T222" s="8">
        <v>1248</v>
      </c>
      <c r="U222" s="8">
        <v>2</v>
      </c>
      <c r="V222" s="8">
        <v>0</v>
      </c>
      <c r="W222" s="7">
        <v>2.8</v>
      </c>
      <c r="X222" s="7">
        <v>116.5</v>
      </c>
      <c r="Y222" s="7">
        <v>108.2</v>
      </c>
      <c r="Z222" s="7">
        <v>8.1999999999999993</v>
      </c>
      <c r="AA222" s="7">
        <v>7.2</v>
      </c>
      <c r="AB222" s="7">
        <v>1.61</v>
      </c>
      <c r="AC222" s="7">
        <v>12.7</v>
      </c>
      <c r="AD222" s="7">
        <v>10.199999999999999</v>
      </c>
      <c r="AE222" s="7">
        <v>14.8</v>
      </c>
      <c r="AF222" s="7">
        <v>12.6</v>
      </c>
      <c r="AG222" s="7">
        <v>7.9</v>
      </c>
      <c r="AH222" s="7">
        <v>62.2</v>
      </c>
      <c r="AI222" s="7">
        <v>63.8</v>
      </c>
      <c r="AJ222" s="7">
        <v>15</v>
      </c>
      <c r="AK222" s="7">
        <v>105.54</v>
      </c>
      <c r="AL222" s="7">
        <v>10.8</v>
      </c>
      <c r="AM222" s="7">
        <v>2637</v>
      </c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1"/>
    </row>
    <row r="223" spans="1:64" ht="13">
      <c r="A223" s="6" t="s">
        <v>485</v>
      </c>
      <c r="B223" s="6" t="s">
        <v>486</v>
      </c>
      <c r="C223" s="31">
        <v>530</v>
      </c>
      <c r="D223" s="24">
        <v>205</v>
      </c>
      <c r="E223" s="24">
        <v>348</v>
      </c>
      <c r="F223" s="8">
        <v>59.1</v>
      </c>
      <c r="G223" s="8">
        <v>0</v>
      </c>
      <c r="H223" s="8">
        <v>0</v>
      </c>
      <c r="I223" s="8">
        <v>120</v>
      </c>
      <c r="J223" s="8">
        <v>160</v>
      </c>
      <c r="K223" s="8">
        <v>74.400000000000006</v>
      </c>
      <c r="L223" s="9">
        <v>148</v>
      </c>
      <c r="M223" s="9">
        <v>319</v>
      </c>
      <c r="N223" s="9">
        <v>467</v>
      </c>
      <c r="O223" s="9">
        <v>51</v>
      </c>
      <c r="P223" s="9">
        <v>80</v>
      </c>
      <c r="Q223" s="9">
        <v>11</v>
      </c>
      <c r="R223" s="9">
        <v>57</v>
      </c>
      <c r="S223" s="9">
        <v>143</v>
      </c>
      <c r="T223" s="8">
        <v>1288</v>
      </c>
      <c r="U223" s="8">
        <v>16</v>
      </c>
      <c r="V223" s="8">
        <v>0</v>
      </c>
      <c r="W223" s="7">
        <v>-4.0999999999999996</v>
      </c>
      <c r="X223" s="7">
        <v>112.3</v>
      </c>
      <c r="Y223" s="7">
        <v>120.9</v>
      </c>
      <c r="Z223" s="7">
        <v>-8.6999999999999993</v>
      </c>
      <c r="AA223" s="7">
        <v>5.8</v>
      </c>
      <c r="AB223" s="7">
        <v>0.6</v>
      </c>
      <c r="AC223" s="7">
        <v>8.9</v>
      </c>
      <c r="AD223" s="7">
        <v>11.8</v>
      </c>
      <c r="AE223" s="7">
        <v>24.3</v>
      </c>
      <c r="AF223" s="7">
        <v>18.100000000000001</v>
      </c>
      <c r="AG223" s="7">
        <v>14.8</v>
      </c>
      <c r="AH223" s="7">
        <v>59.1</v>
      </c>
      <c r="AI223" s="7">
        <v>63.4</v>
      </c>
      <c r="AJ223" s="7">
        <v>16.899999999999999</v>
      </c>
      <c r="AK223" s="7">
        <v>98.62</v>
      </c>
      <c r="AL223" s="7">
        <v>10.7</v>
      </c>
      <c r="AM223" s="7">
        <v>2576</v>
      </c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1"/>
    </row>
    <row r="224" spans="1:64" ht="13">
      <c r="A224" s="6" t="s">
        <v>487</v>
      </c>
      <c r="B224" s="6" t="s">
        <v>488</v>
      </c>
      <c r="C224" s="31">
        <v>528</v>
      </c>
      <c r="D224" s="24">
        <v>189</v>
      </c>
      <c r="E224" s="24">
        <v>414</v>
      </c>
      <c r="F224" s="8">
        <v>46</v>
      </c>
      <c r="G224" s="9">
        <v>153</v>
      </c>
      <c r="H224" s="8">
        <v>40.9</v>
      </c>
      <c r="I224" s="8">
        <v>84</v>
      </c>
      <c r="J224" s="8">
        <v>117</v>
      </c>
      <c r="K224" s="8">
        <v>73.3</v>
      </c>
      <c r="L224" s="9">
        <v>39</v>
      </c>
      <c r="M224" s="9">
        <v>84</v>
      </c>
      <c r="N224" s="9">
        <v>123</v>
      </c>
      <c r="O224" s="9">
        <v>120</v>
      </c>
      <c r="P224" s="9">
        <v>90</v>
      </c>
      <c r="Q224" s="9">
        <v>27</v>
      </c>
      <c r="R224" s="9">
        <v>12</v>
      </c>
      <c r="S224" s="9">
        <v>66</v>
      </c>
      <c r="T224" s="8">
        <v>882</v>
      </c>
      <c r="U224" s="8">
        <v>0</v>
      </c>
      <c r="V224" s="8">
        <v>0</v>
      </c>
      <c r="W224" s="7">
        <v>-2.1</v>
      </c>
      <c r="X224" s="7">
        <v>110.5</v>
      </c>
      <c r="Y224" s="7">
        <v>114.6</v>
      </c>
      <c r="Z224" s="7">
        <v>-4.0999999999999996</v>
      </c>
      <c r="AA224" s="7">
        <v>20.7</v>
      </c>
      <c r="AB224" s="7">
        <v>1.34</v>
      </c>
      <c r="AC224" s="7">
        <v>17.7</v>
      </c>
      <c r="AD224" s="7">
        <v>4.3</v>
      </c>
      <c r="AE224" s="7">
        <v>9.1</v>
      </c>
      <c r="AF224" s="7">
        <v>6.7</v>
      </c>
      <c r="AG224" s="7">
        <v>13.2</v>
      </c>
      <c r="AH224" s="7">
        <v>53.6</v>
      </c>
      <c r="AI224" s="7">
        <v>56.9</v>
      </c>
      <c r="AJ224" s="7">
        <v>25.6</v>
      </c>
      <c r="AK224" s="7">
        <v>99.52</v>
      </c>
      <c r="AL224" s="7">
        <v>9.9</v>
      </c>
      <c r="AM224" s="7">
        <v>1868</v>
      </c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1"/>
    </row>
    <row r="225" spans="1:64" ht="13">
      <c r="A225" s="6" t="s">
        <v>489</v>
      </c>
      <c r="B225" s="6" t="s">
        <v>490</v>
      </c>
      <c r="C225" s="31">
        <v>525</v>
      </c>
      <c r="D225" s="24">
        <v>192</v>
      </c>
      <c r="E225" s="24">
        <v>410</v>
      </c>
      <c r="F225" s="8">
        <v>46.6</v>
      </c>
      <c r="G225" s="9">
        <v>224</v>
      </c>
      <c r="H225" s="8">
        <v>32.4</v>
      </c>
      <c r="I225" s="8">
        <v>70</v>
      </c>
      <c r="J225" s="8">
        <v>90</v>
      </c>
      <c r="K225" s="8">
        <v>80.900000000000006</v>
      </c>
      <c r="L225" s="9">
        <v>90</v>
      </c>
      <c r="M225" s="9">
        <v>269</v>
      </c>
      <c r="N225" s="9">
        <v>358</v>
      </c>
      <c r="O225" s="9">
        <v>64</v>
      </c>
      <c r="P225" s="9">
        <v>38</v>
      </c>
      <c r="Q225" s="9">
        <v>19</v>
      </c>
      <c r="R225" s="9">
        <v>45</v>
      </c>
      <c r="S225" s="9">
        <v>96</v>
      </c>
      <c r="T225" s="8">
        <v>1197</v>
      </c>
      <c r="U225" s="8">
        <v>4</v>
      </c>
      <c r="V225" s="8">
        <v>0</v>
      </c>
      <c r="W225" s="7">
        <v>-0.6</v>
      </c>
      <c r="X225" s="7">
        <v>110.3</v>
      </c>
      <c r="Y225" s="7">
        <v>111.5</v>
      </c>
      <c r="Z225" s="7">
        <v>-1.2</v>
      </c>
      <c r="AA225" s="7">
        <v>10.1</v>
      </c>
      <c r="AB225" s="7">
        <v>1.76</v>
      </c>
      <c r="AC225" s="7">
        <v>11.9</v>
      </c>
      <c r="AD225" s="7">
        <v>8.5</v>
      </c>
      <c r="AE225" s="7">
        <v>24.1</v>
      </c>
      <c r="AF225" s="7">
        <v>16.5</v>
      </c>
      <c r="AG225" s="7">
        <v>6.8</v>
      </c>
      <c r="AH225" s="7">
        <v>55.4</v>
      </c>
      <c r="AI225" s="7">
        <v>58.6</v>
      </c>
      <c r="AJ225" s="7">
        <v>20.100000000000001</v>
      </c>
      <c r="AK225" s="7">
        <v>106.06</v>
      </c>
      <c r="AL225" s="7">
        <v>13.3</v>
      </c>
      <c r="AM225" s="7">
        <v>2122</v>
      </c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1"/>
    </row>
    <row r="226" spans="1:64" ht="13">
      <c r="A226" s="6" t="s">
        <v>491</v>
      </c>
      <c r="B226" s="6" t="s">
        <v>492</v>
      </c>
      <c r="C226" s="31">
        <v>522</v>
      </c>
      <c r="D226" s="24">
        <v>192</v>
      </c>
      <c r="E226" s="24">
        <v>468</v>
      </c>
      <c r="F226" s="8">
        <v>40.6</v>
      </c>
      <c r="G226" s="9">
        <v>282</v>
      </c>
      <c r="H226" s="8">
        <v>35.1</v>
      </c>
      <c r="I226" s="8">
        <v>48</v>
      </c>
      <c r="J226" s="8">
        <v>60</v>
      </c>
      <c r="K226" s="8">
        <v>79.3</v>
      </c>
      <c r="L226" s="9">
        <v>60</v>
      </c>
      <c r="M226" s="9">
        <v>162</v>
      </c>
      <c r="N226" s="9">
        <v>222</v>
      </c>
      <c r="O226" s="9">
        <v>120</v>
      </c>
      <c r="P226" s="9">
        <v>72</v>
      </c>
      <c r="Q226" s="9">
        <v>36</v>
      </c>
      <c r="R226" s="9">
        <v>12</v>
      </c>
      <c r="S226" s="9">
        <v>78</v>
      </c>
      <c r="T226" s="8">
        <v>1026</v>
      </c>
      <c r="U226" s="8">
        <v>1</v>
      </c>
      <c r="V226" s="8">
        <v>0</v>
      </c>
      <c r="W226" s="7">
        <v>-4.3</v>
      </c>
      <c r="X226" s="7">
        <v>103.2</v>
      </c>
      <c r="Y226" s="7">
        <v>113.4</v>
      </c>
      <c r="Z226" s="7">
        <v>-10.199999999999999</v>
      </c>
      <c r="AA226" s="7">
        <v>15</v>
      </c>
      <c r="AB226" s="7">
        <v>1.65</v>
      </c>
      <c r="AC226" s="7">
        <v>17.7</v>
      </c>
      <c r="AD226" s="7">
        <v>4</v>
      </c>
      <c r="AE226" s="7">
        <v>13.3</v>
      </c>
      <c r="AF226" s="7">
        <v>8.3000000000000007</v>
      </c>
      <c r="AG226" s="7">
        <v>10.8</v>
      </c>
      <c r="AH226" s="7">
        <v>51.3</v>
      </c>
      <c r="AI226" s="7">
        <v>53.3</v>
      </c>
      <c r="AJ226" s="7">
        <v>17.899999999999999</v>
      </c>
      <c r="AK226" s="7">
        <v>98.64</v>
      </c>
      <c r="AL226" s="7">
        <v>8.4</v>
      </c>
      <c r="AM226" s="7">
        <v>2711</v>
      </c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1"/>
    </row>
    <row r="227" spans="1:64" ht="13">
      <c r="A227" s="6" t="s">
        <v>493</v>
      </c>
      <c r="B227" s="6" t="s">
        <v>494</v>
      </c>
      <c r="C227" s="31">
        <v>518</v>
      </c>
      <c r="D227" s="24">
        <v>194</v>
      </c>
      <c r="E227" s="24">
        <v>413</v>
      </c>
      <c r="F227" s="8">
        <v>47.4</v>
      </c>
      <c r="G227" s="9">
        <v>154</v>
      </c>
      <c r="H227" s="8">
        <v>23.8</v>
      </c>
      <c r="I227" s="8">
        <v>89</v>
      </c>
      <c r="J227" s="8">
        <v>122</v>
      </c>
      <c r="K227" s="8">
        <v>75.400000000000006</v>
      </c>
      <c r="L227" s="9">
        <v>41</v>
      </c>
      <c r="M227" s="9">
        <v>178</v>
      </c>
      <c r="N227" s="9">
        <v>219</v>
      </c>
      <c r="O227" s="9">
        <v>81</v>
      </c>
      <c r="P227" s="9">
        <v>73</v>
      </c>
      <c r="Q227" s="9">
        <v>49</v>
      </c>
      <c r="R227" s="9">
        <v>16</v>
      </c>
      <c r="S227" s="9">
        <v>138</v>
      </c>
      <c r="T227" s="8">
        <v>1029</v>
      </c>
      <c r="U227" s="8">
        <v>0</v>
      </c>
      <c r="V227" s="8">
        <v>0</v>
      </c>
      <c r="W227" s="7">
        <v>-0.7</v>
      </c>
      <c r="X227" s="7">
        <v>109.8</v>
      </c>
      <c r="Y227" s="7">
        <v>110.9</v>
      </c>
      <c r="Z227" s="7">
        <v>-1</v>
      </c>
      <c r="AA227" s="7">
        <v>9.5</v>
      </c>
      <c r="AB227" s="7">
        <v>1.1399999999999999</v>
      </c>
      <c r="AC227" s="7">
        <v>13.2</v>
      </c>
      <c r="AD227" s="7">
        <v>3</v>
      </c>
      <c r="AE227" s="7">
        <v>13.6</v>
      </c>
      <c r="AF227" s="7">
        <v>8.3000000000000007</v>
      </c>
      <c r="AG227" s="7">
        <v>11.6</v>
      </c>
      <c r="AH227" s="7">
        <v>51.7</v>
      </c>
      <c r="AI227" s="7">
        <v>55.6</v>
      </c>
      <c r="AJ227" s="7">
        <v>17.7</v>
      </c>
      <c r="AK227" s="7">
        <v>101</v>
      </c>
      <c r="AL227" s="7">
        <v>7.8</v>
      </c>
      <c r="AM227" s="7">
        <v>2652</v>
      </c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1"/>
    </row>
    <row r="228" spans="1:64" ht="13">
      <c r="A228" s="6" t="s">
        <v>495</v>
      </c>
      <c r="B228" s="6" t="s">
        <v>496</v>
      </c>
      <c r="C228" s="31">
        <v>516</v>
      </c>
      <c r="D228" s="24">
        <v>208</v>
      </c>
      <c r="E228" s="24">
        <v>415</v>
      </c>
      <c r="F228" s="8">
        <v>49.6</v>
      </c>
      <c r="G228" s="9">
        <v>161</v>
      </c>
      <c r="H228" s="8">
        <v>36.799999999999997</v>
      </c>
      <c r="I228" s="8">
        <v>47</v>
      </c>
      <c r="J228" s="8">
        <v>67</v>
      </c>
      <c r="K228" s="8">
        <v>69.099999999999994</v>
      </c>
      <c r="L228" s="9">
        <v>67</v>
      </c>
      <c r="M228" s="9">
        <v>134</v>
      </c>
      <c r="N228" s="9">
        <v>201</v>
      </c>
      <c r="O228" s="9">
        <v>121</v>
      </c>
      <c r="P228" s="9">
        <v>47</v>
      </c>
      <c r="Q228" s="9">
        <v>47</v>
      </c>
      <c r="R228" s="9">
        <v>13</v>
      </c>
      <c r="S228" s="9">
        <v>127</v>
      </c>
      <c r="T228" s="8">
        <v>1079</v>
      </c>
      <c r="U228" s="8">
        <v>0</v>
      </c>
      <c r="V228" s="8">
        <v>0</v>
      </c>
      <c r="W228" s="7">
        <v>-1.4</v>
      </c>
      <c r="X228" s="7">
        <v>112.9</v>
      </c>
      <c r="Y228" s="7">
        <v>115.2</v>
      </c>
      <c r="Z228" s="7">
        <v>-2.2999999999999998</v>
      </c>
      <c r="AA228" s="7">
        <v>11.8</v>
      </c>
      <c r="AB228" s="7">
        <v>2.57</v>
      </c>
      <c r="AC228" s="7">
        <v>19.8</v>
      </c>
      <c r="AD228" s="7">
        <v>4.7</v>
      </c>
      <c r="AE228" s="7">
        <v>9.4</v>
      </c>
      <c r="AF228" s="7">
        <v>7</v>
      </c>
      <c r="AG228" s="7">
        <v>7.7</v>
      </c>
      <c r="AH228" s="7">
        <v>56.9</v>
      </c>
      <c r="AI228" s="7">
        <v>58.4</v>
      </c>
      <c r="AJ228" s="7">
        <v>14.5</v>
      </c>
      <c r="AK228" s="7">
        <v>100.43</v>
      </c>
      <c r="AL228" s="7">
        <v>7.4</v>
      </c>
      <c r="AM228" s="7">
        <v>2947</v>
      </c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1"/>
    </row>
    <row r="229" spans="1:64" ht="13">
      <c r="A229" s="6" t="s">
        <v>497</v>
      </c>
      <c r="B229" s="6" t="s">
        <v>498</v>
      </c>
      <c r="C229" s="31">
        <v>511</v>
      </c>
      <c r="D229" s="24">
        <v>170</v>
      </c>
      <c r="E229" s="24">
        <v>426</v>
      </c>
      <c r="F229" s="8">
        <v>40.6</v>
      </c>
      <c r="G229" s="9">
        <v>369</v>
      </c>
      <c r="H229" s="8">
        <v>37.200000000000003</v>
      </c>
      <c r="I229" s="8">
        <v>28</v>
      </c>
      <c r="J229" s="8">
        <v>28</v>
      </c>
      <c r="K229" s="8">
        <v>96.6</v>
      </c>
      <c r="L229" s="9">
        <v>36</v>
      </c>
      <c r="M229" s="9">
        <v>121</v>
      </c>
      <c r="N229" s="9">
        <v>156</v>
      </c>
      <c r="O229" s="9">
        <v>107</v>
      </c>
      <c r="P229" s="9">
        <v>36</v>
      </c>
      <c r="Q229" s="9">
        <v>50</v>
      </c>
      <c r="R229" s="9">
        <v>14</v>
      </c>
      <c r="S229" s="9">
        <v>121</v>
      </c>
      <c r="T229" s="8">
        <v>1022</v>
      </c>
      <c r="U229" s="8">
        <v>0</v>
      </c>
      <c r="V229" s="8">
        <v>0</v>
      </c>
      <c r="W229" s="7">
        <v>4.5</v>
      </c>
      <c r="X229" s="7">
        <v>117.4</v>
      </c>
      <c r="Y229" s="7">
        <v>107.1</v>
      </c>
      <c r="Z229" s="7">
        <v>10.3</v>
      </c>
      <c r="AA229" s="7">
        <v>9.9</v>
      </c>
      <c r="AB229" s="7">
        <v>3.09</v>
      </c>
      <c r="AC229" s="7">
        <v>18.7</v>
      </c>
      <c r="AD229" s="7">
        <v>2.6</v>
      </c>
      <c r="AE229" s="7">
        <v>7.7</v>
      </c>
      <c r="AF229" s="7">
        <v>5.2</v>
      </c>
      <c r="AG229" s="7">
        <v>6</v>
      </c>
      <c r="AH229" s="7">
        <v>56.7</v>
      </c>
      <c r="AI229" s="7">
        <v>58.3</v>
      </c>
      <c r="AJ229" s="7">
        <v>14</v>
      </c>
      <c r="AK229" s="7">
        <v>101.26</v>
      </c>
      <c r="AL229" s="7">
        <v>6.9</v>
      </c>
      <c r="AM229" s="7">
        <v>2963</v>
      </c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1"/>
    </row>
    <row r="230" spans="1:64" ht="13">
      <c r="A230" s="6" t="s">
        <v>499</v>
      </c>
      <c r="B230" s="6" t="s">
        <v>500</v>
      </c>
      <c r="C230" s="31">
        <v>511</v>
      </c>
      <c r="D230" s="24">
        <v>207</v>
      </c>
      <c r="E230" s="24">
        <v>474</v>
      </c>
      <c r="F230" s="8">
        <v>43</v>
      </c>
      <c r="G230" s="9">
        <v>266</v>
      </c>
      <c r="H230" s="8">
        <v>31.1</v>
      </c>
      <c r="I230" s="8">
        <v>22</v>
      </c>
      <c r="J230" s="8">
        <v>37</v>
      </c>
      <c r="K230" s="8">
        <v>48.7</v>
      </c>
      <c r="L230" s="9">
        <v>89</v>
      </c>
      <c r="M230" s="9">
        <v>178</v>
      </c>
      <c r="N230" s="9">
        <v>266</v>
      </c>
      <c r="O230" s="9">
        <v>59</v>
      </c>
      <c r="P230" s="9">
        <v>37</v>
      </c>
      <c r="Q230" s="9">
        <v>44</v>
      </c>
      <c r="R230" s="9">
        <v>37</v>
      </c>
      <c r="S230" s="9">
        <v>163</v>
      </c>
      <c r="T230" s="8">
        <v>1132</v>
      </c>
      <c r="U230" s="8">
        <v>3</v>
      </c>
      <c r="V230" s="8">
        <v>0</v>
      </c>
      <c r="W230" s="7">
        <v>-2.2999999999999998</v>
      </c>
      <c r="X230" s="7">
        <v>110.4</v>
      </c>
      <c r="Y230" s="7">
        <v>115.1</v>
      </c>
      <c r="Z230" s="7">
        <v>-4.7</v>
      </c>
      <c r="AA230" s="7">
        <v>5.9</v>
      </c>
      <c r="AB230" s="7">
        <v>1.43</v>
      </c>
      <c r="AC230" s="7">
        <v>9.6</v>
      </c>
      <c r="AD230" s="7">
        <v>6.3</v>
      </c>
      <c r="AE230" s="7">
        <v>11.7</v>
      </c>
      <c r="AF230" s="7">
        <v>9</v>
      </c>
      <c r="AG230" s="7">
        <v>6.8</v>
      </c>
      <c r="AH230" s="7">
        <v>51.6</v>
      </c>
      <c r="AI230" s="7">
        <v>51.7</v>
      </c>
      <c r="AJ230" s="7">
        <v>16.100000000000001</v>
      </c>
      <c r="AK230" s="7">
        <v>98.59</v>
      </c>
      <c r="AL230" s="7">
        <v>5.9</v>
      </c>
      <c r="AM230" s="7">
        <v>2882</v>
      </c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1"/>
    </row>
    <row r="231" spans="1:64" ht="13">
      <c r="A231" s="6" t="s">
        <v>501</v>
      </c>
      <c r="B231" s="6" t="s">
        <v>502</v>
      </c>
      <c r="C231" s="31">
        <v>504</v>
      </c>
      <c r="D231" s="24">
        <v>210</v>
      </c>
      <c r="E231" s="24">
        <v>336</v>
      </c>
      <c r="F231" s="8">
        <v>61.1</v>
      </c>
      <c r="G231" s="9">
        <v>28</v>
      </c>
      <c r="H231" s="8">
        <v>10.7</v>
      </c>
      <c r="I231" s="8">
        <v>84</v>
      </c>
      <c r="J231" s="8">
        <v>133</v>
      </c>
      <c r="K231" s="8">
        <v>63.9</v>
      </c>
      <c r="L231" s="9">
        <v>168</v>
      </c>
      <c r="M231" s="9">
        <v>294</v>
      </c>
      <c r="N231" s="9">
        <v>462</v>
      </c>
      <c r="O231" s="9">
        <v>140</v>
      </c>
      <c r="P231" s="9">
        <v>70</v>
      </c>
      <c r="Q231" s="9">
        <v>49</v>
      </c>
      <c r="R231" s="9">
        <v>98</v>
      </c>
      <c r="S231" s="9">
        <v>147</v>
      </c>
      <c r="T231" s="8">
        <v>1631</v>
      </c>
      <c r="U231" s="8">
        <v>15</v>
      </c>
      <c r="V231" s="8">
        <v>0</v>
      </c>
      <c r="W231" s="7">
        <v>1.1000000000000001</v>
      </c>
      <c r="X231" s="7">
        <v>110.1</v>
      </c>
      <c r="Y231" s="7">
        <v>107.4</v>
      </c>
      <c r="Z231" s="7">
        <v>2.7</v>
      </c>
      <c r="AA231" s="7">
        <v>14.2</v>
      </c>
      <c r="AB231" s="7">
        <v>1.9</v>
      </c>
      <c r="AC231" s="7">
        <v>22.6</v>
      </c>
      <c r="AD231" s="7">
        <v>11.6</v>
      </c>
      <c r="AE231" s="7">
        <v>22.7</v>
      </c>
      <c r="AF231" s="7">
        <v>16.899999999999999</v>
      </c>
      <c r="AG231" s="7">
        <v>11.9</v>
      </c>
      <c r="AH231" s="7">
        <v>61.5</v>
      </c>
      <c r="AI231" s="7">
        <v>63.1</v>
      </c>
      <c r="AJ231" s="7">
        <v>14.2</v>
      </c>
      <c r="AK231" s="7">
        <v>95.8</v>
      </c>
      <c r="AL231" s="7">
        <v>13.4</v>
      </c>
      <c r="AM231" s="7">
        <v>2855</v>
      </c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1"/>
    </row>
    <row r="232" spans="1:64" ht="13">
      <c r="A232" s="6" t="s">
        <v>503</v>
      </c>
      <c r="B232" s="6" t="s">
        <v>504</v>
      </c>
      <c r="C232" s="31">
        <v>503</v>
      </c>
      <c r="D232" s="24">
        <v>177</v>
      </c>
      <c r="E232" s="24">
        <v>422</v>
      </c>
      <c r="F232" s="8">
        <v>42.8</v>
      </c>
      <c r="G232" s="9">
        <v>245</v>
      </c>
      <c r="H232" s="8">
        <v>39.1</v>
      </c>
      <c r="I232" s="8">
        <v>48</v>
      </c>
      <c r="J232" s="8">
        <v>75</v>
      </c>
      <c r="K232" s="8">
        <v>68.099999999999994</v>
      </c>
      <c r="L232" s="9">
        <v>54</v>
      </c>
      <c r="M232" s="9">
        <v>116</v>
      </c>
      <c r="N232" s="9">
        <v>170</v>
      </c>
      <c r="O232" s="9">
        <v>109</v>
      </c>
      <c r="P232" s="9">
        <v>68</v>
      </c>
      <c r="Q232" s="9">
        <v>75</v>
      </c>
      <c r="R232" s="9">
        <v>14</v>
      </c>
      <c r="S232" s="9">
        <v>163</v>
      </c>
      <c r="T232" s="8">
        <v>1074</v>
      </c>
      <c r="U232" s="8">
        <v>0</v>
      </c>
      <c r="V232" s="8">
        <v>0</v>
      </c>
      <c r="W232" s="7">
        <v>-5.4</v>
      </c>
      <c r="X232" s="7">
        <v>105.3</v>
      </c>
      <c r="Y232" s="7">
        <v>114.2</v>
      </c>
      <c r="Z232" s="7">
        <v>-8.9</v>
      </c>
      <c r="AA232" s="7">
        <v>8.1</v>
      </c>
      <c r="AB232" s="7">
        <v>1.54</v>
      </c>
      <c r="AC232" s="7">
        <v>17.100000000000001</v>
      </c>
      <c r="AD232" s="7">
        <v>2.7</v>
      </c>
      <c r="AE232" s="7">
        <v>6</v>
      </c>
      <c r="AF232" s="7">
        <v>4.3</v>
      </c>
      <c r="AG232" s="7">
        <v>11.1</v>
      </c>
      <c r="AH232" s="7">
        <v>54.3</v>
      </c>
      <c r="AI232" s="7">
        <v>55.9</v>
      </c>
      <c r="AJ232" s="7">
        <v>11.5</v>
      </c>
      <c r="AK232" s="7">
        <v>100.08</v>
      </c>
      <c r="AL232" s="7">
        <v>4.3</v>
      </c>
      <c r="AM232" s="7">
        <v>3929</v>
      </c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1"/>
    </row>
    <row r="233" spans="1:64" ht="13">
      <c r="A233" s="6" t="s">
        <v>505</v>
      </c>
      <c r="B233" s="6" t="s">
        <v>506</v>
      </c>
      <c r="C233" s="31">
        <v>500</v>
      </c>
      <c r="D233" s="24">
        <v>180</v>
      </c>
      <c r="E233" s="24">
        <v>370</v>
      </c>
      <c r="F233" s="8">
        <v>49.2</v>
      </c>
      <c r="G233" s="9">
        <v>195</v>
      </c>
      <c r="H233" s="8">
        <v>36.299999999999997</v>
      </c>
      <c r="I233" s="8">
        <v>70</v>
      </c>
      <c r="J233" s="8">
        <v>85</v>
      </c>
      <c r="K233" s="8">
        <v>78.2</v>
      </c>
      <c r="L233" s="9">
        <v>70</v>
      </c>
      <c r="M233" s="9">
        <v>155</v>
      </c>
      <c r="N233" s="9">
        <v>225</v>
      </c>
      <c r="O233" s="9">
        <v>35</v>
      </c>
      <c r="P233" s="9">
        <v>30</v>
      </c>
      <c r="Q233" s="9">
        <v>25</v>
      </c>
      <c r="R233" s="9">
        <v>25</v>
      </c>
      <c r="S233" s="9">
        <v>70</v>
      </c>
      <c r="T233" s="8">
        <v>940</v>
      </c>
      <c r="U233" s="8">
        <v>3</v>
      </c>
      <c r="V233" s="8">
        <v>0</v>
      </c>
      <c r="W233" s="7">
        <v>0.1</v>
      </c>
      <c r="X233" s="7">
        <v>113.3</v>
      </c>
      <c r="Y233" s="7">
        <v>113.5</v>
      </c>
      <c r="Z233" s="7">
        <v>-0.2</v>
      </c>
      <c r="AA233" s="7">
        <v>5.7</v>
      </c>
      <c r="AB233" s="7">
        <v>1.1399999999999999</v>
      </c>
      <c r="AC233" s="7">
        <v>7</v>
      </c>
      <c r="AD233" s="7">
        <v>7.7</v>
      </c>
      <c r="AE233" s="7">
        <v>17.5</v>
      </c>
      <c r="AF233" s="7">
        <v>12.5</v>
      </c>
      <c r="AG233" s="7">
        <v>6.2</v>
      </c>
      <c r="AH233" s="7">
        <v>58.6</v>
      </c>
      <c r="AI233" s="7">
        <v>61.5</v>
      </c>
      <c r="AJ233" s="7">
        <v>20.8</v>
      </c>
      <c r="AK233" s="7">
        <v>99.28</v>
      </c>
      <c r="AL233" s="7">
        <v>12.6</v>
      </c>
      <c r="AM233" s="7">
        <v>1787</v>
      </c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1"/>
    </row>
    <row r="234" spans="1:64" ht="13">
      <c r="A234" s="6" t="s">
        <v>507</v>
      </c>
      <c r="B234" s="6" t="s">
        <v>508</v>
      </c>
      <c r="C234" s="31">
        <v>497</v>
      </c>
      <c r="D234" s="24">
        <v>180</v>
      </c>
      <c r="E234" s="24">
        <v>446</v>
      </c>
      <c r="F234" s="8">
        <v>40.1</v>
      </c>
      <c r="G234" s="9">
        <v>259</v>
      </c>
      <c r="H234" s="8">
        <v>36.299999999999997</v>
      </c>
      <c r="I234" s="8">
        <v>50</v>
      </c>
      <c r="J234" s="8">
        <v>58</v>
      </c>
      <c r="K234" s="8">
        <v>90.7</v>
      </c>
      <c r="L234" s="9">
        <v>14</v>
      </c>
      <c r="M234" s="9">
        <v>94</v>
      </c>
      <c r="N234" s="9">
        <v>101</v>
      </c>
      <c r="O234" s="9">
        <v>202</v>
      </c>
      <c r="P234" s="9">
        <v>50</v>
      </c>
      <c r="Q234" s="9">
        <v>36</v>
      </c>
      <c r="R234" s="9">
        <v>14</v>
      </c>
      <c r="S234" s="9">
        <v>108</v>
      </c>
      <c r="T234" s="8">
        <v>1044</v>
      </c>
      <c r="U234" s="8">
        <v>0</v>
      </c>
      <c r="V234" s="8">
        <v>0</v>
      </c>
      <c r="W234" s="7">
        <v>2.8</v>
      </c>
      <c r="X234" s="7">
        <v>116.6</v>
      </c>
      <c r="Y234" s="7">
        <v>107.5</v>
      </c>
      <c r="Z234" s="7">
        <v>9.1</v>
      </c>
      <c r="AA234" s="7">
        <v>25.1</v>
      </c>
      <c r="AB234" s="7">
        <v>3.9</v>
      </c>
      <c r="AC234" s="7">
        <v>28.1</v>
      </c>
      <c r="AD234" s="7">
        <v>1.3</v>
      </c>
      <c r="AE234" s="7">
        <v>8.1</v>
      </c>
      <c r="AF234" s="7">
        <v>4.7</v>
      </c>
      <c r="AG234" s="7">
        <v>7.2</v>
      </c>
      <c r="AH234" s="7">
        <v>50.6</v>
      </c>
      <c r="AI234" s="7">
        <v>53.2</v>
      </c>
      <c r="AJ234" s="7">
        <v>20</v>
      </c>
      <c r="AK234" s="7">
        <v>100.23</v>
      </c>
      <c r="AL234" s="7">
        <v>8.9</v>
      </c>
      <c r="AM234" s="7">
        <v>2275</v>
      </c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1"/>
    </row>
    <row r="235" spans="1:64" ht="13">
      <c r="A235" s="6" t="s">
        <v>509</v>
      </c>
      <c r="B235" s="6" t="s">
        <v>510</v>
      </c>
      <c r="C235" s="31">
        <v>496</v>
      </c>
      <c r="D235" s="24">
        <v>182</v>
      </c>
      <c r="E235" s="24">
        <v>416</v>
      </c>
      <c r="F235" s="8">
        <v>43.5</v>
      </c>
      <c r="G235" s="9">
        <v>200</v>
      </c>
      <c r="H235" s="8">
        <v>38.6</v>
      </c>
      <c r="I235" s="8">
        <v>63</v>
      </c>
      <c r="J235" s="8">
        <v>86</v>
      </c>
      <c r="K235" s="8">
        <v>69.8</v>
      </c>
      <c r="L235" s="9">
        <v>11</v>
      </c>
      <c r="M235" s="9">
        <v>80</v>
      </c>
      <c r="N235" s="9">
        <v>91</v>
      </c>
      <c r="O235" s="9">
        <v>80</v>
      </c>
      <c r="P235" s="9">
        <v>80</v>
      </c>
      <c r="Q235" s="9">
        <v>29</v>
      </c>
      <c r="R235" s="9">
        <v>6</v>
      </c>
      <c r="S235" s="9">
        <v>91</v>
      </c>
      <c r="T235" s="8">
        <v>741</v>
      </c>
      <c r="U235" s="8">
        <v>0</v>
      </c>
      <c r="V235" s="8">
        <v>0</v>
      </c>
      <c r="W235" s="7">
        <v>-1.1000000000000001</v>
      </c>
      <c r="X235" s="7">
        <v>108.3</v>
      </c>
      <c r="Y235" s="7">
        <v>111.6</v>
      </c>
      <c r="Z235" s="7">
        <v>-3.2</v>
      </c>
      <c r="AA235" s="7">
        <v>13.8</v>
      </c>
      <c r="AB235" s="7">
        <v>0.99</v>
      </c>
      <c r="AC235" s="7">
        <v>13.2</v>
      </c>
      <c r="AD235" s="7">
        <v>1</v>
      </c>
      <c r="AE235" s="7">
        <v>8.5</v>
      </c>
      <c r="AF235" s="7">
        <v>4.8</v>
      </c>
      <c r="AG235" s="7">
        <v>13.3</v>
      </c>
      <c r="AH235" s="7">
        <v>52.7</v>
      </c>
      <c r="AI235" s="7">
        <v>54.9</v>
      </c>
      <c r="AJ235" s="7">
        <v>24.4</v>
      </c>
      <c r="AK235" s="7">
        <v>102.83</v>
      </c>
      <c r="AL235" s="7">
        <v>6.9</v>
      </c>
      <c r="AM235" s="7">
        <v>1943</v>
      </c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1"/>
    </row>
    <row r="236" spans="1:64" ht="13">
      <c r="A236" s="6" t="s">
        <v>511</v>
      </c>
      <c r="B236" s="6" t="s">
        <v>512</v>
      </c>
      <c r="C236" s="31">
        <v>492</v>
      </c>
      <c r="D236" s="24">
        <v>170</v>
      </c>
      <c r="E236" s="24">
        <v>377</v>
      </c>
      <c r="F236" s="8">
        <v>45.6</v>
      </c>
      <c r="G236" s="9">
        <v>212</v>
      </c>
      <c r="H236" s="8">
        <v>37.1</v>
      </c>
      <c r="I236" s="8">
        <v>74</v>
      </c>
      <c r="J236" s="8">
        <v>87</v>
      </c>
      <c r="K236" s="8">
        <v>82.8</v>
      </c>
      <c r="L236" s="9">
        <v>28</v>
      </c>
      <c r="M236" s="9">
        <v>152</v>
      </c>
      <c r="N236" s="9">
        <v>179</v>
      </c>
      <c r="O236" s="9">
        <v>129</v>
      </c>
      <c r="P236" s="9">
        <v>60</v>
      </c>
      <c r="Q236" s="9">
        <v>37</v>
      </c>
      <c r="R236" s="9">
        <v>14</v>
      </c>
      <c r="S236" s="9">
        <v>83</v>
      </c>
      <c r="T236" s="8">
        <v>998</v>
      </c>
      <c r="U236" s="8">
        <v>0</v>
      </c>
      <c r="V236" s="8">
        <v>0</v>
      </c>
      <c r="W236" s="7">
        <v>-0.4</v>
      </c>
      <c r="X236" s="7">
        <v>109.6</v>
      </c>
      <c r="Y236" s="7">
        <v>110.7</v>
      </c>
      <c r="Z236" s="7">
        <v>-1.1000000000000001</v>
      </c>
      <c r="AA236" s="7">
        <v>17.399999999999999</v>
      </c>
      <c r="AB236" s="7">
        <v>2.1800000000000002</v>
      </c>
      <c r="AC236" s="7">
        <v>21.7</v>
      </c>
      <c r="AD236" s="7">
        <v>2.2000000000000002</v>
      </c>
      <c r="AE236" s="7">
        <v>12.7</v>
      </c>
      <c r="AF236" s="7">
        <v>7.6</v>
      </c>
      <c r="AG236" s="7">
        <v>9.9</v>
      </c>
      <c r="AH236" s="7">
        <v>56</v>
      </c>
      <c r="AI236" s="7">
        <v>59.5</v>
      </c>
      <c r="AJ236" s="7">
        <v>17.8</v>
      </c>
      <c r="AK236" s="7">
        <v>98.48</v>
      </c>
      <c r="AL236" s="7">
        <v>9.8000000000000007</v>
      </c>
      <c r="AM236" s="7">
        <v>2374</v>
      </c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1"/>
    </row>
    <row r="237" spans="1:64" ht="13">
      <c r="A237" s="6" t="s">
        <v>513</v>
      </c>
      <c r="B237" s="6" t="s">
        <v>514</v>
      </c>
      <c r="C237" s="31">
        <v>490</v>
      </c>
      <c r="D237" s="24">
        <v>220</v>
      </c>
      <c r="E237" s="24">
        <v>391</v>
      </c>
      <c r="F237" s="8">
        <v>55.9</v>
      </c>
      <c r="G237" s="8">
        <v>0</v>
      </c>
      <c r="H237" s="8">
        <v>0</v>
      </c>
      <c r="I237" s="8">
        <v>50</v>
      </c>
      <c r="J237" s="8">
        <v>99</v>
      </c>
      <c r="K237" s="8">
        <v>53.6</v>
      </c>
      <c r="L237" s="9">
        <v>176</v>
      </c>
      <c r="M237" s="9">
        <v>297</v>
      </c>
      <c r="N237" s="9">
        <v>468</v>
      </c>
      <c r="O237" s="9">
        <v>61</v>
      </c>
      <c r="P237" s="9">
        <v>50</v>
      </c>
      <c r="Q237" s="9">
        <v>33</v>
      </c>
      <c r="R237" s="9">
        <v>55</v>
      </c>
      <c r="S237" s="9">
        <v>105</v>
      </c>
      <c r="T237" s="8">
        <v>1359</v>
      </c>
      <c r="U237" s="8">
        <v>11</v>
      </c>
      <c r="V237" s="8">
        <v>0</v>
      </c>
      <c r="W237" s="7">
        <v>-1.4</v>
      </c>
      <c r="X237" s="7">
        <v>108.7</v>
      </c>
      <c r="Y237" s="7">
        <v>111.5</v>
      </c>
      <c r="Z237" s="7">
        <v>-2.7</v>
      </c>
      <c r="AA237" s="7">
        <v>7.3</v>
      </c>
      <c r="AB237" s="7">
        <v>1.32</v>
      </c>
      <c r="AC237" s="7">
        <v>11.4</v>
      </c>
      <c r="AD237" s="7">
        <v>13.2</v>
      </c>
      <c r="AE237" s="7">
        <v>23.8</v>
      </c>
      <c r="AF237" s="7">
        <v>18.3</v>
      </c>
      <c r="AG237" s="7">
        <v>8.6999999999999993</v>
      </c>
      <c r="AH237" s="7">
        <v>55.9</v>
      </c>
      <c r="AI237" s="7">
        <v>56.4</v>
      </c>
      <c r="AJ237" s="7">
        <v>16</v>
      </c>
      <c r="AK237" s="7">
        <v>105.23</v>
      </c>
      <c r="AL237" s="7">
        <v>11.7</v>
      </c>
      <c r="AM237" s="7">
        <v>2575</v>
      </c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1"/>
    </row>
    <row r="238" spans="1:64" ht="13">
      <c r="A238" s="6" t="s">
        <v>515</v>
      </c>
      <c r="B238" s="6" t="s">
        <v>516</v>
      </c>
      <c r="C238" s="31">
        <v>481</v>
      </c>
      <c r="D238" s="24">
        <v>178</v>
      </c>
      <c r="E238" s="24">
        <v>392</v>
      </c>
      <c r="F238" s="8">
        <v>45.8</v>
      </c>
      <c r="G238" s="9">
        <v>229</v>
      </c>
      <c r="H238" s="8">
        <v>38.200000000000003</v>
      </c>
      <c r="I238" s="8">
        <v>30</v>
      </c>
      <c r="J238" s="8">
        <v>44</v>
      </c>
      <c r="K238" s="8">
        <v>72.099999999999994</v>
      </c>
      <c r="L238" s="9">
        <v>74</v>
      </c>
      <c r="M238" s="9">
        <v>178</v>
      </c>
      <c r="N238" s="9">
        <v>252</v>
      </c>
      <c r="O238" s="9">
        <v>111</v>
      </c>
      <c r="P238" s="9">
        <v>52</v>
      </c>
      <c r="Q238" s="9">
        <v>67</v>
      </c>
      <c r="R238" s="9">
        <v>37</v>
      </c>
      <c r="S238" s="9">
        <v>163</v>
      </c>
      <c r="T238" s="8">
        <v>1206</v>
      </c>
      <c r="U238" s="8">
        <v>0</v>
      </c>
      <c r="V238" s="8">
        <v>0</v>
      </c>
      <c r="W238" s="7">
        <v>0.8</v>
      </c>
      <c r="X238" s="7">
        <v>111.8</v>
      </c>
      <c r="Y238" s="7">
        <v>110.4</v>
      </c>
      <c r="Z238" s="7">
        <v>1.4</v>
      </c>
      <c r="AA238" s="7">
        <v>8.4</v>
      </c>
      <c r="AB238" s="7">
        <v>2.0699999999999998</v>
      </c>
      <c r="AC238" s="7">
        <v>19.5</v>
      </c>
      <c r="AD238" s="7">
        <v>4</v>
      </c>
      <c r="AE238" s="7">
        <v>9.8000000000000007</v>
      </c>
      <c r="AF238" s="7">
        <v>6.9</v>
      </c>
      <c r="AG238" s="7">
        <v>9.4</v>
      </c>
      <c r="AH238" s="7">
        <v>57.2</v>
      </c>
      <c r="AI238" s="7">
        <v>58.3</v>
      </c>
      <c r="AJ238" s="7">
        <v>11.1</v>
      </c>
      <c r="AK238" s="7">
        <v>97.33</v>
      </c>
      <c r="AL238" s="7">
        <v>5.7</v>
      </c>
      <c r="AM238" s="7">
        <v>3691</v>
      </c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1"/>
    </row>
    <row r="239" spans="1:64" ht="13">
      <c r="A239" s="6" t="s">
        <v>517</v>
      </c>
      <c r="B239" s="6" t="s">
        <v>518</v>
      </c>
      <c r="C239" s="31">
        <v>480</v>
      </c>
      <c r="D239" s="24">
        <v>166</v>
      </c>
      <c r="E239" s="24">
        <v>342</v>
      </c>
      <c r="F239" s="8">
        <v>49</v>
      </c>
      <c r="G239" s="9">
        <v>115</v>
      </c>
      <c r="H239" s="8">
        <v>37.9</v>
      </c>
      <c r="I239" s="8">
        <v>102</v>
      </c>
      <c r="J239" s="8">
        <v>134</v>
      </c>
      <c r="K239" s="8">
        <v>75.400000000000006</v>
      </c>
      <c r="L239" s="9">
        <v>48</v>
      </c>
      <c r="M239" s="9">
        <v>208</v>
      </c>
      <c r="N239" s="9">
        <v>256</v>
      </c>
      <c r="O239" s="9">
        <v>64</v>
      </c>
      <c r="P239" s="9">
        <v>58</v>
      </c>
      <c r="Q239" s="9">
        <v>22</v>
      </c>
      <c r="R239" s="9">
        <v>70</v>
      </c>
      <c r="S239" s="9">
        <v>74</v>
      </c>
      <c r="T239" s="8">
        <v>1107</v>
      </c>
      <c r="U239" s="8">
        <v>11</v>
      </c>
      <c r="V239" s="8">
        <v>0</v>
      </c>
      <c r="W239" s="7">
        <v>9.1999999999999993</v>
      </c>
      <c r="X239" s="7">
        <v>121.7</v>
      </c>
      <c r="Y239" s="7">
        <v>105.6</v>
      </c>
      <c r="Z239" s="7">
        <v>16.100000000000001</v>
      </c>
      <c r="AA239" s="7">
        <v>9.1</v>
      </c>
      <c r="AB239" s="7">
        <v>1.1299999999999999</v>
      </c>
      <c r="AC239" s="7">
        <v>12.1</v>
      </c>
      <c r="AD239" s="7">
        <v>5.4</v>
      </c>
      <c r="AE239" s="7">
        <v>20.8</v>
      </c>
      <c r="AF239" s="7">
        <v>13.6</v>
      </c>
      <c r="AG239" s="7">
        <v>10.8</v>
      </c>
      <c r="AH239" s="7">
        <v>55.4</v>
      </c>
      <c r="AI239" s="7">
        <v>59.9</v>
      </c>
      <c r="AJ239" s="7">
        <v>21.4</v>
      </c>
      <c r="AK239" s="7">
        <v>103.83</v>
      </c>
      <c r="AL239" s="7">
        <v>12.2</v>
      </c>
      <c r="AM239" s="7">
        <v>1891</v>
      </c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1"/>
    </row>
    <row r="240" spans="1:64" ht="13">
      <c r="A240" s="6" t="s">
        <v>519</v>
      </c>
      <c r="B240" s="6" t="s">
        <v>520</v>
      </c>
      <c r="C240" s="31">
        <v>479</v>
      </c>
      <c r="D240" s="24">
        <v>179</v>
      </c>
      <c r="E240" s="24">
        <v>403</v>
      </c>
      <c r="F240" s="8">
        <v>44.4</v>
      </c>
      <c r="G240" s="9">
        <v>184</v>
      </c>
      <c r="H240" s="8">
        <v>35.5</v>
      </c>
      <c r="I240" s="8">
        <v>56</v>
      </c>
      <c r="J240" s="8">
        <v>71</v>
      </c>
      <c r="K240" s="8">
        <v>75</v>
      </c>
      <c r="L240" s="9">
        <v>36</v>
      </c>
      <c r="M240" s="9">
        <v>117</v>
      </c>
      <c r="N240" s="9">
        <v>153</v>
      </c>
      <c r="O240" s="9">
        <v>51</v>
      </c>
      <c r="P240" s="9">
        <v>46</v>
      </c>
      <c r="Q240" s="9">
        <v>31</v>
      </c>
      <c r="R240" s="9">
        <v>15</v>
      </c>
      <c r="S240" s="9">
        <v>46</v>
      </c>
      <c r="T240" s="8">
        <v>816</v>
      </c>
      <c r="U240" s="8">
        <v>2</v>
      </c>
      <c r="V240" s="8">
        <v>0</v>
      </c>
      <c r="W240" s="7">
        <v>0</v>
      </c>
      <c r="X240" s="7">
        <v>113.4</v>
      </c>
      <c r="Y240" s="7">
        <v>112.3</v>
      </c>
      <c r="Z240" s="7">
        <v>1.1000000000000001</v>
      </c>
      <c r="AA240" s="7">
        <v>9</v>
      </c>
      <c r="AB240" s="7">
        <v>1.07</v>
      </c>
      <c r="AC240" s="7">
        <v>9.1999999999999993</v>
      </c>
      <c r="AD240" s="7">
        <v>3.9</v>
      </c>
      <c r="AE240" s="7">
        <v>13.9</v>
      </c>
      <c r="AF240" s="7">
        <v>8.6</v>
      </c>
      <c r="AG240" s="7">
        <v>8.6999999999999993</v>
      </c>
      <c r="AH240" s="7">
        <v>52.5</v>
      </c>
      <c r="AI240" s="7">
        <v>54.9</v>
      </c>
      <c r="AJ240" s="7">
        <v>23.1</v>
      </c>
      <c r="AK240" s="7">
        <v>100.93</v>
      </c>
      <c r="AL240" s="7">
        <v>10.8</v>
      </c>
      <c r="AM240" s="7">
        <v>1729</v>
      </c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1"/>
    </row>
    <row r="241" spans="1:64" ht="13">
      <c r="A241" s="6" t="s">
        <v>521</v>
      </c>
      <c r="B241" s="6" t="s">
        <v>522</v>
      </c>
      <c r="C241" s="31">
        <v>474</v>
      </c>
      <c r="D241" s="24">
        <v>192</v>
      </c>
      <c r="E241" s="24">
        <v>437</v>
      </c>
      <c r="F241" s="8">
        <v>43.9</v>
      </c>
      <c r="G241" s="9">
        <v>222</v>
      </c>
      <c r="H241" s="8">
        <v>33.5</v>
      </c>
      <c r="I241" s="8">
        <v>15</v>
      </c>
      <c r="J241" s="8">
        <v>22</v>
      </c>
      <c r="K241" s="8">
        <v>68.2</v>
      </c>
      <c r="L241" s="9">
        <v>52</v>
      </c>
      <c r="M241" s="9">
        <v>200</v>
      </c>
      <c r="N241" s="9">
        <v>252</v>
      </c>
      <c r="O241" s="9">
        <v>207</v>
      </c>
      <c r="P241" s="9">
        <v>74</v>
      </c>
      <c r="Q241" s="9">
        <v>126</v>
      </c>
      <c r="R241" s="9">
        <v>30</v>
      </c>
      <c r="S241" s="9">
        <v>200</v>
      </c>
      <c r="T241" s="8">
        <v>1480</v>
      </c>
      <c r="U241" s="8">
        <v>0</v>
      </c>
      <c r="V241" s="8">
        <v>0</v>
      </c>
      <c r="W241" s="7">
        <v>3.5</v>
      </c>
      <c r="X241" s="7">
        <v>113.8</v>
      </c>
      <c r="Y241" s="7">
        <v>106</v>
      </c>
      <c r="Z241" s="7">
        <v>7.8</v>
      </c>
      <c r="AA241" s="7">
        <v>15.3</v>
      </c>
      <c r="AB241" s="7">
        <v>2.84</v>
      </c>
      <c r="AC241" s="7">
        <v>28.7</v>
      </c>
      <c r="AD241" s="7">
        <v>3.1</v>
      </c>
      <c r="AE241" s="7">
        <v>11.1</v>
      </c>
      <c r="AF241" s="7">
        <v>7.2</v>
      </c>
      <c r="AG241" s="7">
        <v>10.1</v>
      </c>
      <c r="AH241" s="7">
        <v>52.5</v>
      </c>
      <c r="AI241" s="7">
        <v>53.1</v>
      </c>
      <c r="AJ241" s="7">
        <v>12.6</v>
      </c>
      <c r="AK241" s="7">
        <v>99.24</v>
      </c>
      <c r="AL241" s="7">
        <v>7</v>
      </c>
      <c r="AM241" s="7">
        <v>3675</v>
      </c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1"/>
    </row>
    <row r="242" spans="1:64" ht="13">
      <c r="A242" s="6" t="s">
        <v>523</v>
      </c>
      <c r="B242" s="6" t="s">
        <v>524</v>
      </c>
      <c r="C242" s="31">
        <v>470</v>
      </c>
      <c r="D242" s="24">
        <v>165</v>
      </c>
      <c r="E242" s="24">
        <v>375</v>
      </c>
      <c r="F242" s="8">
        <v>44.2</v>
      </c>
      <c r="G242" s="9">
        <v>295</v>
      </c>
      <c r="H242" s="8">
        <v>38.6</v>
      </c>
      <c r="I242" s="8">
        <v>30</v>
      </c>
      <c r="J242" s="8">
        <v>35</v>
      </c>
      <c r="K242" s="8">
        <v>82.4</v>
      </c>
      <c r="L242" s="9">
        <v>55</v>
      </c>
      <c r="M242" s="9">
        <v>165</v>
      </c>
      <c r="N242" s="9">
        <v>215</v>
      </c>
      <c r="O242" s="9">
        <v>160</v>
      </c>
      <c r="P242" s="9">
        <v>55</v>
      </c>
      <c r="Q242" s="9">
        <v>25</v>
      </c>
      <c r="R242" s="9">
        <v>10</v>
      </c>
      <c r="S242" s="9">
        <v>105</v>
      </c>
      <c r="T242" s="8">
        <v>1030</v>
      </c>
      <c r="U242" s="8">
        <v>0</v>
      </c>
      <c r="V242" s="8">
        <v>0</v>
      </c>
      <c r="W242" s="7">
        <v>4.4000000000000004</v>
      </c>
      <c r="X242" s="7">
        <v>120.1</v>
      </c>
      <c r="Y242" s="7">
        <v>112.2</v>
      </c>
      <c r="Z242" s="7">
        <v>7.9</v>
      </c>
      <c r="AA242" s="7">
        <v>15.7</v>
      </c>
      <c r="AB242" s="7">
        <v>2.93</v>
      </c>
      <c r="AC242" s="7">
        <v>26.4</v>
      </c>
      <c r="AD242" s="7">
        <v>4.0999999999999996</v>
      </c>
      <c r="AE242" s="7">
        <v>11.8</v>
      </c>
      <c r="AF242" s="7">
        <v>8.1</v>
      </c>
      <c r="AG242" s="7">
        <v>9</v>
      </c>
      <c r="AH242" s="7">
        <v>59.4</v>
      </c>
      <c r="AI242" s="7">
        <v>60.7</v>
      </c>
      <c r="AJ242" s="7">
        <v>14.3</v>
      </c>
      <c r="AK242" s="7">
        <v>101.34</v>
      </c>
      <c r="AL242" s="7">
        <v>8.3000000000000007</v>
      </c>
      <c r="AM242" s="7">
        <v>2691</v>
      </c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1"/>
    </row>
    <row r="243" spans="1:64" ht="13">
      <c r="A243" s="6" t="s">
        <v>525</v>
      </c>
      <c r="B243" s="6" t="s">
        <v>526</v>
      </c>
      <c r="C243" s="31">
        <v>461</v>
      </c>
      <c r="D243" s="24">
        <v>166</v>
      </c>
      <c r="E243" s="24">
        <v>418</v>
      </c>
      <c r="F243" s="8">
        <v>40</v>
      </c>
      <c r="G243" s="9">
        <v>310</v>
      </c>
      <c r="H243" s="8">
        <v>35.299999999999997</v>
      </c>
      <c r="I243" s="8">
        <v>14</v>
      </c>
      <c r="J243" s="8">
        <v>22</v>
      </c>
      <c r="K243" s="8">
        <v>71.400000000000006</v>
      </c>
      <c r="L243" s="9">
        <v>22</v>
      </c>
      <c r="M243" s="9">
        <v>72</v>
      </c>
      <c r="N243" s="9">
        <v>94</v>
      </c>
      <c r="O243" s="9">
        <v>101</v>
      </c>
      <c r="P243" s="9">
        <v>43</v>
      </c>
      <c r="Q243" s="9">
        <v>50</v>
      </c>
      <c r="R243" s="9">
        <v>14</v>
      </c>
      <c r="S243" s="9">
        <v>151</v>
      </c>
      <c r="T243" s="8">
        <v>871</v>
      </c>
      <c r="U243" s="8">
        <v>0</v>
      </c>
      <c r="V243" s="8">
        <v>0</v>
      </c>
      <c r="W243" s="7">
        <v>0.7</v>
      </c>
      <c r="X243" s="7">
        <v>111.8</v>
      </c>
      <c r="Y243" s="7">
        <v>110.7</v>
      </c>
      <c r="Z243" s="7">
        <v>1.1000000000000001</v>
      </c>
      <c r="AA243" s="7">
        <v>9</v>
      </c>
      <c r="AB243" s="7">
        <v>2.39</v>
      </c>
      <c r="AC243" s="7">
        <v>17.2</v>
      </c>
      <c r="AD243" s="7">
        <v>1.3</v>
      </c>
      <c r="AE243" s="7">
        <v>4.5</v>
      </c>
      <c r="AF243" s="7">
        <v>2.9</v>
      </c>
      <c r="AG243" s="7">
        <v>7.2</v>
      </c>
      <c r="AH243" s="7">
        <v>53</v>
      </c>
      <c r="AI243" s="7">
        <v>53.6</v>
      </c>
      <c r="AJ243" s="7">
        <v>13.1</v>
      </c>
      <c r="AK243" s="7">
        <v>100.07</v>
      </c>
      <c r="AL243" s="7">
        <v>3.9</v>
      </c>
      <c r="AM243" s="7">
        <v>3190</v>
      </c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1"/>
    </row>
    <row r="244" spans="1:64" ht="13">
      <c r="A244" s="6" t="s">
        <v>527</v>
      </c>
      <c r="B244" s="6" t="s">
        <v>528</v>
      </c>
      <c r="C244" s="31">
        <v>458</v>
      </c>
      <c r="D244" s="24">
        <v>173</v>
      </c>
      <c r="E244" s="24">
        <v>360</v>
      </c>
      <c r="F244" s="8">
        <v>47.2</v>
      </c>
      <c r="G244" s="9">
        <v>188</v>
      </c>
      <c r="H244" s="8">
        <v>40.5</v>
      </c>
      <c r="I244" s="8">
        <v>45</v>
      </c>
      <c r="J244" s="8">
        <v>68</v>
      </c>
      <c r="K244" s="8">
        <v>66.7</v>
      </c>
      <c r="L244" s="9">
        <v>23</v>
      </c>
      <c r="M244" s="9">
        <v>203</v>
      </c>
      <c r="N244" s="9">
        <v>233</v>
      </c>
      <c r="O244" s="9">
        <v>113</v>
      </c>
      <c r="P244" s="9">
        <v>75</v>
      </c>
      <c r="Q244" s="9">
        <v>53</v>
      </c>
      <c r="R244" s="9">
        <v>23</v>
      </c>
      <c r="S244" s="9">
        <v>113</v>
      </c>
      <c r="T244" s="8">
        <v>1058</v>
      </c>
      <c r="U244" s="8">
        <v>0</v>
      </c>
      <c r="V244" s="8">
        <v>0</v>
      </c>
      <c r="W244" s="7">
        <v>-1.9</v>
      </c>
      <c r="X244" s="7">
        <v>107</v>
      </c>
      <c r="Y244" s="7">
        <v>112.1</v>
      </c>
      <c r="Z244" s="7">
        <v>-5</v>
      </c>
      <c r="AA244" s="7">
        <v>12.9</v>
      </c>
      <c r="AB244" s="7">
        <v>1.41</v>
      </c>
      <c r="AC244" s="7">
        <v>19.100000000000001</v>
      </c>
      <c r="AD244" s="7">
        <v>2.1</v>
      </c>
      <c r="AE244" s="7">
        <v>17.8</v>
      </c>
      <c r="AF244" s="7">
        <v>9.8000000000000007</v>
      </c>
      <c r="AG244" s="7">
        <v>13.5</v>
      </c>
      <c r="AH244" s="7">
        <v>57.6</v>
      </c>
      <c r="AI244" s="7">
        <v>59</v>
      </c>
      <c r="AJ244" s="7">
        <v>16.5</v>
      </c>
      <c r="AK244" s="7">
        <v>103.23</v>
      </c>
      <c r="AL244" s="7">
        <v>8.6999999999999993</v>
      </c>
      <c r="AM244" s="7">
        <v>2544</v>
      </c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1"/>
    </row>
    <row r="245" spans="1:64" ht="13">
      <c r="A245" s="6" t="s">
        <v>529</v>
      </c>
      <c r="B245" s="6" t="s">
        <v>530</v>
      </c>
      <c r="C245" s="31">
        <v>455</v>
      </c>
      <c r="D245" s="24">
        <v>158</v>
      </c>
      <c r="E245" s="24">
        <v>337</v>
      </c>
      <c r="F245" s="8">
        <v>47.5</v>
      </c>
      <c r="G245" s="9">
        <v>145</v>
      </c>
      <c r="H245" s="8">
        <v>42.3</v>
      </c>
      <c r="I245" s="8">
        <v>79</v>
      </c>
      <c r="J245" s="8">
        <v>112</v>
      </c>
      <c r="K245" s="8">
        <v>67.8</v>
      </c>
      <c r="L245" s="9">
        <v>92</v>
      </c>
      <c r="M245" s="9">
        <v>172</v>
      </c>
      <c r="N245" s="9">
        <v>257</v>
      </c>
      <c r="O245" s="9">
        <v>158</v>
      </c>
      <c r="P245" s="9">
        <v>86</v>
      </c>
      <c r="Q245" s="9">
        <v>59</v>
      </c>
      <c r="R245" s="9">
        <v>20</v>
      </c>
      <c r="S245" s="9">
        <v>132</v>
      </c>
      <c r="T245" s="8">
        <v>1175</v>
      </c>
      <c r="U245" s="8">
        <v>2</v>
      </c>
      <c r="V245" s="8">
        <v>0</v>
      </c>
      <c r="W245" s="7">
        <v>1.9</v>
      </c>
      <c r="X245" s="7">
        <v>115</v>
      </c>
      <c r="Y245" s="7">
        <v>111.2</v>
      </c>
      <c r="Z245" s="7">
        <v>3.8</v>
      </c>
      <c r="AA245" s="7">
        <v>15</v>
      </c>
      <c r="AB245" s="7">
        <v>1.84</v>
      </c>
      <c r="AC245" s="7">
        <v>24.9</v>
      </c>
      <c r="AD245" s="7">
        <v>6.3</v>
      </c>
      <c r="AE245" s="7">
        <v>12</v>
      </c>
      <c r="AF245" s="7">
        <v>9.1</v>
      </c>
      <c r="AG245" s="7">
        <v>13.5</v>
      </c>
      <c r="AH245" s="7">
        <v>56.4</v>
      </c>
      <c r="AI245" s="7">
        <v>59.1</v>
      </c>
      <c r="AJ245" s="7">
        <v>14</v>
      </c>
      <c r="AK245" s="7">
        <v>103.86</v>
      </c>
      <c r="AL245" s="7">
        <v>8.1</v>
      </c>
      <c r="AM245" s="7">
        <v>2926</v>
      </c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1"/>
    </row>
    <row r="246" spans="1:64" ht="13">
      <c r="A246" s="6" t="s">
        <v>531</v>
      </c>
      <c r="B246" s="6" t="s">
        <v>532</v>
      </c>
      <c r="C246" s="31">
        <v>454</v>
      </c>
      <c r="D246" s="24">
        <v>168</v>
      </c>
      <c r="E246" s="24">
        <v>352</v>
      </c>
      <c r="F246" s="8">
        <v>47.7</v>
      </c>
      <c r="G246" s="9">
        <v>107</v>
      </c>
      <c r="H246" s="8">
        <v>30.5</v>
      </c>
      <c r="I246" s="8">
        <v>87</v>
      </c>
      <c r="J246" s="8">
        <v>128</v>
      </c>
      <c r="K246" s="8">
        <v>66.400000000000006</v>
      </c>
      <c r="L246" s="9">
        <v>87</v>
      </c>
      <c r="M246" s="9">
        <v>311</v>
      </c>
      <c r="N246" s="9">
        <v>398</v>
      </c>
      <c r="O246" s="9">
        <v>117</v>
      </c>
      <c r="P246" s="9">
        <v>97</v>
      </c>
      <c r="Q246" s="9">
        <v>41</v>
      </c>
      <c r="R246" s="9">
        <v>36</v>
      </c>
      <c r="S246" s="9">
        <v>128</v>
      </c>
      <c r="T246" s="8">
        <v>1229</v>
      </c>
      <c r="U246" s="8">
        <v>10</v>
      </c>
      <c r="V246" s="8">
        <v>0</v>
      </c>
      <c r="W246" s="7">
        <v>-3.6</v>
      </c>
      <c r="X246" s="7">
        <v>106.1</v>
      </c>
      <c r="Y246" s="7">
        <v>115.1</v>
      </c>
      <c r="Z246" s="7">
        <v>-9</v>
      </c>
      <c r="AA246" s="7">
        <v>16.7</v>
      </c>
      <c r="AB246" s="7">
        <v>1.19</v>
      </c>
      <c r="AC246" s="7">
        <v>18.600000000000001</v>
      </c>
      <c r="AD246" s="7">
        <v>7.7</v>
      </c>
      <c r="AE246" s="7">
        <v>28.5</v>
      </c>
      <c r="AF246" s="7">
        <v>18.100000000000001</v>
      </c>
      <c r="AG246" s="7">
        <v>15.7</v>
      </c>
      <c r="AH246" s="7">
        <v>52.3</v>
      </c>
      <c r="AI246" s="7">
        <v>55.5</v>
      </c>
      <c r="AJ246" s="7">
        <v>20.2</v>
      </c>
      <c r="AK246" s="7">
        <v>99.79</v>
      </c>
      <c r="AL246" s="7">
        <v>11.6</v>
      </c>
      <c r="AM246" s="7">
        <v>2216</v>
      </c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1"/>
    </row>
    <row r="247" spans="1:64" ht="13">
      <c r="A247" s="6" t="s">
        <v>533</v>
      </c>
      <c r="B247" s="6" t="s">
        <v>534</v>
      </c>
      <c r="C247" s="31">
        <v>452</v>
      </c>
      <c r="D247" s="24">
        <v>141</v>
      </c>
      <c r="E247" s="24">
        <v>315</v>
      </c>
      <c r="F247" s="8">
        <v>44.4</v>
      </c>
      <c r="G247" s="9">
        <v>78</v>
      </c>
      <c r="H247" s="8">
        <v>29.9</v>
      </c>
      <c r="I247" s="8">
        <v>148</v>
      </c>
      <c r="J247" s="8">
        <v>169</v>
      </c>
      <c r="K247" s="8">
        <v>88.2</v>
      </c>
      <c r="L247" s="9">
        <v>36</v>
      </c>
      <c r="M247" s="9">
        <v>120</v>
      </c>
      <c r="N247" s="9">
        <v>156</v>
      </c>
      <c r="O247" s="9">
        <v>86</v>
      </c>
      <c r="P247" s="9">
        <v>63</v>
      </c>
      <c r="Q247" s="9">
        <v>13</v>
      </c>
      <c r="R247" s="9">
        <v>17</v>
      </c>
      <c r="S247" s="9">
        <v>42</v>
      </c>
      <c r="T247" s="8">
        <v>800</v>
      </c>
      <c r="U247" s="8">
        <v>7</v>
      </c>
      <c r="V247" s="8">
        <v>1</v>
      </c>
      <c r="W247" s="7">
        <v>-3</v>
      </c>
      <c r="X247" s="7">
        <v>104</v>
      </c>
      <c r="Y247" s="7">
        <v>109.5</v>
      </c>
      <c r="Z247" s="7">
        <v>-5.5</v>
      </c>
      <c r="AA247" s="7">
        <v>28.6</v>
      </c>
      <c r="AB247" s="7">
        <v>1.37</v>
      </c>
      <c r="AC247" s="7">
        <v>15.8</v>
      </c>
      <c r="AD247" s="7">
        <v>6.2</v>
      </c>
      <c r="AE247" s="7">
        <v>20.7</v>
      </c>
      <c r="AF247" s="7">
        <v>13.4</v>
      </c>
      <c r="AG247" s="7">
        <v>11.5</v>
      </c>
      <c r="AH247" s="7">
        <v>48.1</v>
      </c>
      <c r="AI247" s="7">
        <v>58</v>
      </c>
      <c r="AJ247" s="7">
        <v>34.200000000000003</v>
      </c>
      <c r="AK247" s="7">
        <v>99.95</v>
      </c>
      <c r="AL247" s="7">
        <v>16.899999999999999</v>
      </c>
      <c r="AM247" s="7">
        <v>1200</v>
      </c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1"/>
    </row>
    <row r="248" spans="1:64" ht="13">
      <c r="A248" s="6" t="s">
        <v>535</v>
      </c>
      <c r="B248" s="6" t="s">
        <v>536</v>
      </c>
      <c r="C248" s="31">
        <v>449</v>
      </c>
      <c r="D248" s="24">
        <v>163</v>
      </c>
      <c r="E248" s="24">
        <v>352</v>
      </c>
      <c r="F248" s="8">
        <v>46.9</v>
      </c>
      <c r="G248" s="9">
        <v>88</v>
      </c>
      <c r="H248" s="8">
        <v>33</v>
      </c>
      <c r="I248" s="8">
        <v>92</v>
      </c>
      <c r="J248" s="8">
        <v>123</v>
      </c>
      <c r="K248" s="8">
        <v>76.2</v>
      </c>
      <c r="L248" s="9">
        <v>35</v>
      </c>
      <c r="M248" s="9">
        <v>123</v>
      </c>
      <c r="N248" s="9">
        <v>158</v>
      </c>
      <c r="O248" s="9">
        <v>114</v>
      </c>
      <c r="P248" s="9">
        <v>84</v>
      </c>
      <c r="Q248" s="9">
        <v>26</v>
      </c>
      <c r="R248" s="9">
        <v>13</v>
      </c>
      <c r="S248" s="9">
        <v>97</v>
      </c>
      <c r="T248" s="8">
        <v>849</v>
      </c>
      <c r="U248" s="8">
        <v>1</v>
      </c>
      <c r="V248" s="8">
        <v>0</v>
      </c>
      <c r="W248" s="7">
        <v>-1.5</v>
      </c>
      <c r="X248" s="7">
        <v>105.1</v>
      </c>
      <c r="Y248" s="7">
        <v>109.4</v>
      </c>
      <c r="Z248" s="7">
        <v>-4.4000000000000004</v>
      </c>
      <c r="AA248" s="7">
        <v>21.1</v>
      </c>
      <c r="AB248" s="7">
        <v>1.39</v>
      </c>
      <c r="AC248" s="7">
        <v>19.100000000000001</v>
      </c>
      <c r="AD248" s="7">
        <v>3.8</v>
      </c>
      <c r="AE248" s="7">
        <v>13.2</v>
      </c>
      <c r="AF248" s="7">
        <v>8.4</v>
      </c>
      <c r="AG248" s="7">
        <v>13.8</v>
      </c>
      <c r="AH248" s="7">
        <v>51</v>
      </c>
      <c r="AI248" s="7">
        <v>55.7</v>
      </c>
      <c r="AJ248" s="7">
        <v>22.6</v>
      </c>
      <c r="AK248" s="7">
        <v>97.8</v>
      </c>
      <c r="AL248" s="7">
        <v>10.1</v>
      </c>
      <c r="AM248" s="7">
        <v>1867</v>
      </c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1"/>
    </row>
    <row r="249" spans="1:64" ht="13">
      <c r="A249" s="6" t="s">
        <v>537</v>
      </c>
      <c r="B249" s="6" t="s">
        <v>538</v>
      </c>
      <c r="C249" s="31">
        <v>449</v>
      </c>
      <c r="D249" s="24">
        <v>168</v>
      </c>
      <c r="E249" s="24">
        <v>382</v>
      </c>
      <c r="F249" s="8">
        <v>43.6</v>
      </c>
      <c r="G249" s="9">
        <v>139</v>
      </c>
      <c r="H249" s="8">
        <v>35</v>
      </c>
      <c r="I249" s="8">
        <v>67</v>
      </c>
      <c r="J249" s="8">
        <v>84</v>
      </c>
      <c r="K249" s="8">
        <v>78.8</v>
      </c>
      <c r="L249" s="9">
        <v>29</v>
      </c>
      <c r="M249" s="9">
        <v>105</v>
      </c>
      <c r="N249" s="9">
        <v>134</v>
      </c>
      <c r="O249" s="9">
        <v>92</v>
      </c>
      <c r="P249" s="9">
        <v>50</v>
      </c>
      <c r="Q249" s="9">
        <v>55</v>
      </c>
      <c r="R249" s="9">
        <v>8</v>
      </c>
      <c r="S249" s="9">
        <v>71</v>
      </c>
      <c r="T249" s="8">
        <v>882</v>
      </c>
      <c r="U249" s="8">
        <v>0</v>
      </c>
      <c r="V249" s="8">
        <v>0</v>
      </c>
      <c r="W249" s="7">
        <v>-3.3</v>
      </c>
      <c r="X249" s="7">
        <v>108.6</v>
      </c>
      <c r="Y249" s="7">
        <v>114.8</v>
      </c>
      <c r="Z249" s="7">
        <v>-6.2</v>
      </c>
      <c r="AA249" s="7">
        <v>14</v>
      </c>
      <c r="AB249" s="7">
        <v>1.77</v>
      </c>
      <c r="AC249" s="7">
        <v>16.3</v>
      </c>
      <c r="AD249" s="7">
        <v>2.6</v>
      </c>
      <c r="AE249" s="7">
        <v>10.7</v>
      </c>
      <c r="AF249" s="7">
        <v>6.5</v>
      </c>
      <c r="AG249" s="7">
        <v>9.1999999999999993</v>
      </c>
      <c r="AH249" s="7">
        <v>50</v>
      </c>
      <c r="AI249" s="7">
        <v>53.5</v>
      </c>
      <c r="AJ249" s="7">
        <v>19.899999999999999</v>
      </c>
      <c r="AK249" s="7">
        <v>99.87</v>
      </c>
      <c r="AL249" s="7">
        <v>8.5</v>
      </c>
      <c r="AM249" s="7">
        <v>2060</v>
      </c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1"/>
    </row>
    <row r="250" spans="1:64" ht="13">
      <c r="A250" s="6" t="s">
        <v>539</v>
      </c>
      <c r="B250" s="6" t="s">
        <v>540</v>
      </c>
      <c r="C250" s="31">
        <v>449</v>
      </c>
      <c r="D250" s="24">
        <v>159</v>
      </c>
      <c r="E250" s="24">
        <v>373</v>
      </c>
      <c r="F250" s="8">
        <v>42</v>
      </c>
      <c r="G250" s="9">
        <v>235</v>
      </c>
      <c r="H250" s="8">
        <v>34</v>
      </c>
      <c r="I250" s="8">
        <v>55</v>
      </c>
      <c r="J250" s="8">
        <v>83</v>
      </c>
      <c r="K250" s="8">
        <v>70</v>
      </c>
      <c r="L250" s="9">
        <v>83</v>
      </c>
      <c r="M250" s="9">
        <v>235</v>
      </c>
      <c r="N250" s="9">
        <v>317</v>
      </c>
      <c r="O250" s="9">
        <v>83</v>
      </c>
      <c r="P250" s="9">
        <v>41</v>
      </c>
      <c r="Q250" s="9">
        <v>41</v>
      </c>
      <c r="R250" s="9">
        <v>21</v>
      </c>
      <c r="S250" s="9">
        <v>83</v>
      </c>
      <c r="T250" s="8">
        <v>1104</v>
      </c>
      <c r="U250" s="8">
        <v>1</v>
      </c>
      <c r="V250" s="8">
        <v>0</v>
      </c>
      <c r="W250" s="7">
        <v>-1</v>
      </c>
      <c r="X250" s="7">
        <v>111.8</v>
      </c>
      <c r="Y250" s="7">
        <v>113.8</v>
      </c>
      <c r="Z250" s="7">
        <v>-2</v>
      </c>
      <c r="AA250" s="7">
        <v>8.4</v>
      </c>
      <c r="AB250" s="7">
        <v>2.1</v>
      </c>
      <c r="AC250" s="7">
        <v>15.4</v>
      </c>
      <c r="AD250" s="7">
        <v>5.6</v>
      </c>
      <c r="AE250" s="7">
        <v>17.7</v>
      </c>
      <c r="AF250" s="7">
        <v>11.4</v>
      </c>
      <c r="AG250" s="7">
        <v>7.3</v>
      </c>
      <c r="AH250" s="7">
        <v>52.8</v>
      </c>
      <c r="AI250" s="7">
        <v>55.1</v>
      </c>
      <c r="AJ250" s="7">
        <v>13.9</v>
      </c>
      <c r="AK250" s="7">
        <v>100.04</v>
      </c>
      <c r="AL250" s="7">
        <v>8.6999999999999993</v>
      </c>
      <c r="AM250" s="7">
        <v>2807</v>
      </c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1"/>
    </row>
    <row r="251" spans="1:64" ht="13">
      <c r="A251" s="6" t="s">
        <v>541</v>
      </c>
      <c r="B251" s="6" t="s">
        <v>542</v>
      </c>
      <c r="C251" s="31">
        <v>447</v>
      </c>
      <c r="D251" s="24">
        <v>161</v>
      </c>
      <c r="E251" s="24">
        <v>395</v>
      </c>
      <c r="F251" s="8">
        <v>40.5</v>
      </c>
      <c r="G251" s="9">
        <v>187</v>
      </c>
      <c r="H251" s="8">
        <v>34.9</v>
      </c>
      <c r="I251" s="8">
        <v>68</v>
      </c>
      <c r="J251" s="8">
        <v>83</v>
      </c>
      <c r="K251" s="8">
        <v>79.5</v>
      </c>
      <c r="L251" s="9">
        <v>57</v>
      </c>
      <c r="M251" s="9">
        <v>99</v>
      </c>
      <c r="N251" s="9">
        <v>161</v>
      </c>
      <c r="O251" s="9">
        <v>83</v>
      </c>
      <c r="P251" s="9">
        <v>52</v>
      </c>
      <c r="Q251" s="9">
        <v>42</v>
      </c>
      <c r="R251" s="9">
        <v>10</v>
      </c>
      <c r="S251" s="9">
        <v>94</v>
      </c>
      <c r="T251" s="8">
        <v>874</v>
      </c>
      <c r="U251" s="8">
        <v>1</v>
      </c>
      <c r="V251" s="8">
        <v>0</v>
      </c>
      <c r="W251" s="7">
        <v>-1.6</v>
      </c>
      <c r="X251" s="7">
        <v>108.6</v>
      </c>
      <c r="Y251" s="7">
        <v>111.1</v>
      </c>
      <c r="Z251" s="7">
        <v>-2.4</v>
      </c>
      <c r="AA251" s="7">
        <v>10.5</v>
      </c>
      <c r="AB251" s="7">
        <v>1.62</v>
      </c>
      <c r="AC251" s="7">
        <v>14.5</v>
      </c>
      <c r="AD251" s="7">
        <v>4.9000000000000004</v>
      </c>
      <c r="AE251" s="7">
        <v>9.1999999999999993</v>
      </c>
      <c r="AF251" s="7">
        <v>7</v>
      </c>
      <c r="AG251" s="7">
        <v>8.9</v>
      </c>
      <c r="AH251" s="7">
        <v>48.7</v>
      </c>
      <c r="AI251" s="7">
        <v>52.3</v>
      </c>
      <c r="AJ251" s="7">
        <v>17.899999999999999</v>
      </c>
      <c r="AK251" s="7">
        <v>101.29</v>
      </c>
      <c r="AL251" s="7">
        <v>6.8</v>
      </c>
      <c r="AM251" s="7">
        <v>2316</v>
      </c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1"/>
    </row>
    <row r="252" spans="1:64" ht="13">
      <c r="A252" s="6" t="s">
        <v>543</v>
      </c>
      <c r="B252" s="6" t="s">
        <v>544</v>
      </c>
      <c r="C252" s="31">
        <v>444</v>
      </c>
      <c r="D252" s="24">
        <v>172</v>
      </c>
      <c r="E252" s="24">
        <v>378</v>
      </c>
      <c r="F252" s="8">
        <v>45.5</v>
      </c>
      <c r="G252" s="9">
        <v>189</v>
      </c>
      <c r="H252" s="8">
        <v>36.299999999999997</v>
      </c>
      <c r="I252" s="8">
        <v>31</v>
      </c>
      <c r="J252" s="8">
        <v>44</v>
      </c>
      <c r="K252" s="8">
        <v>69.599999999999994</v>
      </c>
      <c r="L252" s="9">
        <v>44</v>
      </c>
      <c r="M252" s="9">
        <v>101</v>
      </c>
      <c r="N252" s="9">
        <v>150</v>
      </c>
      <c r="O252" s="9">
        <v>70</v>
      </c>
      <c r="P252" s="9">
        <v>48</v>
      </c>
      <c r="Q252" s="9">
        <v>44</v>
      </c>
      <c r="R252" s="9">
        <v>18</v>
      </c>
      <c r="S252" s="9">
        <v>97</v>
      </c>
      <c r="T252" s="8">
        <v>858</v>
      </c>
      <c r="U252" s="8">
        <v>1</v>
      </c>
      <c r="V252" s="8">
        <v>0</v>
      </c>
      <c r="W252" s="7">
        <v>-6.4</v>
      </c>
      <c r="X252" s="7">
        <v>111.6</v>
      </c>
      <c r="Y252" s="7">
        <v>123.2</v>
      </c>
      <c r="Z252" s="7">
        <v>-11.6</v>
      </c>
      <c r="AA252" s="7">
        <v>8.4</v>
      </c>
      <c r="AB252" s="7">
        <v>1.41</v>
      </c>
      <c r="AC252" s="7">
        <v>13.3</v>
      </c>
      <c r="AD252" s="7">
        <v>3.8</v>
      </c>
      <c r="AE252" s="7">
        <v>9.4</v>
      </c>
      <c r="AF252" s="7">
        <v>6.5</v>
      </c>
      <c r="AG252" s="7">
        <v>9.5</v>
      </c>
      <c r="AH252" s="7">
        <v>54.6</v>
      </c>
      <c r="AI252" s="7">
        <v>55.9</v>
      </c>
      <c r="AJ252" s="7">
        <v>16.5</v>
      </c>
      <c r="AK252" s="7">
        <v>99.43</v>
      </c>
      <c r="AL252" s="7">
        <v>6.2</v>
      </c>
      <c r="AM252" s="7">
        <v>2391</v>
      </c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1"/>
    </row>
    <row r="253" spans="1:64" ht="13">
      <c r="A253" s="6" t="s">
        <v>545</v>
      </c>
      <c r="B253" s="6" t="s">
        <v>546</v>
      </c>
      <c r="C253" s="31">
        <v>443</v>
      </c>
      <c r="D253" s="24">
        <v>150</v>
      </c>
      <c r="E253" s="24">
        <v>375</v>
      </c>
      <c r="F253" s="8">
        <v>40.200000000000003</v>
      </c>
      <c r="G253" s="9">
        <v>225</v>
      </c>
      <c r="H253" s="8">
        <v>33.5</v>
      </c>
      <c r="I253" s="8">
        <v>68</v>
      </c>
      <c r="J253" s="8">
        <v>83</v>
      </c>
      <c r="K253" s="8">
        <v>83.3</v>
      </c>
      <c r="L253" s="9">
        <v>53</v>
      </c>
      <c r="M253" s="9">
        <v>165</v>
      </c>
      <c r="N253" s="9">
        <v>218</v>
      </c>
      <c r="O253" s="9">
        <v>68</v>
      </c>
      <c r="P253" s="9">
        <v>53</v>
      </c>
      <c r="Q253" s="9">
        <v>30</v>
      </c>
      <c r="R253" s="9">
        <v>15</v>
      </c>
      <c r="S253" s="9">
        <v>98</v>
      </c>
      <c r="T253" s="8">
        <v>878</v>
      </c>
      <c r="U253" s="8">
        <v>0</v>
      </c>
      <c r="V253" s="8">
        <v>0</v>
      </c>
      <c r="W253" s="7">
        <v>0.2</v>
      </c>
      <c r="X253" s="7">
        <v>110.7</v>
      </c>
      <c r="Y253" s="7">
        <v>109.5</v>
      </c>
      <c r="Z253" s="7">
        <v>1.2</v>
      </c>
      <c r="AA253" s="7">
        <v>7.1</v>
      </c>
      <c r="AB253" s="7">
        <v>1.23</v>
      </c>
      <c r="AC253" s="7">
        <v>12.3</v>
      </c>
      <c r="AD253" s="7">
        <v>4</v>
      </c>
      <c r="AE253" s="7">
        <v>12.7</v>
      </c>
      <c r="AF253" s="7">
        <v>8.3000000000000007</v>
      </c>
      <c r="AG253" s="7">
        <v>10.1</v>
      </c>
      <c r="AH253" s="7">
        <v>50.4</v>
      </c>
      <c r="AI253" s="7">
        <v>54.4</v>
      </c>
      <c r="AJ253" s="7">
        <v>15.2</v>
      </c>
      <c r="AK253" s="7">
        <v>103.26</v>
      </c>
      <c r="AL253" s="7">
        <v>6.8</v>
      </c>
      <c r="AM253" s="7">
        <v>2653</v>
      </c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1"/>
    </row>
    <row r="254" spans="1:64" ht="13">
      <c r="A254" s="6" t="s">
        <v>547</v>
      </c>
      <c r="B254" s="6" t="s">
        <v>548</v>
      </c>
      <c r="C254" s="31">
        <v>442</v>
      </c>
      <c r="D254" s="24">
        <v>163</v>
      </c>
      <c r="E254" s="24">
        <v>340</v>
      </c>
      <c r="F254" s="8">
        <v>47.8</v>
      </c>
      <c r="G254" s="9">
        <v>184</v>
      </c>
      <c r="H254" s="8">
        <v>45.6</v>
      </c>
      <c r="I254" s="8">
        <v>34</v>
      </c>
      <c r="J254" s="8">
        <v>41</v>
      </c>
      <c r="K254" s="8">
        <v>84.6</v>
      </c>
      <c r="L254" s="9">
        <v>27</v>
      </c>
      <c r="M254" s="9">
        <v>88</v>
      </c>
      <c r="N254" s="9">
        <v>116</v>
      </c>
      <c r="O254" s="9">
        <v>61</v>
      </c>
      <c r="P254" s="9">
        <v>34</v>
      </c>
      <c r="Q254" s="9">
        <v>27</v>
      </c>
      <c r="R254" s="9">
        <v>7</v>
      </c>
      <c r="S254" s="9">
        <v>61</v>
      </c>
      <c r="T254" s="8">
        <v>741</v>
      </c>
      <c r="U254" s="8">
        <v>0</v>
      </c>
      <c r="V254" s="8">
        <v>0</v>
      </c>
      <c r="W254" s="7">
        <v>-2.5</v>
      </c>
      <c r="X254" s="7">
        <v>106.2</v>
      </c>
      <c r="Y254" s="7">
        <v>114.1</v>
      </c>
      <c r="Z254" s="7">
        <v>-8</v>
      </c>
      <c r="AA254" s="7">
        <v>8.6999999999999993</v>
      </c>
      <c r="AB254" s="7">
        <v>1.88</v>
      </c>
      <c r="AC254" s="7">
        <v>13.4</v>
      </c>
      <c r="AD254" s="7">
        <v>2</v>
      </c>
      <c r="AE254" s="7">
        <v>8.1</v>
      </c>
      <c r="AF254" s="7">
        <v>4.9000000000000004</v>
      </c>
      <c r="AG254" s="7">
        <v>7.1</v>
      </c>
      <c r="AH254" s="7">
        <v>59.9</v>
      </c>
      <c r="AI254" s="7">
        <v>61.6</v>
      </c>
      <c r="AJ254" s="7">
        <v>15.1</v>
      </c>
      <c r="AK254" s="7">
        <v>99.1</v>
      </c>
      <c r="AL254" s="7">
        <v>8.3000000000000007</v>
      </c>
      <c r="AM254" s="7">
        <v>2194</v>
      </c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1"/>
    </row>
    <row r="255" spans="1:64" ht="13">
      <c r="A255" s="6" t="s">
        <v>549</v>
      </c>
      <c r="B255" s="6" t="s">
        <v>550</v>
      </c>
      <c r="C255" s="31">
        <v>442</v>
      </c>
      <c r="D255" s="24">
        <v>160</v>
      </c>
      <c r="E255" s="24">
        <v>307</v>
      </c>
      <c r="F255" s="8">
        <v>51.5</v>
      </c>
      <c r="G255" s="9">
        <v>198</v>
      </c>
      <c r="H255" s="8">
        <v>40.5</v>
      </c>
      <c r="I255" s="8">
        <v>45</v>
      </c>
      <c r="J255" s="8">
        <v>58</v>
      </c>
      <c r="K255" s="8">
        <v>78.599999999999994</v>
      </c>
      <c r="L255" s="9">
        <v>32</v>
      </c>
      <c r="M255" s="9">
        <v>96</v>
      </c>
      <c r="N255" s="9">
        <v>128</v>
      </c>
      <c r="O255" s="9">
        <v>38</v>
      </c>
      <c r="P255" s="9">
        <v>32</v>
      </c>
      <c r="Q255" s="9">
        <v>19</v>
      </c>
      <c r="R255" s="9">
        <v>58</v>
      </c>
      <c r="S255" s="9">
        <v>77</v>
      </c>
      <c r="T255" s="8">
        <v>832</v>
      </c>
      <c r="U255" s="8">
        <v>0</v>
      </c>
      <c r="V255" s="8">
        <v>0</v>
      </c>
      <c r="W255" s="7">
        <v>0.4</v>
      </c>
      <c r="X255" s="7">
        <v>111</v>
      </c>
      <c r="Y255" s="7">
        <v>110.1</v>
      </c>
      <c r="Z255" s="7">
        <v>0.8</v>
      </c>
      <c r="AA255" s="7">
        <v>7.7</v>
      </c>
      <c r="AB255" s="7">
        <v>1.1200000000000001</v>
      </c>
      <c r="AC255" s="7">
        <v>9.4</v>
      </c>
      <c r="AD255" s="7">
        <v>3.9</v>
      </c>
      <c r="AE255" s="7">
        <v>12</v>
      </c>
      <c r="AF255" s="7">
        <v>8.1</v>
      </c>
      <c r="AG255" s="7">
        <v>8.4</v>
      </c>
      <c r="AH255" s="7">
        <v>64.8</v>
      </c>
      <c r="AI255" s="7">
        <v>66.599999999999994</v>
      </c>
      <c r="AJ255" s="7">
        <v>19.399999999999999</v>
      </c>
      <c r="AK255" s="7">
        <v>106.71</v>
      </c>
      <c r="AL255" s="7">
        <v>10.8</v>
      </c>
      <c r="AM255" s="7">
        <v>1668</v>
      </c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1"/>
    </row>
    <row r="256" spans="1:64" ht="13">
      <c r="A256" s="6" t="s">
        <v>551</v>
      </c>
      <c r="B256" s="6" t="s">
        <v>552</v>
      </c>
      <c r="C256" s="31">
        <v>440</v>
      </c>
      <c r="D256" s="24">
        <v>159</v>
      </c>
      <c r="E256" s="24">
        <v>337</v>
      </c>
      <c r="F256" s="8">
        <v>47.5</v>
      </c>
      <c r="G256" s="9">
        <v>133</v>
      </c>
      <c r="H256" s="8">
        <v>36.1</v>
      </c>
      <c r="I256" s="8">
        <v>70</v>
      </c>
      <c r="J256" s="8">
        <v>85</v>
      </c>
      <c r="K256" s="8">
        <v>85.7</v>
      </c>
      <c r="L256" s="9">
        <v>15</v>
      </c>
      <c r="M256" s="9">
        <v>126</v>
      </c>
      <c r="N256" s="9">
        <v>137</v>
      </c>
      <c r="O256" s="9">
        <v>152</v>
      </c>
      <c r="P256" s="9">
        <v>56</v>
      </c>
      <c r="Q256" s="9">
        <v>33</v>
      </c>
      <c r="R256" s="9">
        <v>7</v>
      </c>
      <c r="S256" s="9">
        <v>74</v>
      </c>
      <c r="T256" s="8">
        <v>903</v>
      </c>
      <c r="U256" s="8">
        <v>0</v>
      </c>
      <c r="V256" s="8">
        <v>0</v>
      </c>
      <c r="W256" s="7">
        <v>1.1000000000000001</v>
      </c>
      <c r="X256" s="7">
        <v>114.1</v>
      </c>
      <c r="Y256" s="7">
        <v>112.6</v>
      </c>
      <c r="Z256" s="7">
        <v>1.5</v>
      </c>
      <c r="AA256" s="7">
        <v>25.1</v>
      </c>
      <c r="AB256" s="7">
        <v>2.68</v>
      </c>
      <c r="AC256" s="7">
        <v>26</v>
      </c>
      <c r="AD256" s="7">
        <v>1.5</v>
      </c>
      <c r="AE256" s="7">
        <v>13.2</v>
      </c>
      <c r="AF256" s="7">
        <v>7.6</v>
      </c>
      <c r="AG256" s="7">
        <v>9.6999999999999993</v>
      </c>
      <c r="AH256" s="7">
        <v>54.6</v>
      </c>
      <c r="AI256" s="7">
        <v>58.8</v>
      </c>
      <c r="AJ256" s="7">
        <v>20.8</v>
      </c>
      <c r="AK256" s="7">
        <v>104.75</v>
      </c>
      <c r="AL256" s="7">
        <v>11.4</v>
      </c>
      <c r="AM256" s="7">
        <v>1845</v>
      </c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1"/>
    </row>
    <row r="257" spans="1:64" ht="13">
      <c r="A257" s="6" t="s">
        <v>553</v>
      </c>
      <c r="B257" s="6" t="s">
        <v>554</v>
      </c>
      <c r="C257" s="31">
        <v>438</v>
      </c>
      <c r="D257" s="24">
        <v>190</v>
      </c>
      <c r="E257" s="24">
        <v>277</v>
      </c>
      <c r="F257" s="8">
        <v>66.8</v>
      </c>
      <c r="G257" s="8">
        <v>0</v>
      </c>
      <c r="H257" s="8">
        <v>0</v>
      </c>
      <c r="I257" s="8">
        <v>66</v>
      </c>
      <c r="J257" s="8">
        <v>95</v>
      </c>
      <c r="K257" s="8">
        <v>69.099999999999994</v>
      </c>
      <c r="L257" s="9">
        <v>190</v>
      </c>
      <c r="M257" s="9">
        <v>197</v>
      </c>
      <c r="N257" s="9">
        <v>387</v>
      </c>
      <c r="O257" s="9">
        <v>117</v>
      </c>
      <c r="P257" s="9">
        <v>29</v>
      </c>
      <c r="Q257" s="9">
        <v>37</v>
      </c>
      <c r="R257" s="9">
        <v>73</v>
      </c>
      <c r="S257" s="9">
        <v>117</v>
      </c>
      <c r="T257" s="8">
        <v>1372</v>
      </c>
      <c r="U257" s="8">
        <v>3</v>
      </c>
      <c r="V257" s="8">
        <v>0</v>
      </c>
      <c r="W257" s="7">
        <v>5.5</v>
      </c>
      <c r="X257" s="7">
        <v>121.2</v>
      </c>
      <c r="Y257" s="7">
        <v>106.3</v>
      </c>
      <c r="Z257" s="7">
        <v>14.9</v>
      </c>
      <c r="AA257" s="7">
        <v>11.5</v>
      </c>
      <c r="AB257" s="7">
        <v>3.77</v>
      </c>
      <c r="AC257" s="7">
        <v>24.8</v>
      </c>
      <c r="AD257" s="7">
        <v>13.4</v>
      </c>
      <c r="AE257" s="7">
        <v>13.9</v>
      </c>
      <c r="AF257" s="7">
        <v>13.6</v>
      </c>
      <c r="AG257" s="7">
        <v>6.6</v>
      </c>
      <c r="AH257" s="7">
        <v>66.8</v>
      </c>
      <c r="AI257" s="7">
        <v>68.3</v>
      </c>
      <c r="AJ257" s="7">
        <v>11.1</v>
      </c>
      <c r="AK257" s="7">
        <v>95.87</v>
      </c>
      <c r="AL257" s="7">
        <v>11.4</v>
      </c>
      <c r="AM257" s="7">
        <v>2717</v>
      </c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1"/>
    </row>
    <row r="258" spans="1:64" ht="13">
      <c r="A258" s="6" t="s">
        <v>555</v>
      </c>
      <c r="B258" s="6" t="s">
        <v>556</v>
      </c>
      <c r="C258" s="31">
        <v>436</v>
      </c>
      <c r="D258" s="24">
        <v>181</v>
      </c>
      <c r="E258" s="24">
        <v>335</v>
      </c>
      <c r="F258" s="8">
        <v>53.9</v>
      </c>
      <c r="G258" s="9">
        <v>47</v>
      </c>
      <c r="H258" s="8">
        <v>28.6</v>
      </c>
      <c r="I258" s="8">
        <v>60</v>
      </c>
      <c r="J258" s="8">
        <v>107</v>
      </c>
      <c r="K258" s="8">
        <v>59.6</v>
      </c>
      <c r="L258" s="9">
        <v>214</v>
      </c>
      <c r="M258" s="9">
        <v>308</v>
      </c>
      <c r="N258" s="9">
        <v>529</v>
      </c>
      <c r="O258" s="9">
        <v>74</v>
      </c>
      <c r="P258" s="9">
        <v>74</v>
      </c>
      <c r="Q258" s="9">
        <v>34</v>
      </c>
      <c r="R258" s="9">
        <v>107</v>
      </c>
      <c r="S258" s="9">
        <v>188</v>
      </c>
      <c r="T258" s="8">
        <v>1541</v>
      </c>
      <c r="U258" s="8">
        <v>8</v>
      </c>
      <c r="V258" s="8">
        <v>0</v>
      </c>
      <c r="W258" s="7">
        <v>0</v>
      </c>
      <c r="X258" s="7">
        <v>109.9</v>
      </c>
      <c r="Y258" s="7">
        <v>109.7</v>
      </c>
      <c r="Z258" s="7">
        <v>0.2</v>
      </c>
      <c r="AA258" s="7">
        <v>8.1</v>
      </c>
      <c r="AB258" s="7">
        <v>1.07</v>
      </c>
      <c r="AC258" s="7">
        <v>14.6</v>
      </c>
      <c r="AD258" s="7">
        <v>14.4</v>
      </c>
      <c r="AE258" s="7">
        <v>21.8</v>
      </c>
      <c r="AF258" s="7">
        <v>17.899999999999999</v>
      </c>
      <c r="AG258" s="7">
        <v>13.7</v>
      </c>
      <c r="AH258" s="7">
        <v>56</v>
      </c>
      <c r="AI258" s="7">
        <v>57.4</v>
      </c>
      <c r="AJ258" s="7">
        <v>13.5</v>
      </c>
      <c r="AK258" s="7">
        <v>101.68</v>
      </c>
      <c r="AL258" s="7">
        <v>10.5</v>
      </c>
      <c r="AM258" s="7">
        <v>2801</v>
      </c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1"/>
    </row>
    <row r="259" spans="1:64" ht="13">
      <c r="A259" s="6" t="s">
        <v>557</v>
      </c>
      <c r="B259" s="6" t="s">
        <v>558</v>
      </c>
      <c r="C259" s="31">
        <v>435</v>
      </c>
      <c r="D259" s="24">
        <v>173</v>
      </c>
      <c r="E259" s="24">
        <v>352</v>
      </c>
      <c r="F259" s="8">
        <v>48.3</v>
      </c>
      <c r="G259" s="9">
        <v>173</v>
      </c>
      <c r="H259" s="8">
        <v>38.6</v>
      </c>
      <c r="I259" s="8">
        <v>28</v>
      </c>
      <c r="J259" s="8">
        <v>41</v>
      </c>
      <c r="K259" s="8">
        <v>71.8</v>
      </c>
      <c r="L259" s="9">
        <v>62</v>
      </c>
      <c r="M259" s="9">
        <v>179</v>
      </c>
      <c r="N259" s="9">
        <v>242</v>
      </c>
      <c r="O259" s="9">
        <v>97</v>
      </c>
      <c r="P259" s="9">
        <v>41</v>
      </c>
      <c r="Q259" s="9">
        <v>41</v>
      </c>
      <c r="R259" s="9">
        <v>7</v>
      </c>
      <c r="S259" s="9">
        <v>110</v>
      </c>
      <c r="T259" s="8">
        <v>994</v>
      </c>
      <c r="U259" s="8">
        <v>2</v>
      </c>
      <c r="V259" s="8">
        <v>0</v>
      </c>
      <c r="W259" s="7">
        <v>4.8</v>
      </c>
      <c r="X259" s="7">
        <v>118.7</v>
      </c>
      <c r="Y259" s="7">
        <v>104.1</v>
      </c>
      <c r="Z259" s="7">
        <v>14.5</v>
      </c>
      <c r="AA259" s="7">
        <v>11.1</v>
      </c>
      <c r="AB259" s="7">
        <v>2.4900000000000002</v>
      </c>
      <c r="AC259" s="7">
        <v>19.2</v>
      </c>
      <c r="AD259" s="7">
        <v>5.6</v>
      </c>
      <c r="AE259" s="7">
        <v>14.8</v>
      </c>
      <c r="AF259" s="7">
        <v>10.199999999999999</v>
      </c>
      <c r="AG259" s="7">
        <v>7.7</v>
      </c>
      <c r="AH259" s="7">
        <v>57.6</v>
      </c>
      <c r="AI259" s="7">
        <v>58.7</v>
      </c>
      <c r="AJ259" s="7">
        <v>15.1</v>
      </c>
      <c r="AK259" s="7">
        <v>101.26</v>
      </c>
      <c r="AL259" s="7">
        <v>9.3000000000000007</v>
      </c>
      <c r="AM259" s="7">
        <v>2379</v>
      </c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1"/>
    </row>
    <row r="260" spans="1:64" ht="13">
      <c r="A260" s="6" t="s">
        <v>559</v>
      </c>
      <c r="B260" s="6" t="s">
        <v>560</v>
      </c>
      <c r="C260" s="31">
        <v>432</v>
      </c>
      <c r="D260" s="24">
        <v>173</v>
      </c>
      <c r="E260" s="24">
        <v>317</v>
      </c>
      <c r="F260" s="8">
        <v>55.9</v>
      </c>
      <c r="G260" s="9">
        <v>50</v>
      </c>
      <c r="H260" s="8">
        <v>32.1</v>
      </c>
      <c r="I260" s="8">
        <v>65</v>
      </c>
      <c r="J260" s="8">
        <v>86</v>
      </c>
      <c r="K260" s="8">
        <v>75.900000000000006</v>
      </c>
      <c r="L260" s="9">
        <v>130</v>
      </c>
      <c r="M260" s="9">
        <v>266</v>
      </c>
      <c r="N260" s="9">
        <v>396</v>
      </c>
      <c r="O260" s="9">
        <v>122</v>
      </c>
      <c r="P260" s="9">
        <v>65</v>
      </c>
      <c r="Q260" s="9">
        <v>29</v>
      </c>
      <c r="R260" s="9">
        <v>101</v>
      </c>
      <c r="S260" s="9">
        <v>180</v>
      </c>
      <c r="T260" s="8">
        <v>1418</v>
      </c>
      <c r="U260" s="8">
        <v>2</v>
      </c>
      <c r="V260" s="8">
        <v>0</v>
      </c>
      <c r="W260" s="7">
        <v>0.1</v>
      </c>
      <c r="X260" s="7">
        <v>109.1</v>
      </c>
      <c r="Y260" s="7">
        <v>108.6</v>
      </c>
      <c r="Z260" s="7">
        <v>0.5</v>
      </c>
      <c r="AA260" s="7">
        <v>12</v>
      </c>
      <c r="AB260" s="7">
        <v>1.81</v>
      </c>
      <c r="AC260" s="7">
        <v>22.7</v>
      </c>
      <c r="AD260" s="7">
        <v>8.6</v>
      </c>
      <c r="AE260" s="7">
        <v>17</v>
      </c>
      <c r="AF260" s="7">
        <v>12.9</v>
      </c>
      <c r="AG260" s="7">
        <v>12.5</v>
      </c>
      <c r="AH260" s="7">
        <v>58.6</v>
      </c>
      <c r="AI260" s="7">
        <v>61.6</v>
      </c>
      <c r="AJ260" s="7">
        <v>12.1</v>
      </c>
      <c r="AK260" s="7">
        <v>101.75</v>
      </c>
      <c r="AL260" s="7">
        <v>9.6</v>
      </c>
      <c r="AM260" s="7">
        <v>3036</v>
      </c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1"/>
    </row>
    <row r="261" spans="1:64" ht="13">
      <c r="A261" s="6" t="s">
        <v>561</v>
      </c>
      <c r="B261" s="6" t="s">
        <v>562</v>
      </c>
      <c r="C261" s="31">
        <v>429</v>
      </c>
      <c r="D261" s="24">
        <v>165</v>
      </c>
      <c r="E261" s="24">
        <v>323</v>
      </c>
      <c r="F261" s="8">
        <v>50.8</v>
      </c>
      <c r="G261" s="9">
        <v>145</v>
      </c>
      <c r="H261" s="8">
        <v>32.4</v>
      </c>
      <c r="I261" s="8">
        <v>53</v>
      </c>
      <c r="J261" s="8">
        <v>66</v>
      </c>
      <c r="K261" s="8">
        <v>85.9</v>
      </c>
      <c r="L261" s="9">
        <v>86</v>
      </c>
      <c r="M261" s="9">
        <v>165</v>
      </c>
      <c r="N261" s="9">
        <v>251</v>
      </c>
      <c r="O261" s="9">
        <v>53</v>
      </c>
      <c r="P261" s="9">
        <v>33</v>
      </c>
      <c r="Q261" s="9">
        <v>26</v>
      </c>
      <c r="R261" s="9">
        <v>40</v>
      </c>
      <c r="S261" s="9">
        <v>79</v>
      </c>
      <c r="T261" s="8">
        <v>990</v>
      </c>
      <c r="U261" s="8">
        <v>1</v>
      </c>
      <c r="V261" s="8">
        <v>0</v>
      </c>
      <c r="W261" s="7">
        <v>-0.6</v>
      </c>
      <c r="X261" s="7">
        <v>109.9</v>
      </c>
      <c r="Y261" s="7">
        <v>113.4</v>
      </c>
      <c r="Z261" s="7">
        <v>-3.5</v>
      </c>
      <c r="AA261" s="7">
        <v>7.8</v>
      </c>
      <c r="AB261" s="7">
        <v>1.77</v>
      </c>
      <c r="AC261" s="7">
        <v>12.4</v>
      </c>
      <c r="AD261" s="7">
        <v>8.5</v>
      </c>
      <c r="AE261" s="7">
        <v>16.899999999999999</v>
      </c>
      <c r="AF261" s="7">
        <v>12.8</v>
      </c>
      <c r="AG261" s="7">
        <v>7</v>
      </c>
      <c r="AH261" s="7">
        <v>58.3</v>
      </c>
      <c r="AI261" s="7">
        <v>61.4</v>
      </c>
      <c r="AJ261" s="7">
        <v>16.2</v>
      </c>
      <c r="AK261" s="7">
        <v>102.45</v>
      </c>
      <c r="AL261" s="7">
        <v>11</v>
      </c>
      <c r="AM261" s="7">
        <v>2071</v>
      </c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1"/>
    </row>
    <row r="262" spans="1:64" ht="13">
      <c r="A262" s="6" t="s">
        <v>563</v>
      </c>
      <c r="B262" s="6" t="s">
        <v>564</v>
      </c>
      <c r="C262" s="31">
        <v>419</v>
      </c>
      <c r="D262" s="24">
        <v>133</v>
      </c>
      <c r="E262" s="24">
        <v>373</v>
      </c>
      <c r="F262" s="8">
        <v>35.799999999999997</v>
      </c>
      <c r="G262" s="9">
        <v>262</v>
      </c>
      <c r="H262" s="8">
        <v>33.299999999999997</v>
      </c>
      <c r="I262" s="8">
        <v>69</v>
      </c>
      <c r="J262" s="8">
        <v>78</v>
      </c>
      <c r="K262" s="8">
        <v>83.8</v>
      </c>
      <c r="L262" s="9">
        <v>41</v>
      </c>
      <c r="M262" s="9">
        <v>138</v>
      </c>
      <c r="N262" s="9">
        <v>179</v>
      </c>
      <c r="O262" s="9">
        <v>41</v>
      </c>
      <c r="P262" s="9">
        <v>46</v>
      </c>
      <c r="Q262" s="9">
        <v>23</v>
      </c>
      <c r="R262" s="9">
        <v>23</v>
      </c>
      <c r="S262" s="9">
        <v>106</v>
      </c>
      <c r="T262" s="8">
        <v>787</v>
      </c>
      <c r="U262" s="8">
        <v>0</v>
      </c>
      <c r="V262" s="8">
        <v>0</v>
      </c>
      <c r="W262" s="7">
        <v>-5.7</v>
      </c>
      <c r="X262" s="7">
        <v>103</v>
      </c>
      <c r="Y262" s="7">
        <v>115.2</v>
      </c>
      <c r="Z262" s="7">
        <v>-12.3</v>
      </c>
      <c r="AA262" s="7">
        <v>6.3</v>
      </c>
      <c r="AB262" s="7">
        <v>0.87</v>
      </c>
      <c r="AC262" s="7">
        <v>8.1</v>
      </c>
      <c r="AD262" s="7">
        <v>3.7</v>
      </c>
      <c r="AE262" s="7">
        <v>13.8</v>
      </c>
      <c r="AF262" s="7">
        <v>8.4</v>
      </c>
      <c r="AG262" s="7">
        <v>9.3000000000000007</v>
      </c>
      <c r="AH262" s="7">
        <v>47.4</v>
      </c>
      <c r="AI262" s="7">
        <v>51.6</v>
      </c>
      <c r="AJ262" s="7">
        <v>18.5</v>
      </c>
      <c r="AK262" s="7">
        <v>97.91</v>
      </c>
      <c r="AL262" s="7">
        <v>6.1</v>
      </c>
      <c r="AM262" s="7">
        <v>2126</v>
      </c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1"/>
    </row>
    <row r="263" spans="1:64" ht="13">
      <c r="A263" s="6" t="s">
        <v>565</v>
      </c>
      <c r="B263" s="6" t="s">
        <v>566</v>
      </c>
      <c r="C263" s="31">
        <v>419</v>
      </c>
      <c r="D263" s="24">
        <v>148</v>
      </c>
      <c r="E263" s="24">
        <v>348</v>
      </c>
      <c r="F263" s="8">
        <v>42.9</v>
      </c>
      <c r="G263" s="9">
        <v>260</v>
      </c>
      <c r="H263" s="8">
        <v>40.5</v>
      </c>
      <c r="I263" s="8">
        <v>18</v>
      </c>
      <c r="J263" s="8">
        <v>18</v>
      </c>
      <c r="K263" s="8">
        <v>88.9</v>
      </c>
      <c r="L263" s="9">
        <v>35</v>
      </c>
      <c r="M263" s="9">
        <v>124</v>
      </c>
      <c r="N263" s="9">
        <v>159</v>
      </c>
      <c r="O263" s="9">
        <v>53</v>
      </c>
      <c r="P263" s="9">
        <v>30</v>
      </c>
      <c r="Q263" s="9">
        <v>18</v>
      </c>
      <c r="R263" s="9">
        <v>12</v>
      </c>
      <c r="S263" s="9">
        <v>94</v>
      </c>
      <c r="T263" s="8">
        <v>743</v>
      </c>
      <c r="U263" s="8">
        <v>0</v>
      </c>
      <c r="V263" s="8">
        <v>0</v>
      </c>
      <c r="W263" s="7">
        <v>-3.1</v>
      </c>
      <c r="X263" s="7">
        <v>105</v>
      </c>
      <c r="Y263" s="7">
        <v>113.4</v>
      </c>
      <c r="Z263" s="7">
        <v>-8.4</v>
      </c>
      <c r="AA263" s="7">
        <v>7.3</v>
      </c>
      <c r="AB263" s="7">
        <v>1.96</v>
      </c>
      <c r="AC263" s="7">
        <v>12.2</v>
      </c>
      <c r="AD263" s="7">
        <v>3.2</v>
      </c>
      <c r="AE263" s="7">
        <v>11.7</v>
      </c>
      <c r="AF263" s="7">
        <v>7.2</v>
      </c>
      <c r="AG263" s="7">
        <v>6.2</v>
      </c>
      <c r="AH263" s="7">
        <v>58.1</v>
      </c>
      <c r="AI263" s="7">
        <v>59</v>
      </c>
      <c r="AJ263" s="7">
        <v>14.7</v>
      </c>
      <c r="AK263" s="7">
        <v>102.32</v>
      </c>
      <c r="AL263" s="7">
        <v>7.2</v>
      </c>
      <c r="AM263" s="7">
        <v>2222</v>
      </c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1"/>
    </row>
    <row r="264" spans="1:64" ht="13">
      <c r="A264" s="6" t="s">
        <v>567</v>
      </c>
      <c r="B264" s="6" t="s">
        <v>568</v>
      </c>
      <c r="C264" s="31">
        <v>416</v>
      </c>
      <c r="D264" s="24">
        <v>158</v>
      </c>
      <c r="E264" s="24">
        <v>350</v>
      </c>
      <c r="F264" s="8">
        <v>45.5</v>
      </c>
      <c r="G264" s="9">
        <v>165</v>
      </c>
      <c r="H264" s="8">
        <v>34.1</v>
      </c>
      <c r="I264" s="8">
        <v>46</v>
      </c>
      <c r="J264" s="8">
        <v>53</v>
      </c>
      <c r="K264" s="8">
        <v>83.6</v>
      </c>
      <c r="L264" s="9">
        <v>112</v>
      </c>
      <c r="M264" s="9">
        <v>205</v>
      </c>
      <c r="N264" s="9">
        <v>317</v>
      </c>
      <c r="O264" s="9">
        <v>86</v>
      </c>
      <c r="P264" s="9">
        <v>53</v>
      </c>
      <c r="Q264" s="9">
        <v>40</v>
      </c>
      <c r="R264" s="9">
        <v>7</v>
      </c>
      <c r="S264" s="9">
        <v>79</v>
      </c>
      <c r="T264" s="8">
        <v>1016</v>
      </c>
      <c r="U264" s="8">
        <v>4</v>
      </c>
      <c r="V264" s="8">
        <v>0</v>
      </c>
      <c r="W264" s="7">
        <v>-5</v>
      </c>
      <c r="X264" s="7">
        <v>107.2</v>
      </c>
      <c r="Y264" s="7">
        <v>119</v>
      </c>
      <c r="Z264" s="7">
        <v>-11.8</v>
      </c>
      <c r="AA264" s="7">
        <v>10.1</v>
      </c>
      <c r="AB264" s="7">
        <v>1.73</v>
      </c>
      <c r="AC264" s="7">
        <v>17.2</v>
      </c>
      <c r="AD264" s="7">
        <v>8.1999999999999993</v>
      </c>
      <c r="AE264" s="7">
        <v>16.600000000000001</v>
      </c>
      <c r="AF264" s="7">
        <v>12.2</v>
      </c>
      <c r="AG264" s="7">
        <v>10</v>
      </c>
      <c r="AH264" s="7">
        <v>53.6</v>
      </c>
      <c r="AI264" s="7">
        <v>56.3</v>
      </c>
      <c r="AJ264" s="7">
        <v>14</v>
      </c>
      <c r="AK264" s="7">
        <v>100.95</v>
      </c>
      <c r="AL264" s="7">
        <v>8.6999999999999993</v>
      </c>
      <c r="AM264" s="7">
        <v>2595</v>
      </c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1"/>
    </row>
    <row r="265" spans="1:64" ht="13">
      <c r="A265" s="6" t="s">
        <v>569</v>
      </c>
      <c r="B265" s="6" t="s">
        <v>570</v>
      </c>
      <c r="C265" s="31">
        <v>410</v>
      </c>
      <c r="D265" s="24">
        <v>143</v>
      </c>
      <c r="E265" s="24">
        <v>291</v>
      </c>
      <c r="F265" s="8">
        <v>49.7</v>
      </c>
      <c r="G265" s="9">
        <v>205</v>
      </c>
      <c r="H265" s="8">
        <v>43.7</v>
      </c>
      <c r="I265" s="8">
        <v>34</v>
      </c>
      <c r="J265" s="8">
        <v>46</v>
      </c>
      <c r="K265" s="8">
        <v>71.099999999999994</v>
      </c>
      <c r="L265" s="9">
        <v>23</v>
      </c>
      <c r="M265" s="9">
        <v>137</v>
      </c>
      <c r="N265" s="9">
        <v>154</v>
      </c>
      <c r="O265" s="9">
        <v>148</v>
      </c>
      <c r="P265" s="9">
        <v>51</v>
      </c>
      <c r="Q265" s="9">
        <v>34</v>
      </c>
      <c r="R265" s="9">
        <v>29</v>
      </c>
      <c r="S265" s="9">
        <v>103</v>
      </c>
      <c r="T265" s="8">
        <v>958</v>
      </c>
      <c r="U265" s="8">
        <v>1</v>
      </c>
      <c r="V265" s="8">
        <v>0</v>
      </c>
      <c r="W265" s="7">
        <v>-1.2</v>
      </c>
      <c r="X265" s="7">
        <v>109.7</v>
      </c>
      <c r="Y265" s="7">
        <v>111.6</v>
      </c>
      <c r="Z265" s="7">
        <v>-1.9</v>
      </c>
      <c r="AA265" s="7">
        <v>17.5</v>
      </c>
      <c r="AB265" s="7">
        <v>2.94</v>
      </c>
      <c r="AC265" s="7">
        <v>28.9</v>
      </c>
      <c r="AD265" s="7">
        <v>1.9</v>
      </c>
      <c r="AE265" s="7">
        <v>11.6</v>
      </c>
      <c r="AF265" s="7">
        <v>6.7</v>
      </c>
      <c r="AG265" s="7">
        <v>9.8000000000000007</v>
      </c>
      <c r="AH265" s="7">
        <v>65.099999999999994</v>
      </c>
      <c r="AI265" s="7">
        <v>66.099999999999994</v>
      </c>
      <c r="AJ265" s="7">
        <v>13.1</v>
      </c>
      <c r="AK265" s="7">
        <v>102.63</v>
      </c>
      <c r="AL265" s="7">
        <v>8.6</v>
      </c>
      <c r="AM265" s="7">
        <v>2456</v>
      </c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1"/>
    </row>
    <row r="266" spans="1:64" ht="13">
      <c r="A266" s="6" t="s">
        <v>571</v>
      </c>
      <c r="B266" s="6" t="s">
        <v>572</v>
      </c>
      <c r="C266" s="31">
        <v>410</v>
      </c>
      <c r="D266" s="24">
        <v>154</v>
      </c>
      <c r="E266" s="24">
        <v>301</v>
      </c>
      <c r="F266" s="8">
        <v>50.7</v>
      </c>
      <c r="G266" s="9">
        <v>109</v>
      </c>
      <c r="H266" s="8">
        <v>30.2</v>
      </c>
      <c r="I266" s="8">
        <v>70</v>
      </c>
      <c r="J266" s="8">
        <v>77</v>
      </c>
      <c r="K266" s="8">
        <v>88.5</v>
      </c>
      <c r="L266" s="9">
        <v>102</v>
      </c>
      <c r="M266" s="9">
        <v>186</v>
      </c>
      <c r="N266" s="9">
        <v>288</v>
      </c>
      <c r="O266" s="9">
        <v>109</v>
      </c>
      <c r="P266" s="9">
        <v>58</v>
      </c>
      <c r="Q266" s="9">
        <v>32</v>
      </c>
      <c r="R266" s="9">
        <v>32</v>
      </c>
      <c r="S266" s="9">
        <v>134</v>
      </c>
      <c r="T266" s="8">
        <v>1030</v>
      </c>
      <c r="U266" s="8">
        <v>4</v>
      </c>
      <c r="V266" s="8">
        <v>0</v>
      </c>
      <c r="W266" s="7">
        <v>-0.5</v>
      </c>
      <c r="X266" s="7">
        <v>109.4</v>
      </c>
      <c r="Y266" s="7">
        <v>109.9</v>
      </c>
      <c r="Z266" s="7">
        <v>-0.4</v>
      </c>
      <c r="AA266" s="7">
        <v>16.2</v>
      </c>
      <c r="AB266" s="7">
        <v>1.85</v>
      </c>
      <c r="AC266" s="7">
        <v>21.9</v>
      </c>
      <c r="AD266" s="7">
        <v>9.6</v>
      </c>
      <c r="AE266" s="7">
        <v>17.7</v>
      </c>
      <c r="AF266" s="7">
        <v>13.6</v>
      </c>
      <c r="AG266" s="7">
        <v>11.8</v>
      </c>
      <c r="AH266" s="7">
        <v>56</v>
      </c>
      <c r="AI266" s="7">
        <v>60.5</v>
      </c>
      <c r="AJ266" s="7">
        <v>16.600000000000001</v>
      </c>
      <c r="AK266" s="7">
        <v>102.77</v>
      </c>
      <c r="AL266" s="7">
        <v>10.6</v>
      </c>
      <c r="AM266" s="7">
        <v>2083</v>
      </c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1"/>
    </row>
    <row r="267" spans="1:64" ht="13">
      <c r="A267" s="6" t="s">
        <v>573</v>
      </c>
      <c r="B267" s="6" t="s">
        <v>574</v>
      </c>
      <c r="C267" s="31">
        <v>409</v>
      </c>
      <c r="D267" s="24">
        <v>174</v>
      </c>
      <c r="E267" s="24">
        <v>304</v>
      </c>
      <c r="F267" s="8">
        <v>57.6</v>
      </c>
      <c r="G267" s="8">
        <v>0</v>
      </c>
      <c r="H267" s="8">
        <v>0</v>
      </c>
      <c r="I267" s="8">
        <v>62</v>
      </c>
      <c r="J267" s="8">
        <v>99</v>
      </c>
      <c r="K267" s="8">
        <v>57.8</v>
      </c>
      <c r="L267" s="9">
        <v>124</v>
      </c>
      <c r="M267" s="9">
        <v>186</v>
      </c>
      <c r="N267" s="9">
        <v>310</v>
      </c>
      <c r="O267" s="9">
        <v>105</v>
      </c>
      <c r="P267" s="9">
        <v>43</v>
      </c>
      <c r="Q267" s="9">
        <v>25</v>
      </c>
      <c r="R267" s="9">
        <v>37</v>
      </c>
      <c r="S267" s="9">
        <v>74</v>
      </c>
      <c r="T267" s="8">
        <v>1073</v>
      </c>
      <c r="U267" s="8">
        <v>4</v>
      </c>
      <c r="V267" s="8">
        <v>0</v>
      </c>
      <c r="W267" s="7">
        <v>-1</v>
      </c>
      <c r="X267" s="7">
        <v>107.8</v>
      </c>
      <c r="Y267" s="7">
        <v>111.3</v>
      </c>
      <c r="Z267" s="7">
        <v>-3.5</v>
      </c>
      <c r="AA267" s="7">
        <v>16.3</v>
      </c>
      <c r="AB267" s="7">
        <v>2.31</v>
      </c>
      <c r="AC267" s="7">
        <v>21.1</v>
      </c>
      <c r="AD267" s="7">
        <v>11.5</v>
      </c>
      <c r="AE267" s="7">
        <v>19.2</v>
      </c>
      <c r="AF267" s="7">
        <v>15.2</v>
      </c>
      <c r="AG267" s="7">
        <v>9.1</v>
      </c>
      <c r="AH267" s="7">
        <v>57.6</v>
      </c>
      <c r="AI267" s="7">
        <v>58.7</v>
      </c>
      <c r="AJ267" s="7">
        <v>16.399999999999999</v>
      </c>
      <c r="AK267" s="7">
        <v>101.53</v>
      </c>
      <c r="AL267" s="7">
        <v>12</v>
      </c>
      <c r="AM267" s="7">
        <v>2050</v>
      </c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1"/>
    </row>
    <row r="268" spans="1:64" ht="13">
      <c r="A268" s="6" t="s">
        <v>575</v>
      </c>
      <c r="B268" s="6" t="s">
        <v>576</v>
      </c>
      <c r="C268" s="31">
        <v>405</v>
      </c>
      <c r="D268" s="24">
        <v>170</v>
      </c>
      <c r="E268" s="24">
        <v>277</v>
      </c>
      <c r="F268" s="8">
        <v>59.6</v>
      </c>
      <c r="G268" s="9">
        <v>7</v>
      </c>
      <c r="H268" s="8">
        <v>0</v>
      </c>
      <c r="I268" s="8">
        <v>71</v>
      </c>
      <c r="J268" s="8">
        <v>114</v>
      </c>
      <c r="K268" s="8">
        <v>59.5</v>
      </c>
      <c r="L268" s="9">
        <v>185</v>
      </c>
      <c r="M268" s="9">
        <v>249</v>
      </c>
      <c r="N268" s="9">
        <v>440</v>
      </c>
      <c r="O268" s="9">
        <v>57</v>
      </c>
      <c r="P268" s="9">
        <v>64</v>
      </c>
      <c r="Q268" s="9">
        <v>43</v>
      </c>
      <c r="R268" s="9">
        <v>43</v>
      </c>
      <c r="S268" s="9">
        <v>107</v>
      </c>
      <c r="T268" s="8">
        <v>1207</v>
      </c>
      <c r="U268" s="8">
        <v>7</v>
      </c>
      <c r="V268" s="8">
        <v>0</v>
      </c>
      <c r="W268" s="7">
        <v>-1.7</v>
      </c>
      <c r="X268" s="7">
        <v>106.9</v>
      </c>
      <c r="Y268" s="7">
        <v>110.3</v>
      </c>
      <c r="Z268" s="7">
        <v>-3.4</v>
      </c>
      <c r="AA268" s="7">
        <v>6.9</v>
      </c>
      <c r="AB268" s="7">
        <v>0.92</v>
      </c>
      <c r="AC268" s="7">
        <v>12.5</v>
      </c>
      <c r="AD268" s="7">
        <v>13.5</v>
      </c>
      <c r="AE268" s="7">
        <v>20.9</v>
      </c>
      <c r="AF268" s="7">
        <v>16.899999999999999</v>
      </c>
      <c r="AG268" s="7">
        <v>13.6</v>
      </c>
      <c r="AH268" s="7">
        <v>59.6</v>
      </c>
      <c r="AI268" s="7">
        <v>60.9</v>
      </c>
      <c r="AJ268" s="7">
        <v>13</v>
      </c>
      <c r="AK268" s="7">
        <v>97.32</v>
      </c>
      <c r="AL268" s="7">
        <v>11.5</v>
      </c>
      <c r="AM268" s="7">
        <v>2498</v>
      </c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1"/>
    </row>
    <row r="269" spans="1:64" ht="13">
      <c r="A269" s="6" t="s">
        <v>577</v>
      </c>
      <c r="B269" s="6" t="s">
        <v>578</v>
      </c>
      <c r="C269" s="31">
        <v>403</v>
      </c>
      <c r="D269" s="24">
        <v>174</v>
      </c>
      <c r="E269" s="24">
        <v>298</v>
      </c>
      <c r="F269" s="8">
        <v>57.4</v>
      </c>
      <c r="G269" s="9">
        <v>93</v>
      </c>
      <c r="H269" s="8">
        <v>32.6</v>
      </c>
      <c r="I269" s="8">
        <v>25</v>
      </c>
      <c r="J269" s="8">
        <v>37</v>
      </c>
      <c r="K269" s="8">
        <v>71.099999999999994</v>
      </c>
      <c r="L269" s="9">
        <v>56</v>
      </c>
      <c r="M269" s="9">
        <v>130</v>
      </c>
      <c r="N269" s="9">
        <v>186</v>
      </c>
      <c r="O269" s="9">
        <v>81</v>
      </c>
      <c r="P269" s="9">
        <v>37</v>
      </c>
      <c r="Q269" s="9">
        <v>50</v>
      </c>
      <c r="R269" s="9">
        <v>19</v>
      </c>
      <c r="S269" s="9">
        <v>105</v>
      </c>
      <c r="T269" s="8">
        <v>918</v>
      </c>
      <c r="U269" s="8">
        <v>0</v>
      </c>
      <c r="V269" s="8">
        <v>0</v>
      </c>
      <c r="W269" s="7">
        <v>0.7</v>
      </c>
      <c r="X269" s="7">
        <v>113.5</v>
      </c>
      <c r="Y269" s="7">
        <v>110.1</v>
      </c>
      <c r="Z269" s="7">
        <v>3.4</v>
      </c>
      <c r="AA269" s="7">
        <v>13.2</v>
      </c>
      <c r="AB269" s="7">
        <v>2.13</v>
      </c>
      <c r="AC269" s="7">
        <v>19.100000000000001</v>
      </c>
      <c r="AD269" s="7">
        <v>5.6</v>
      </c>
      <c r="AE269" s="7">
        <v>13.4</v>
      </c>
      <c r="AF269" s="7">
        <v>9.6</v>
      </c>
      <c r="AG269" s="7">
        <v>9</v>
      </c>
      <c r="AH269" s="7">
        <v>62.6</v>
      </c>
      <c r="AI269" s="7">
        <v>63.5</v>
      </c>
      <c r="AJ269" s="7">
        <v>15.6</v>
      </c>
      <c r="AK269" s="7">
        <v>102.12</v>
      </c>
      <c r="AL269" s="7">
        <v>10.4</v>
      </c>
      <c r="AM269" s="7">
        <v>1963</v>
      </c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1"/>
    </row>
    <row r="270" spans="1:64" ht="13">
      <c r="A270" s="6" t="s">
        <v>579</v>
      </c>
      <c r="B270" s="6" t="s">
        <v>580</v>
      </c>
      <c r="C270" s="31">
        <v>400</v>
      </c>
      <c r="D270" s="24">
        <v>155</v>
      </c>
      <c r="E270" s="24">
        <v>333</v>
      </c>
      <c r="F270" s="8">
        <v>46.5</v>
      </c>
      <c r="G270" s="9">
        <v>115</v>
      </c>
      <c r="H270" s="8">
        <v>37.4</v>
      </c>
      <c r="I270" s="8">
        <v>47</v>
      </c>
      <c r="J270" s="8">
        <v>56</v>
      </c>
      <c r="K270" s="8">
        <v>85.5</v>
      </c>
      <c r="L270" s="9">
        <v>16</v>
      </c>
      <c r="M270" s="9">
        <v>83</v>
      </c>
      <c r="N270" s="9">
        <v>101</v>
      </c>
      <c r="O270" s="9">
        <v>94</v>
      </c>
      <c r="P270" s="9">
        <v>68</v>
      </c>
      <c r="Q270" s="9">
        <v>16</v>
      </c>
      <c r="R270" s="9">
        <v>11</v>
      </c>
      <c r="S270" s="9">
        <v>45</v>
      </c>
      <c r="T270" s="8">
        <v>671</v>
      </c>
      <c r="U270" s="8">
        <v>0</v>
      </c>
      <c r="V270" s="8">
        <v>0</v>
      </c>
      <c r="W270" s="7">
        <v>-7.1</v>
      </c>
      <c r="X270" s="7">
        <v>107</v>
      </c>
      <c r="Y270" s="7">
        <v>117.7</v>
      </c>
      <c r="Z270" s="7">
        <v>-10.7</v>
      </c>
      <c r="AA270" s="7">
        <v>28</v>
      </c>
      <c r="AB270" s="7">
        <v>1.35</v>
      </c>
      <c r="AC270" s="7">
        <v>18</v>
      </c>
      <c r="AD270" s="7">
        <v>2.7</v>
      </c>
      <c r="AE270" s="7">
        <v>14</v>
      </c>
      <c r="AF270" s="7">
        <v>8.3000000000000007</v>
      </c>
      <c r="AG270" s="7">
        <v>13.3</v>
      </c>
      <c r="AH270" s="7">
        <v>53</v>
      </c>
      <c r="AI270" s="7">
        <v>56</v>
      </c>
      <c r="AJ270" s="7">
        <v>30.5</v>
      </c>
      <c r="AK270" s="7">
        <v>97.49</v>
      </c>
      <c r="AL270" s="7">
        <v>12.2</v>
      </c>
      <c r="AM270" s="7">
        <v>1209</v>
      </c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1"/>
    </row>
    <row r="271" spans="1:64" ht="13">
      <c r="A271" s="6" t="s">
        <v>581</v>
      </c>
      <c r="B271" s="6" t="s">
        <v>582</v>
      </c>
      <c r="C271" s="31">
        <v>395</v>
      </c>
      <c r="D271" s="24">
        <v>165</v>
      </c>
      <c r="E271" s="24">
        <v>315</v>
      </c>
      <c r="F271" s="8">
        <v>52.1</v>
      </c>
      <c r="G271" s="9">
        <v>45</v>
      </c>
      <c r="H271" s="8">
        <v>24.4</v>
      </c>
      <c r="I271" s="8">
        <v>55</v>
      </c>
      <c r="J271" s="8">
        <v>75</v>
      </c>
      <c r="K271" s="8">
        <v>75.7</v>
      </c>
      <c r="L271" s="9">
        <v>150</v>
      </c>
      <c r="M271" s="9">
        <v>180</v>
      </c>
      <c r="N271" s="9">
        <v>330</v>
      </c>
      <c r="O271" s="9">
        <v>90</v>
      </c>
      <c r="P271" s="9">
        <v>65</v>
      </c>
      <c r="Q271" s="9">
        <v>40</v>
      </c>
      <c r="R271" s="9">
        <v>40</v>
      </c>
      <c r="S271" s="9">
        <v>115</v>
      </c>
      <c r="T271" s="8">
        <v>1115</v>
      </c>
      <c r="U271" s="8">
        <v>4</v>
      </c>
      <c r="V271" s="8">
        <v>0</v>
      </c>
      <c r="W271" s="7">
        <v>1.3</v>
      </c>
      <c r="X271" s="7">
        <v>109.2</v>
      </c>
      <c r="Y271" s="7">
        <v>107.1</v>
      </c>
      <c r="Z271" s="7">
        <v>2.1</v>
      </c>
      <c r="AA271" s="7">
        <v>15.8</v>
      </c>
      <c r="AB271" s="7">
        <v>1.44</v>
      </c>
      <c r="AC271" s="7">
        <v>18.100000000000001</v>
      </c>
      <c r="AD271" s="7">
        <v>14.9</v>
      </c>
      <c r="AE271" s="7">
        <v>20.2</v>
      </c>
      <c r="AF271" s="7">
        <v>17.399999999999999</v>
      </c>
      <c r="AG271" s="7">
        <v>12.5</v>
      </c>
      <c r="AH271" s="7">
        <v>53.8</v>
      </c>
      <c r="AI271" s="7">
        <v>56.8</v>
      </c>
      <c r="AJ271" s="7">
        <v>18.600000000000001</v>
      </c>
      <c r="AK271" s="7">
        <v>97.35</v>
      </c>
      <c r="AL271" s="7">
        <v>13.4</v>
      </c>
      <c r="AM271" s="7">
        <v>1852</v>
      </c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1"/>
    </row>
    <row r="272" spans="1:64" ht="13">
      <c r="A272" s="6" t="s">
        <v>583</v>
      </c>
      <c r="B272" s="6" t="s">
        <v>584</v>
      </c>
      <c r="C272" s="31">
        <v>391</v>
      </c>
      <c r="D272" s="24">
        <v>158</v>
      </c>
      <c r="E272" s="24">
        <v>359</v>
      </c>
      <c r="F272" s="8">
        <v>43.8</v>
      </c>
      <c r="G272" s="9">
        <v>69</v>
      </c>
      <c r="H272" s="8">
        <v>24.3</v>
      </c>
      <c r="I272" s="8">
        <v>63</v>
      </c>
      <c r="J272" s="8">
        <v>82</v>
      </c>
      <c r="K272" s="8">
        <v>73.2</v>
      </c>
      <c r="L272" s="9">
        <v>107</v>
      </c>
      <c r="M272" s="9">
        <v>202</v>
      </c>
      <c r="N272" s="9">
        <v>309</v>
      </c>
      <c r="O272" s="9">
        <v>145</v>
      </c>
      <c r="P272" s="9">
        <v>69</v>
      </c>
      <c r="Q272" s="9">
        <v>57</v>
      </c>
      <c r="R272" s="9">
        <v>32</v>
      </c>
      <c r="S272" s="9">
        <v>139</v>
      </c>
      <c r="T272" s="8">
        <v>1178</v>
      </c>
      <c r="U272" s="8">
        <v>3</v>
      </c>
      <c r="V272" s="8">
        <v>1</v>
      </c>
      <c r="W272" s="7">
        <v>-3.8</v>
      </c>
      <c r="X272" s="7">
        <v>103.7</v>
      </c>
      <c r="Y272" s="7">
        <v>111.9</v>
      </c>
      <c r="Z272" s="7">
        <v>-8.1999999999999993</v>
      </c>
      <c r="AA272" s="7">
        <v>16</v>
      </c>
      <c r="AB272" s="7">
        <v>2.09</v>
      </c>
      <c r="AC272" s="7">
        <v>24.1</v>
      </c>
      <c r="AD272" s="7">
        <v>7.6</v>
      </c>
      <c r="AE272" s="7">
        <v>15.7</v>
      </c>
      <c r="AF272" s="7">
        <v>11.4</v>
      </c>
      <c r="AG272" s="7">
        <v>11.5</v>
      </c>
      <c r="AH272" s="7">
        <v>46.2</v>
      </c>
      <c r="AI272" s="7">
        <v>49.6</v>
      </c>
      <c r="AJ272" s="7">
        <v>14.5</v>
      </c>
      <c r="AK272" s="7">
        <v>102.69</v>
      </c>
      <c r="AL272" s="7">
        <v>8.3000000000000007</v>
      </c>
      <c r="AM272" s="7">
        <v>2743</v>
      </c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1"/>
    </row>
    <row r="273" spans="1:64" ht="13">
      <c r="A273" s="6" t="s">
        <v>585</v>
      </c>
      <c r="B273" s="6" t="s">
        <v>586</v>
      </c>
      <c r="C273" s="31">
        <v>387</v>
      </c>
      <c r="D273" s="24">
        <v>141</v>
      </c>
      <c r="E273" s="24">
        <v>249</v>
      </c>
      <c r="F273" s="8">
        <v>56.2</v>
      </c>
      <c r="G273" s="9">
        <v>75</v>
      </c>
      <c r="H273" s="8">
        <v>36</v>
      </c>
      <c r="I273" s="8">
        <v>78</v>
      </c>
      <c r="J273" s="8">
        <v>111</v>
      </c>
      <c r="K273" s="8">
        <v>71.8</v>
      </c>
      <c r="L273" s="9">
        <v>39</v>
      </c>
      <c r="M273" s="9">
        <v>108</v>
      </c>
      <c r="N273" s="9">
        <v>147</v>
      </c>
      <c r="O273" s="9">
        <v>42</v>
      </c>
      <c r="P273" s="9">
        <v>48</v>
      </c>
      <c r="Q273" s="9">
        <v>24</v>
      </c>
      <c r="R273" s="9">
        <v>12</v>
      </c>
      <c r="S273" s="9">
        <v>54</v>
      </c>
      <c r="T273" s="8">
        <v>687</v>
      </c>
      <c r="U273" s="8">
        <v>1</v>
      </c>
      <c r="V273" s="8">
        <v>0</v>
      </c>
      <c r="W273" s="7">
        <v>-0.6</v>
      </c>
      <c r="X273" s="7">
        <v>106.1</v>
      </c>
      <c r="Y273" s="7">
        <v>107</v>
      </c>
      <c r="Z273" s="7">
        <v>-0.9</v>
      </c>
      <c r="AA273" s="7">
        <v>13.5</v>
      </c>
      <c r="AB273" s="7">
        <v>0.86</v>
      </c>
      <c r="AC273" s="7">
        <v>10.9</v>
      </c>
      <c r="AD273" s="7">
        <v>6.7</v>
      </c>
      <c r="AE273" s="7">
        <v>20.100000000000001</v>
      </c>
      <c r="AF273" s="7">
        <v>13.1</v>
      </c>
      <c r="AG273" s="7">
        <v>12.7</v>
      </c>
      <c r="AH273" s="7">
        <v>61.6</v>
      </c>
      <c r="AI273" s="7">
        <v>64.900000000000006</v>
      </c>
      <c r="AJ273" s="7">
        <v>25.4</v>
      </c>
      <c r="AK273" s="7">
        <v>99.97</v>
      </c>
      <c r="AL273" s="7">
        <v>16.5</v>
      </c>
      <c r="AM273" s="7">
        <v>1172</v>
      </c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1"/>
    </row>
    <row r="274" spans="1:64" ht="13">
      <c r="A274" s="6" t="s">
        <v>587</v>
      </c>
      <c r="B274" s="6" t="s">
        <v>588</v>
      </c>
      <c r="C274" s="31">
        <v>384</v>
      </c>
      <c r="D274" s="24">
        <v>140</v>
      </c>
      <c r="E274" s="24">
        <v>281</v>
      </c>
      <c r="F274" s="8">
        <v>50.2</v>
      </c>
      <c r="G274" s="9">
        <v>159</v>
      </c>
      <c r="H274" s="8">
        <v>37.299999999999997</v>
      </c>
      <c r="I274" s="8">
        <v>43</v>
      </c>
      <c r="J274" s="8">
        <v>61</v>
      </c>
      <c r="K274" s="8">
        <v>74.099999999999994</v>
      </c>
      <c r="L274" s="9">
        <v>61</v>
      </c>
      <c r="M274" s="9">
        <v>122</v>
      </c>
      <c r="N274" s="9">
        <v>189</v>
      </c>
      <c r="O274" s="9">
        <v>49</v>
      </c>
      <c r="P274" s="9">
        <v>24</v>
      </c>
      <c r="Q274" s="9">
        <v>18</v>
      </c>
      <c r="R274" s="9">
        <v>18</v>
      </c>
      <c r="S274" s="9">
        <v>61</v>
      </c>
      <c r="T274" s="8">
        <v>769</v>
      </c>
      <c r="U274" s="8">
        <v>2</v>
      </c>
      <c r="V274" s="8">
        <v>0</v>
      </c>
      <c r="W274" s="7">
        <v>-0.5</v>
      </c>
      <c r="X274" s="7">
        <v>111.6</v>
      </c>
      <c r="Y274" s="7">
        <v>112.9</v>
      </c>
      <c r="Z274" s="7">
        <v>-1.4</v>
      </c>
      <c r="AA274" s="7">
        <v>10.8</v>
      </c>
      <c r="AB274" s="7">
        <v>1.85</v>
      </c>
      <c r="AC274" s="7">
        <v>12.6</v>
      </c>
      <c r="AD274" s="7">
        <v>8.6</v>
      </c>
      <c r="AE274" s="7">
        <v>17.600000000000001</v>
      </c>
      <c r="AF274" s="7">
        <v>13.1</v>
      </c>
      <c r="AG274" s="7">
        <v>6.8</v>
      </c>
      <c r="AH274" s="7">
        <v>60.9</v>
      </c>
      <c r="AI274" s="7">
        <v>62.8</v>
      </c>
      <c r="AJ274" s="7">
        <v>20.2</v>
      </c>
      <c r="AK274" s="7">
        <v>102.07</v>
      </c>
      <c r="AL274" s="7">
        <v>12.4</v>
      </c>
      <c r="AM274" s="7">
        <v>1445</v>
      </c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1"/>
    </row>
    <row r="275" spans="1:64" ht="13">
      <c r="A275" s="6" t="s">
        <v>589</v>
      </c>
      <c r="B275" s="6" t="s">
        <v>590</v>
      </c>
      <c r="C275" s="31">
        <v>383</v>
      </c>
      <c r="D275" s="24">
        <v>132</v>
      </c>
      <c r="E275" s="24">
        <v>268</v>
      </c>
      <c r="F275" s="8">
        <v>50</v>
      </c>
      <c r="G275" s="9">
        <v>79</v>
      </c>
      <c r="H275" s="8">
        <v>41.8</v>
      </c>
      <c r="I275" s="8">
        <v>84</v>
      </c>
      <c r="J275" s="8">
        <v>110</v>
      </c>
      <c r="K275" s="8">
        <v>76.900000000000006</v>
      </c>
      <c r="L275" s="9">
        <v>62</v>
      </c>
      <c r="M275" s="9">
        <v>145</v>
      </c>
      <c r="N275" s="9">
        <v>207</v>
      </c>
      <c r="O275" s="9">
        <v>128</v>
      </c>
      <c r="P275" s="9">
        <v>75</v>
      </c>
      <c r="Q275" s="9">
        <v>35</v>
      </c>
      <c r="R275" s="9">
        <v>18</v>
      </c>
      <c r="S275" s="9">
        <v>123</v>
      </c>
      <c r="T275" s="8">
        <v>902</v>
      </c>
      <c r="U275" s="8">
        <v>2</v>
      </c>
      <c r="V275" s="8">
        <v>0</v>
      </c>
      <c r="W275" s="7">
        <v>-1.3</v>
      </c>
      <c r="X275" s="7">
        <v>110.7</v>
      </c>
      <c r="Y275" s="7">
        <v>113.4</v>
      </c>
      <c r="Z275" s="7">
        <v>-2.7</v>
      </c>
      <c r="AA275" s="7">
        <v>20</v>
      </c>
      <c r="AB275" s="7">
        <v>1.68</v>
      </c>
      <c r="AC275" s="7">
        <v>24.4</v>
      </c>
      <c r="AD275" s="7">
        <v>6.9</v>
      </c>
      <c r="AE275" s="7">
        <v>15.4</v>
      </c>
      <c r="AF275" s="7">
        <v>11.2</v>
      </c>
      <c r="AG275" s="7">
        <v>14.5</v>
      </c>
      <c r="AH275" s="7">
        <v>56.2</v>
      </c>
      <c r="AI275" s="7">
        <v>60.9</v>
      </c>
      <c r="AJ275" s="7">
        <v>18.5</v>
      </c>
      <c r="AK275" s="7">
        <v>100.28</v>
      </c>
      <c r="AL275" s="7">
        <v>9.8000000000000007</v>
      </c>
      <c r="AM275" s="7">
        <v>1858</v>
      </c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1"/>
    </row>
    <row r="276" spans="1:64" ht="13">
      <c r="A276" s="6" t="s">
        <v>591</v>
      </c>
      <c r="B276" s="6" t="s">
        <v>592</v>
      </c>
      <c r="C276" s="31">
        <v>383</v>
      </c>
      <c r="D276" s="24">
        <v>140</v>
      </c>
      <c r="E276" s="24">
        <v>313</v>
      </c>
      <c r="F276" s="8">
        <v>44.6</v>
      </c>
      <c r="G276" s="9">
        <v>167</v>
      </c>
      <c r="H276" s="8">
        <v>35.299999999999997</v>
      </c>
      <c r="I276" s="8">
        <v>43</v>
      </c>
      <c r="J276" s="8">
        <v>49</v>
      </c>
      <c r="K276" s="8">
        <v>82.4</v>
      </c>
      <c r="L276" s="9">
        <v>38</v>
      </c>
      <c r="M276" s="9">
        <v>119</v>
      </c>
      <c r="N276" s="9">
        <v>157</v>
      </c>
      <c r="O276" s="9">
        <v>135</v>
      </c>
      <c r="P276" s="9">
        <v>38</v>
      </c>
      <c r="Q276" s="9">
        <v>86</v>
      </c>
      <c r="R276" s="9">
        <v>32</v>
      </c>
      <c r="S276" s="9">
        <v>103</v>
      </c>
      <c r="T276" s="8">
        <v>1091</v>
      </c>
      <c r="U276" s="8">
        <v>0</v>
      </c>
      <c r="V276" s="8">
        <v>0</v>
      </c>
      <c r="W276" s="7">
        <v>5.9</v>
      </c>
      <c r="X276" s="7">
        <v>117.5</v>
      </c>
      <c r="Y276" s="7">
        <v>102.5</v>
      </c>
      <c r="Z276" s="7">
        <v>15</v>
      </c>
      <c r="AA276" s="7">
        <v>17.100000000000001</v>
      </c>
      <c r="AB276" s="7">
        <v>3.7</v>
      </c>
      <c r="AC276" s="7">
        <v>26.9</v>
      </c>
      <c r="AD276" s="7">
        <v>3.5</v>
      </c>
      <c r="AE276" s="7">
        <v>10.8</v>
      </c>
      <c r="AF276" s="7">
        <v>7.2</v>
      </c>
      <c r="AG276" s="7">
        <v>7.3</v>
      </c>
      <c r="AH276" s="7">
        <v>54.1</v>
      </c>
      <c r="AI276" s="7">
        <v>56.8</v>
      </c>
      <c r="AJ276" s="7">
        <v>14.7</v>
      </c>
      <c r="AK276" s="7">
        <v>102.7</v>
      </c>
      <c r="AL276" s="7">
        <v>10.1</v>
      </c>
      <c r="AM276" s="7">
        <v>2221</v>
      </c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1"/>
    </row>
    <row r="277" spans="1:64" ht="13">
      <c r="A277" s="6" t="s">
        <v>593</v>
      </c>
      <c r="B277" s="6" t="s">
        <v>594</v>
      </c>
      <c r="C277" s="31">
        <v>383</v>
      </c>
      <c r="D277" s="24">
        <v>135</v>
      </c>
      <c r="E277" s="24">
        <v>327</v>
      </c>
      <c r="F277" s="8">
        <v>41.4</v>
      </c>
      <c r="G277" s="9">
        <v>149</v>
      </c>
      <c r="H277" s="8">
        <v>25.8</v>
      </c>
      <c r="I277" s="8">
        <v>71</v>
      </c>
      <c r="J277" s="8">
        <v>107</v>
      </c>
      <c r="K277" s="8">
        <v>68.2</v>
      </c>
      <c r="L277" s="9">
        <v>121</v>
      </c>
      <c r="M277" s="9">
        <v>192</v>
      </c>
      <c r="N277" s="9">
        <v>312</v>
      </c>
      <c r="O277" s="9">
        <v>43</v>
      </c>
      <c r="P277" s="9">
        <v>36</v>
      </c>
      <c r="Q277" s="9">
        <v>64</v>
      </c>
      <c r="R277" s="9">
        <v>78</v>
      </c>
      <c r="S277" s="9">
        <v>92</v>
      </c>
      <c r="T277" s="8">
        <v>1207</v>
      </c>
      <c r="U277" s="8">
        <v>2</v>
      </c>
      <c r="V277" s="8">
        <v>0</v>
      </c>
      <c r="W277" s="7">
        <v>-0.5</v>
      </c>
      <c r="X277" s="7">
        <v>105.9</v>
      </c>
      <c r="Y277" s="7">
        <v>106.6</v>
      </c>
      <c r="Z277" s="7">
        <v>-0.7</v>
      </c>
      <c r="AA277" s="7">
        <v>5.6</v>
      </c>
      <c r="AB277" s="7">
        <v>1.21</v>
      </c>
      <c r="AC277" s="7">
        <v>9</v>
      </c>
      <c r="AD277" s="7">
        <v>10</v>
      </c>
      <c r="AE277" s="7">
        <v>18.8</v>
      </c>
      <c r="AF277" s="7">
        <v>14.1</v>
      </c>
      <c r="AG277" s="7">
        <v>7.4</v>
      </c>
      <c r="AH277" s="7">
        <v>47.4</v>
      </c>
      <c r="AI277" s="7">
        <v>51.2</v>
      </c>
      <c r="AJ277" s="7">
        <v>15.5</v>
      </c>
      <c r="AK277" s="7">
        <v>98.62</v>
      </c>
      <c r="AL277" s="7">
        <v>10.8</v>
      </c>
      <c r="AM277" s="7">
        <v>2229</v>
      </c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1"/>
    </row>
    <row r="278" spans="1:64" ht="13">
      <c r="A278" s="6" t="s">
        <v>595</v>
      </c>
      <c r="B278" s="6" t="s">
        <v>596</v>
      </c>
      <c r="C278" s="31">
        <v>381</v>
      </c>
      <c r="D278" s="24">
        <v>162</v>
      </c>
      <c r="E278" s="24">
        <v>224</v>
      </c>
      <c r="F278" s="8">
        <v>72.2</v>
      </c>
      <c r="G278" s="9">
        <v>6</v>
      </c>
      <c r="H278" s="8">
        <v>0</v>
      </c>
      <c r="I278" s="8">
        <v>62</v>
      </c>
      <c r="J278" s="8">
        <v>101</v>
      </c>
      <c r="K278" s="8">
        <v>62.2</v>
      </c>
      <c r="L278" s="9">
        <v>78</v>
      </c>
      <c r="M278" s="9">
        <v>190</v>
      </c>
      <c r="N278" s="9">
        <v>269</v>
      </c>
      <c r="O278" s="9">
        <v>56</v>
      </c>
      <c r="P278" s="9">
        <v>45</v>
      </c>
      <c r="Q278" s="9">
        <v>34</v>
      </c>
      <c r="R278" s="9">
        <v>50</v>
      </c>
      <c r="S278" s="9">
        <v>134</v>
      </c>
      <c r="T278" s="8">
        <v>997</v>
      </c>
      <c r="U278" s="8">
        <v>2</v>
      </c>
      <c r="V278" s="8">
        <v>0</v>
      </c>
      <c r="W278" s="7">
        <v>1.6</v>
      </c>
      <c r="X278" s="7">
        <v>112.3</v>
      </c>
      <c r="Y278" s="7">
        <v>109.8</v>
      </c>
      <c r="Z278" s="7">
        <v>2.5</v>
      </c>
      <c r="AA278" s="7">
        <v>7.6</v>
      </c>
      <c r="AB278" s="7">
        <v>1.35</v>
      </c>
      <c r="AC278" s="7">
        <v>15.8</v>
      </c>
      <c r="AD278" s="7">
        <v>7.4</v>
      </c>
      <c r="AE278" s="7">
        <v>16.3</v>
      </c>
      <c r="AF278" s="7">
        <v>12.1</v>
      </c>
      <c r="AG278" s="7">
        <v>11.7</v>
      </c>
      <c r="AH278" s="7">
        <v>72.2</v>
      </c>
      <c r="AI278" s="7">
        <v>72</v>
      </c>
      <c r="AJ278" s="7">
        <v>12</v>
      </c>
      <c r="AK278" s="7">
        <v>100.51</v>
      </c>
      <c r="AL278" s="7">
        <v>9.6999999999999993</v>
      </c>
      <c r="AM278" s="7">
        <v>2301</v>
      </c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1"/>
    </row>
    <row r="279" spans="1:64" ht="13">
      <c r="A279" s="6" t="s">
        <v>597</v>
      </c>
      <c r="B279" s="6" t="s">
        <v>598</v>
      </c>
      <c r="C279" s="31">
        <v>377</v>
      </c>
      <c r="D279" s="24">
        <v>133</v>
      </c>
      <c r="E279" s="24">
        <v>290</v>
      </c>
      <c r="F279" s="8">
        <v>45.7</v>
      </c>
      <c r="G279" s="9">
        <v>122</v>
      </c>
      <c r="H279" s="8">
        <v>33.6</v>
      </c>
      <c r="I279" s="8">
        <v>70</v>
      </c>
      <c r="J279" s="8">
        <v>99</v>
      </c>
      <c r="K279" s="8">
        <v>73.5</v>
      </c>
      <c r="L279" s="9">
        <v>17</v>
      </c>
      <c r="M279" s="9">
        <v>81</v>
      </c>
      <c r="N279" s="9">
        <v>99</v>
      </c>
      <c r="O279" s="9">
        <v>81</v>
      </c>
      <c r="P279" s="9">
        <v>41</v>
      </c>
      <c r="Q279" s="9">
        <v>23</v>
      </c>
      <c r="R279" s="9">
        <v>12</v>
      </c>
      <c r="S279" s="9">
        <v>58</v>
      </c>
      <c r="T279" s="8">
        <v>679</v>
      </c>
      <c r="U279" s="8">
        <v>0</v>
      </c>
      <c r="V279" s="8">
        <v>0</v>
      </c>
      <c r="W279" s="7">
        <v>0.3</v>
      </c>
      <c r="X279" s="7">
        <v>111.4</v>
      </c>
      <c r="Y279" s="7">
        <v>109.8</v>
      </c>
      <c r="Z279" s="7">
        <v>1.7</v>
      </c>
      <c r="AA279" s="7">
        <v>16.2</v>
      </c>
      <c r="AB279" s="7">
        <v>2.08</v>
      </c>
      <c r="AC279" s="7">
        <v>18.100000000000001</v>
      </c>
      <c r="AD279" s="7">
        <v>2.5</v>
      </c>
      <c r="AE279" s="7">
        <v>9.6999999999999993</v>
      </c>
      <c r="AF279" s="7">
        <v>6.3</v>
      </c>
      <c r="AG279" s="7">
        <v>8.6999999999999993</v>
      </c>
      <c r="AH279" s="7">
        <v>52.7</v>
      </c>
      <c r="AI279" s="7">
        <v>56.7</v>
      </c>
      <c r="AJ279" s="7">
        <v>20.8</v>
      </c>
      <c r="AK279" s="7">
        <v>106.82</v>
      </c>
      <c r="AL279" s="7">
        <v>9</v>
      </c>
      <c r="AM279" s="7">
        <v>1607</v>
      </c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1"/>
    </row>
    <row r="280" spans="1:64" ht="13">
      <c r="A280" s="6" t="s">
        <v>599</v>
      </c>
      <c r="B280" s="6" t="s">
        <v>600</v>
      </c>
      <c r="C280" s="31">
        <v>376</v>
      </c>
      <c r="D280" s="24">
        <v>137</v>
      </c>
      <c r="E280" s="24">
        <v>296</v>
      </c>
      <c r="F280" s="8">
        <v>46.3</v>
      </c>
      <c r="G280" s="9">
        <v>154</v>
      </c>
      <c r="H280" s="8">
        <v>38.200000000000003</v>
      </c>
      <c r="I280" s="8">
        <v>46</v>
      </c>
      <c r="J280" s="8">
        <v>51</v>
      </c>
      <c r="K280" s="8">
        <v>84.3</v>
      </c>
      <c r="L280" s="9">
        <v>17</v>
      </c>
      <c r="M280" s="9">
        <v>51</v>
      </c>
      <c r="N280" s="9">
        <v>68</v>
      </c>
      <c r="O280" s="9">
        <v>131</v>
      </c>
      <c r="P280" s="9">
        <v>51</v>
      </c>
      <c r="Q280" s="9">
        <v>34</v>
      </c>
      <c r="R280" s="9">
        <v>6</v>
      </c>
      <c r="S280" s="9">
        <v>74</v>
      </c>
      <c r="T280" s="8">
        <v>724</v>
      </c>
      <c r="U280" s="8">
        <v>1</v>
      </c>
      <c r="V280" s="8">
        <v>0</v>
      </c>
      <c r="W280" s="7">
        <v>0.7</v>
      </c>
      <c r="X280" s="7">
        <v>110.4</v>
      </c>
      <c r="Y280" s="7">
        <v>107.5</v>
      </c>
      <c r="Z280" s="7">
        <v>2.9</v>
      </c>
      <c r="AA280" s="7">
        <v>23.9</v>
      </c>
      <c r="AB280" s="7">
        <v>2.46</v>
      </c>
      <c r="AC280" s="7">
        <v>26.4</v>
      </c>
      <c r="AD280" s="7">
        <v>2.1</v>
      </c>
      <c r="AE280" s="7">
        <v>6</v>
      </c>
      <c r="AF280" s="7">
        <v>4</v>
      </c>
      <c r="AG280" s="7">
        <v>10.7</v>
      </c>
      <c r="AH280" s="7">
        <v>56.1</v>
      </c>
      <c r="AI280" s="7">
        <v>58.9</v>
      </c>
      <c r="AJ280" s="7">
        <v>18.7</v>
      </c>
      <c r="AK280" s="7">
        <v>102</v>
      </c>
      <c r="AL280" s="7">
        <v>9.5</v>
      </c>
      <c r="AM280" s="7">
        <v>1719</v>
      </c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1"/>
    </row>
    <row r="281" spans="1:64" ht="13">
      <c r="A281" s="6" t="s">
        <v>601</v>
      </c>
      <c r="B281" s="6" t="s">
        <v>602</v>
      </c>
      <c r="C281" s="31">
        <v>376</v>
      </c>
      <c r="D281" s="24">
        <v>165</v>
      </c>
      <c r="E281" s="24">
        <v>325</v>
      </c>
      <c r="F281" s="8">
        <v>50.2</v>
      </c>
      <c r="G281" s="9">
        <v>34</v>
      </c>
      <c r="H281" s="8">
        <v>27.8</v>
      </c>
      <c r="I281" s="8">
        <v>40</v>
      </c>
      <c r="J281" s="8">
        <v>68</v>
      </c>
      <c r="K281" s="8">
        <v>59.4</v>
      </c>
      <c r="L281" s="9">
        <v>103</v>
      </c>
      <c r="M281" s="9">
        <v>217</v>
      </c>
      <c r="N281" s="9">
        <v>319</v>
      </c>
      <c r="O281" s="9">
        <v>57</v>
      </c>
      <c r="P281" s="9">
        <v>46</v>
      </c>
      <c r="Q281" s="9">
        <v>46</v>
      </c>
      <c r="R281" s="9">
        <v>40</v>
      </c>
      <c r="S281" s="9">
        <v>80</v>
      </c>
      <c r="T281" s="8">
        <v>1066</v>
      </c>
      <c r="U281" s="8">
        <v>3</v>
      </c>
      <c r="V281" s="8">
        <v>0</v>
      </c>
      <c r="W281" s="7">
        <v>-0.8</v>
      </c>
      <c r="X281" s="7">
        <v>110.2</v>
      </c>
      <c r="Y281" s="7">
        <v>111.4</v>
      </c>
      <c r="Z281" s="7">
        <v>-1.2</v>
      </c>
      <c r="AA281" s="7">
        <v>6.5</v>
      </c>
      <c r="AB281" s="7">
        <v>1.22</v>
      </c>
      <c r="AC281" s="7">
        <v>12.1</v>
      </c>
      <c r="AD281" s="7">
        <v>8.4</v>
      </c>
      <c r="AE281" s="7">
        <v>18.8</v>
      </c>
      <c r="AF281" s="7">
        <v>13.5</v>
      </c>
      <c r="AG281" s="7">
        <v>9.9</v>
      </c>
      <c r="AH281" s="7">
        <v>51.7</v>
      </c>
      <c r="AI281" s="7">
        <v>53</v>
      </c>
      <c r="AJ281" s="7">
        <v>14.3</v>
      </c>
      <c r="AK281" s="7">
        <v>100.16</v>
      </c>
      <c r="AL281" s="7">
        <v>9.1999999999999993</v>
      </c>
      <c r="AM281" s="7">
        <v>2432</v>
      </c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1"/>
    </row>
    <row r="282" spans="1:64" ht="13">
      <c r="A282" s="6" t="s">
        <v>603</v>
      </c>
      <c r="B282" s="6" t="s">
        <v>604</v>
      </c>
      <c r="C282" s="31">
        <v>363</v>
      </c>
      <c r="D282" s="24">
        <v>126</v>
      </c>
      <c r="E282" s="24">
        <v>284</v>
      </c>
      <c r="F282" s="8">
        <v>44.6</v>
      </c>
      <c r="G282" s="9">
        <v>150</v>
      </c>
      <c r="H282" s="8">
        <v>32.700000000000003</v>
      </c>
      <c r="I282" s="8">
        <v>63</v>
      </c>
      <c r="J282" s="8">
        <v>79</v>
      </c>
      <c r="K282" s="8">
        <v>78.900000000000006</v>
      </c>
      <c r="L282" s="9">
        <v>63</v>
      </c>
      <c r="M282" s="9">
        <v>103</v>
      </c>
      <c r="N282" s="9">
        <v>166</v>
      </c>
      <c r="O282" s="9">
        <v>40</v>
      </c>
      <c r="P282" s="9">
        <v>24</v>
      </c>
      <c r="Q282" s="9">
        <v>40</v>
      </c>
      <c r="R282" s="9">
        <v>24</v>
      </c>
      <c r="S282" s="9">
        <v>111</v>
      </c>
      <c r="T282" s="8">
        <v>774</v>
      </c>
      <c r="U282" s="8">
        <v>0</v>
      </c>
      <c r="V282" s="8">
        <v>0</v>
      </c>
      <c r="W282" s="7">
        <v>0.4</v>
      </c>
      <c r="X282" s="7">
        <v>112.9</v>
      </c>
      <c r="Y282" s="7">
        <v>111.1</v>
      </c>
      <c r="Z282" s="7">
        <v>1.8</v>
      </c>
      <c r="AA282" s="7">
        <v>4.5</v>
      </c>
      <c r="AB282" s="7">
        <v>1.44</v>
      </c>
      <c r="AC282" s="7">
        <v>10.1</v>
      </c>
      <c r="AD282" s="7">
        <v>5.6</v>
      </c>
      <c r="AE282" s="7">
        <v>8.1999999999999993</v>
      </c>
      <c r="AF282" s="7">
        <v>7</v>
      </c>
      <c r="AG282" s="7">
        <v>7</v>
      </c>
      <c r="AH282" s="7">
        <v>53.3</v>
      </c>
      <c r="AI282" s="7">
        <v>57.1</v>
      </c>
      <c r="AJ282" s="7">
        <v>12.6</v>
      </c>
      <c r="AK282" s="7">
        <v>104</v>
      </c>
      <c r="AL282" s="7">
        <v>5.5</v>
      </c>
      <c r="AM282" s="7">
        <v>2427</v>
      </c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1"/>
    </row>
    <row r="283" spans="1:64" ht="13">
      <c r="A283" s="6" t="s">
        <v>605</v>
      </c>
      <c r="B283" s="6" t="s">
        <v>606</v>
      </c>
      <c r="C283" s="31">
        <v>360</v>
      </c>
      <c r="D283" s="24">
        <v>140</v>
      </c>
      <c r="E283" s="24">
        <v>305</v>
      </c>
      <c r="F283" s="8">
        <v>46.9</v>
      </c>
      <c r="G283" s="9">
        <v>67</v>
      </c>
      <c r="H283" s="8">
        <v>35.700000000000003</v>
      </c>
      <c r="I283" s="8">
        <v>49</v>
      </c>
      <c r="J283" s="8">
        <v>67</v>
      </c>
      <c r="K283" s="8">
        <v>73.8</v>
      </c>
      <c r="L283" s="9">
        <v>55</v>
      </c>
      <c r="M283" s="9">
        <v>153</v>
      </c>
      <c r="N283" s="9">
        <v>207</v>
      </c>
      <c r="O283" s="9">
        <v>146</v>
      </c>
      <c r="P283" s="9">
        <v>37</v>
      </c>
      <c r="Q283" s="9">
        <v>43</v>
      </c>
      <c r="R283" s="9">
        <v>31</v>
      </c>
      <c r="S283" s="9">
        <v>79</v>
      </c>
      <c r="T283" s="8">
        <v>1007</v>
      </c>
      <c r="U283" s="8">
        <v>2</v>
      </c>
      <c r="V283" s="8">
        <v>0</v>
      </c>
      <c r="W283" s="7">
        <v>-0.4</v>
      </c>
      <c r="X283" s="7">
        <v>106.1</v>
      </c>
      <c r="Y283" s="7">
        <v>107.6</v>
      </c>
      <c r="Z283" s="7">
        <v>-1.5</v>
      </c>
      <c r="AA283" s="7">
        <v>21.1</v>
      </c>
      <c r="AB283" s="7">
        <v>3.92</v>
      </c>
      <c r="AC283" s="7">
        <v>28.3</v>
      </c>
      <c r="AD283" s="7">
        <v>4.9000000000000004</v>
      </c>
      <c r="AE283" s="7">
        <v>14.8</v>
      </c>
      <c r="AF283" s="7">
        <v>9.6999999999999993</v>
      </c>
      <c r="AG283" s="7">
        <v>7.2</v>
      </c>
      <c r="AH283" s="7">
        <v>51</v>
      </c>
      <c r="AI283" s="7">
        <v>53.8</v>
      </c>
      <c r="AJ283" s="7">
        <v>15.2</v>
      </c>
      <c r="AK283" s="7">
        <v>100.06</v>
      </c>
      <c r="AL283" s="7">
        <v>10.8</v>
      </c>
      <c r="AM283" s="7">
        <v>2093</v>
      </c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1"/>
    </row>
    <row r="284" spans="1:64" ht="13">
      <c r="A284" s="6" t="s">
        <v>607</v>
      </c>
      <c r="B284" s="6" t="s">
        <v>608</v>
      </c>
      <c r="C284" s="31">
        <v>360</v>
      </c>
      <c r="D284" s="24">
        <v>138</v>
      </c>
      <c r="E284" s="24">
        <v>323</v>
      </c>
      <c r="F284" s="8">
        <v>41.8</v>
      </c>
      <c r="G284" s="9">
        <v>148</v>
      </c>
      <c r="H284" s="8">
        <v>28.5</v>
      </c>
      <c r="I284" s="8">
        <v>42</v>
      </c>
      <c r="J284" s="8">
        <v>64</v>
      </c>
      <c r="K284" s="8">
        <v>70.5</v>
      </c>
      <c r="L284" s="9">
        <v>53</v>
      </c>
      <c r="M284" s="9">
        <v>170</v>
      </c>
      <c r="N284" s="9">
        <v>223</v>
      </c>
      <c r="O284" s="9">
        <v>106</v>
      </c>
      <c r="P284" s="9">
        <v>53</v>
      </c>
      <c r="Q284" s="9">
        <v>58</v>
      </c>
      <c r="R284" s="9">
        <v>32</v>
      </c>
      <c r="S284" s="9">
        <v>95</v>
      </c>
      <c r="T284" s="8">
        <v>996</v>
      </c>
      <c r="U284" s="8">
        <v>0</v>
      </c>
      <c r="V284" s="8">
        <v>0</v>
      </c>
      <c r="W284" s="7">
        <v>-2</v>
      </c>
      <c r="X284" s="7">
        <v>108.1</v>
      </c>
      <c r="Y284" s="7">
        <v>111.3</v>
      </c>
      <c r="Z284" s="7">
        <v>-3.2</v>
      </c>
      <c r="AA284" s="7">
        <v>12.8</v>
      </c>
      <c r="AB284" s="7">
        <v>2.06</v>
      </c>
      <c r="AC284" s="7">
        <v>20.6</v>
      </c>
      <c r="AD284" s="7">
        <v>4.0999999999999996</v>
      </c>
      <c r="AE284" s="7">
        <v>13.6</v>
      </c>
      <c r="AF284" s="7">
        <v>8.8000000000000007</v>
      </c>
      <c r="AG284" s="7">
        <v>10</v>
      </c>
      <c r="AH284" s="7">
        <v>48.5</v>
      </c>
      <c r="AI284" s="7">
        <v>50.9</v>
      </c>
      <c r="AJ284" s="7">
        <v>14.2</v>
      </c>
      <c r="AK284" s="7">
        <v>101.2</v>
      </c>
      <c r="AL284" s="7">
        <v>8</v>
      </c>
      <c r="AM284" s="7">
        <v>2462</v>
      </c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1"/>
    </row>
    <row r="285" spans="1:64" ht="13">
      <c r="A285" s="6" t="s">
        <v>609</v>
      </c>
      <c r="B285" s="6" t="s">
        <v>610</v>
      </c>
      <c r="C285" s="31">
        <v>358</v>
      </c>
      <c r="D285" s="24">
        <v>113</v>
      </c>
      <c r="E285" s="24">
        <v>270</v>
      </c>
      <c r="F285" s="8">
        <v>42.4</v>
      </c>
      <c r="G285" s="9">
        <v>206</v>
      </c>
      <c r="H285" s="8">
        <v>42.5</v>
      </c>
      <c r="I285" s="8">
        <v>39</v>
      </c>
      <c r="J285" s="8">
        <v>49</v>
      </c>
      <c r="K285" s="8">
        <v>77.599999999999994</v>
      </c>
      <c r="L285" s="9">
        <v>15</v>
      </c>
      <c r="M285" s="9">
        <v>108</v>
      </c>
      <c r="N285" s="9">
        <v>123</v>
      </c>
      <c r="O285" s="9">
        <v>54</v>
      </c>
      <c r="P285" s="9">
        <v>29</v>
      </c>
      <c r="Q285" s="9">
        <v>29</v>
      </c>
      <c r="R285" s="9">
        <v>5</v>
      </c>
      <c r="S285" s="9">
        <v>39</v>
      </c>
      <c r="T285" s="8">
        <v>662</v>
      </c>
      <c r="U285" s="8">
        <v>0</v>
      </c>
      <c r="V285" s="8">
        <v>0</v>
      </c>
      <c r="W285" s="7">
        <v>2.2000000000000002</v>
      </c>
      <c r="X285" s="7">
        <v>113.5</v>
      </c>
      <c r="Y285" s="7">
        <v>107.6</v>
      </c>
      <c r="Z285" s="7">
        <v>5.9</v>
      </c>
      <c r="AA285" s="7">
        <v>9</v>
      </c>
      <c r="AB285" s="7">
        <v>1.9</v>
      </c>
      <c r="AC285" s="7">
        <v>14.7</v>
      </c>
      <c r="AD285" s="7">
        <v>1.8</v>
      </c>
      <c r="AE285" s="7">
        <v>11.9</v>
      </c>
      <c r="AF285" s="7">
        <v>7</v>
      </c>
      <c r="AG285" s="7">
        <v>7.8</v>
      </c>
      <c r="AH285" s="7">
        <v>58.7</v>
      </c>
      <c r="AI285" s="7">
        <v>60.8</v>
      </c>
      <c r="AJ285" s="7">
        <v>16</v>
      </c>
      <c r="AK285" s="7">
        <v>98.03</v>
      </c>
      <c r="AL285" s="7">
        <v>8.8000000000000007</v>
      </c>
      <c r="AM285" s="7">
        <v>1766</v>
      </c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1"/>
    </row>
    <row r="286" spans="1:64" ht="13">
      <c r="A286" s="6" t="s">
        <v>611</v>
      </c>
      <c r="B286" s="6" t="s">
        <v>612</v>
      </c>
      <c r="C286" s="31">
        <v>356</v>
      </c>
      <c r="D286" s="24">
        <v>131</v>
      </c>
      <c r="E286" s="24">
        <v>306</v>
      </c>
      <c r="F286" s="8">
        <v>42.4</v>
      </c>
      <c r="G286" s="9">
        <v>104</v>
      </c>
      <c r="H286" s="8">
        <v>35.9</v>
      </c>
      <c r="I286" s="8">
        <v>63</v>
      </c>
      <c r="J286" s="8">
        <v>99</v>
      </c>
      <c r="K286" s="8">
        <v>62.2</v>
      </c>
      <c r="L286" s="9">
        <v>54</v>
      </c>
      <c r="M286" s="9">
        <v>126</v>
      </c>
      <c r="N286" s="9">
        <v>176</v>
      </c>
      <c r="O286" s="9">
        <v>95</v>
      </c>
      <c r="P286" s="9">
        <v>54</v>
      </c>
      <c r="Q286" s="9">
        <v>45</v>
      </c>
      <c r="R286" s="9">
        <v>23</v>
      </c>
      <c r="S286" s="9">
        <v>86</v>
      </c>
      <c r="T286" s="8">
        <v>864</v>
      </c>
      <c r="U286" s="8">
        <v>1</v>
      </c>
      <c r="V286" s="8">
        <v>0</v>
      </c>
      <c r="W286" s="7">
        <v>-3.4</v>
      </c>
      <c r="X286" s="7">
        <v>106.5</v>
      </c>
      <c r="Y286" s="7">
        <v>112.8</v>
      </c>
      <c r="Z286" s="7">
        <v>-6.3</v>
      </c>
      <c r="AA286" s="7">
        <v>11.6</v>
      </c>
      <c r="AB286" s="7">
        <v>1.7</v>
      </c>
      <c r="AC286" s="7">
        <v>19</v>
      </c>
      <c r="AD286" s="7">
        <v>4.2</v>
      </c>
      <c r="AE286" s="7">
        <v>10.5</v>
      </c>
      <c r="AF286" s="7">
        <v>7.3</v>
      </c>
      <c r="AG286" s="7">
        <v>11.2</v>
      </c>
      <c r="AH286" s="7">
        <v>48.5</v>
      </c>
      <c r="AI286" s="7">
        <v>51.3</v>
      </c>
      <c r="AJ286" s="7">
        <v>14.3</v>
      </c>
      <c r="AK286" s="7">
        <v>98.64</v>
      </c>
      <c r="AL286" s="7">
        <v>6.3</v>
      </c>
      <c r="AM286" s="7">
        <v>2504</v>
      </c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1"/>
    </row>
    <row r="287" spans="1:64" ht="13">
      <c r="A287" s="6" t="s">
        <v>613</v>
      </c>
      <c r="B287" s="6" t="s">
        <v>614</v>
      </c>
      <c r="C287" s="31">
        <v>354</v>
      </c>
      <c r="D287" s="24">
        <v>114</v>
      </c>
      <c r="E287" s="24">
        <v>348</v>
      </c>
      <c r="F287" s="8">
        <v>33</v>
      </c>
      <c r="G287" s="9">
        <v>204</v>
      </c>
      <c r="H287" s="8">
        <v>28.3</v>
      </c>
      <c r="I287" s="8">
        <v>66</v>
      </c>
      <c r="J287" s="8">
        <v>96</v>
      </c>
      <c r="K287" s="8">
        <v>71.3</v>
      </c>
      <c r="L287" s="9">
        <v>72</v>
      </c>
      <c r="M287" s="9">
        <v>210</v>
      </c>
      <c r="N287" s="9">
        <v>282</v>
      </c>
      <c r="O287" s="9">
        <v>72</v>
      </c>
      <c r="P287" s="9">
        <v>60</v>
      </c>
      <c r="Q287" s="9">
        <v>30</v>
      </c>
      <c r="R287" s="9">
        <v>12</v>
      </c>
      <c r="S287" s="9">
        <v>84</v>
      </c>
      <c r="T287" s="8">
        <v>870</v>
      </c>
      <c r="U287" s="8">
        <v>2</v>
      </c>
      <c r="V287" s="8">
        <v>0</v>
      </c>
      <c r="W287" s="7">
        <v>-5.4</v>
      </c>
      <c r="X287" s="7">
        <v>99.4</v>
      </c>
      <c r="Y287" s="7">
        <v>111.2</v>
      </c>
      <c r="Z287" s="7">
        <v>-11.9</v>
      </c>
      <c r="AA287" s="7">
        <v>9.1999999999999993</v>
      </c>
      <c r="AB287" s="7">
        <v>1.28</v>
      </c>
      <c r="AC287" s="7">
        <v>14.2</v>
      </c>
      <c r="AD287" s="7">
        <v>5</v>
      </c>
      <c r="AE287" s="7">
        <v>16.8</v>
      </c>
      <c r="AF287" s="7">
        <v>10.6</v>
      </c>
      <c r="AG287" s="7">
        <v>11.2</v>
      </c>
      <c r="AH287" s="7">
        <v>41.4</v>
      </c>
      <c r="AI287" s="7">
        <v>45.7</v>
      </c>
      <c r="AJ287" s="7">
        <v>15</v>
      </c>
      <c r="AK287" s="7">
        <v>98.5</v>
      </c>
      <c r="AL287" s="7">
        <v>6.5</v>
      </c>
      <c r="AM287" s="7">
        <v>2545</v>
      </c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1"/>
    </row>
    <row r="288" spans="1:64" ht="13">
      <c r="A288" s="6" t="s">
        <v>615</v>
      </c>
      <c r="B288" s="6" t="s">
        <v>616</v>
      </c>
      <c r="C288" s="31">
        <v>353</v>
      </c>
      <c r="D288" s="24">
        <v>103</v>
      </c>
      <c r="E288" s="24">
        <v>259</v>
      </c>
      <c r="F288" s="8">
        <v>39.700000000000003</v>
      </c>
      <c r="G288" s="9">
        <v>216</v>
      </c>
      <c r="H288" s="8">
        <v>39</v>
      </c>
      <c r="I288" s="8">
        <v>66</v>
      </c>
      <c r="J288" s="8">
        <v>80</v>
      </c>
      <c r="K288" s="8">
        <v>82.1</v>
      </c>
      <c r="L288" s="9">
        <v>14</v>
      </c>
      <c r="M288" s="9">
        <v>75</v>
      </c>
      <c r="N288" s="9">
        <v>89</v>
      </c>
      <c r="O288" s="9">
        <v>61</v>
      </c>
      <c r="P288" s="9">
        <v>33</v>
      </c>
      <c r="Q288" s="9">
        <v>28</v>
      </c>
      <c r="R288" s="9">
        <v>14</v>
      </c>
      <c r="S288" s="9">
        <v>80</v>
      </c>
      <c r="T288" s="8">
        <v>639</v>
      </c>
      <c r="U288" s="8">
        <v>0</v>
      </c>
      <c r="V288" s="8">
        <v>0</v>
      </c>
      <c r="W288" s="7">
        <v>-1.3</v>
      </c>
      <c r="X288" s="7">
        <v>107.9</v>
      </c>
      <c r="Y288" s="7">
        <v>111.4</v>
      </c>
      <c r="Z288" s="7">
        <v>-3.5</v>
      </c>
      <c r="AA288" s="7">
        <v>10.199999999999999</v>
      </c>
      <c r="AB288" s="7">
        <v>1.94</v>
      </c>
      <c r="AC288" s="7">
        <v>16</v>
      </c>
      <c r="AD288" s="7">
        <v>1.5</v>
      </c>
      <c r="AE288" s="7">
        <v>8.5</v>
      </c>
      <c r="AF288" s="7">
        <v>4.9000000000000004</v>
      </c>
      <c r="AG288" s="7">
        <v>8.1999999999999993</v>
      </c>
      <c r="AH288" s="7">
        <v>56.2</v>
      </c>
      <c r="AI288" s="7">
        <v>60.6</v>
      </c>
      <c r="AJ288" s="7">
        <v>15.3</v>
      </c>
      <c r="AK288" s="7">
        <v>105.43</v>
      </c>
      <c r="AL288" s="7">
        <v>6.8</v>
      </c>
      <c r="AM288" s="7">
        <v>1824</v>
      </c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1"/>
    </row>
    <row r="289" spans="1:64" ht="13">
      <c r="A289" s="6" t="s">
        <v>617</v>
      </c>
      <c r="B289" s="6" t="s">
        <v>618</v>
      </c>
      <c r="C289" s="31">
        <v>352</v>
      </c>
      <c r="D289" s="24">
        <v>127</v>
      </c>
      <c r="E289" s="24">
        <v>274</v>
      </c>
      <c r="F289" s="8">
        <v>46</v>
      </c>
      <c r="G289" s="9">
        <v>133</v>
      </c>
      <c r="H289" s="8">
        <v>38.299999999999997</v>
      </c>
      <c r="I289" s="8">
        <v>48</v>
      </c>
      <c r="J289" s="8">
        <v>55</v>
      </c>
      <c r="K289" s="8">
        <v>87.5</v>
      </c>
      <c r="L289" s="9">
        <v>14</v>
      </c>
      <c r="M289" s="9">
        <v>44</v>
      </c>
      <c r="N289" s="9">
        <v>55</v>
      </c>
      <c r="O289" s="9">
        <v>60</v>
      </c>
      <c r="P289" s="9">
        <v>37</v>
      </c>
      <c r="Q289" s="9">
        <v>16</v>
      </c>
      <c r="R289" s="8">
        <v>0</v>
      </c>
      <c r="S289" s="9">
        <v>37</v>
      </c>
      <c r="T289" s="8">
        <v>518</v>
      </c>
      <c r="U289" s="8">
        <v>1</v>
      </c>
      <c r="V289" s="8">
        <v>0</v>
      </c>
      <c r="W289" s="7">
        <v>-1.2</v>
      </c>
      <c r="X289" s="7">
        <v>109.3</v>
      </c>
      <c r="Y289" s="7">
        <v>111.4</v>
      </c>
      <c r="Z289" s="7">
        <v>-2.1</v>
      </c>
      <c r="AA289" s="7">
        <v>17.100000000000001</v>
      </c>
      <c r="AB289" s="7">
        <v>1.62</v>
      </c>
      <c r="AC289" s="7">
        <v>15.2</v>
      </c>
      <c r="AD289" s="7">
        <v>2.2000000000000002</v>
      </c>
      <c r="AE289" s="7">
        <v>7.6</v>
      </c>
      <c r="AF289" s="7">
        <v>4.8</v>
      </c>
      <c r="AG289" s="7">
        <v>9.3000000000000007</v>
      </c>
      <c r="AH289" s="7">
        <v>55.3</v>
      </c>
      <c r="AI289" s="7">
        <v>58.9</v>
      </c>
      <c r="AJ289" s="7">
        <v>24.3</v>
      </c>
      <c r="AK289" s="7">
        <v>98.18</v>
      </c>
      <c r="AL289" s="7">
        <v>10.6</v>
      </c>
      <c r="AM289" s="7">
        <v>1210</v>
      </c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1"/>
    </row>
    <row r="290" spans="1:64" ht="13">
      <c r="A290" s="6" t="s">
        <v>619</v>
      </c>
      <c r="B290" s="6" t="s">
        <v>620</v>
      </c>
      <c r="C290" s="31">
        <v>347</v>
      </c>
      <c r="D290" s="24">
        <v>122</v>
      </c>
      <c r="E290" s="24">
        <v>286</v>
      </c>
      <c r="F290" s="8">
        <v>42.9</v>
      </c>
      <c r="G290" s="9">
        <v>143</v>
      </c>
      <c r="H290" s="8">
        <v>32.6</v>
      </c>
      <c r="I290" s="8">
        <v>54</v>
      </c>
      <c r="J290" s="8">
        <v>75</v>
      </c>
      <c r="K290" s="8">
        <v>72.400000000000006</v>
      </c>
      <c r="L290" s="9">
        <v>61</v>
      </c>
      <c r="M290" s="9">
        <v>156</v>
      </c>
      <c r="N290" s="9">
        <v>218</v>
      </c>
      <c r="O290" s="9">
        <v>54</v>
      </c>
      <c r="P290" s="9">
        <v>34</v>
      </c>
      <c r="Q290" s="9">
        <v>68</v>
      </c>
      <c r="R290" s="9">
        <v>34</v>
      </c>
      <c r="S290" s="9">
        <v>95</v>
      </c>
      <c r="T290" s="8">
        <v>952</v>
      </c>
      <c r="U290" s="8">
        <v>0</v>
      </c>
      <c r="V290" s="8">
        <v>0</v>
      </c>
      <c r="W290" s="7">
        <v>-3.1</v>
      </c>
      <c r="X290" s="7">
        <v>109.1</v>
      </c>
      <c r="Y290" s="7">
        <v>117</v>
      </c>
      <c r="Z290" s="7">
        <v>-7.8</v>
      </c>
      <c r="AA290" s="7">
        <v>5.9</v>
      </c>
      <c r="AB290" s="7">
        <v>1.75</v>
      </c>
      <c r="AC290" s="7">
        <v>13.8</v>
      </c>
      <c r="AD290" s="7">
        <v>4.2</v>
      </c>
      <c r="AE290" s="7">
        <v>12.2</v>
      </c>
      <c r="AF290" s="7">
        <v>8.1</v>
      </c>
      <c r="AG290" s="7">
        <v>7.9</v>
      </c>
      <c r="AH290" s="7">
        <v>50.9</v>
      </c>
      <c r="AI290" s="7">
        <v>54.1</v>
      </c>
      <c r="AJ290" s="7">
        <v>11.3</v>
      </c>
      <c r="AK290" s="7">
        <v>101.97</v>
      </c>
      <c r="AL290" s="7">
        <v>6.4</v>
      </c>
      <c r="AM290" s="7">
        <v>2671</v>
      </c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1"/>
    </row>
    <row r="291" spans="1:64" ht="13">
      <c r="A291" s="6" t="s">
        <v>621</v>
      </c>
      <c r="B291" s="6" t="s">
        <v>622</v>
      </c>
      <c r="C291" s="31">
        <v>347</v>
      </c>
      <c r="D291" s="24">
        <v>134</v>
      </c>
      <c r="E291" s="24">
        <v>269</v>
      </c>
      <c r="F291" s="8">
        <v>48.7</v>
      </c>
      <c r="G291" s="9">
        <v>118</v>
      </c>
      <c r="H291" s="8">
        <v>40.799999999999997</v>
      </c>
      <c r="I291" s="8">
        <v>34</v>
      </c>
      <c r="J291" s="8">
        <v>45</v>
      </c>
      <c r="K291" s="8">
        <v>80</v>
      </c>
      <c r="L291" s="9">
        <v>22</v>
      </c>
      <c r="M291" s="9">
        <v>90</v>
      </c>
      <c r="N291" s="9">
        <v>106</v>
      </c>
      <c r="O291" s="9">
        <v>106</v>
      </c>
      <c r="P291" s="9">
        <v>50</v>
      </c>
      <c r="Q291" s="9">
        <v>45</v>
      </c>
      <c r="R291" s="9">
        <v>17</v>
      </c>
      <c r="S291" s="9">
        <v>90</v>
      </c>
      <c r="T291" s="8">
        <v>756</v>
      </c>
      <c r="U291" s="8">
        <v>1</v>
      </c>
      <c r="V291" s="8">
        <v>0</v>
      </c>
      <c r="W291" s="7">
        <v>1.5</v>
      </c>
      <c r="X291" s="7">
        <v>114</v>
      </c>
      <c r="Y291" s="7">
        <v>108.6</v>
      </c>
      <c r="Z291" s="7">
        <v>5.4</v>
      </c>
      <c r="AA291" s="7">
        <v>17.3</v>
      </c>
      <c r="AB291" s="7">
        <v>1.96</v>
      </c>
      <c r="AC291" s="7">
        <v>23.3</v>
      </c>
      <c r="AD291" s="7">
        <v>2.7</v>
      </c>
      <c r="AE291" s="7">
        <v>9.8000000000000007</v>
      </c>
      <c r="AF291" s="7">
        <v>6.5</v>
      </c>
      <c r="AG291" s="7">
        <v>11.9</v>
      </c>
      <c r="AH291" s="7">
        <v>57.7</v>
      </c>
      <c r="AI291" s="7">
        <v>60</v>
      </c>
      <c r="AJ291" s="7">
        <v>17.899999999999999</v>
      </c>
      <c r="AK291" s="7">
        <v>101.74</v>
      </c>
      <c r="AL291" s="7">
        <v>8.8000000000000007</v>
      </c>
      <c r="AM291" s="7">
        <v>1732</v>
      </c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1"/>
    </row>
    <row r="292" spans="1:64" ht="13">
      <c r="A292" s="6" t="s">
        <v>623</v>
      </c>
      <c r="B292" s="6" t="s">
        <v>624</v>
      </c>
      <c r="C292" s="31">
        <v>342</v>
      </c>
      <c r="D292" s="24">
        <v>144</v>
      </c>
      <c r="E292" s="24">
        <v>281</v>
      </c>
      <c r="F292" s="8">
        <v>51.4</v>
      </c>
      <c r="G292" s="9">
        <v>8</v>
      </c>
      <c r="H292" s="8">
        <v>40</v>
      </c>
      <c r="I292" s="8">
        <v>53</v>
      </c>
      <c r="J292" s="8">
        <v>99</v>
      </c>
      <c r="K292" s="8">
        <v>56.6</v>
      </c>
      <c r="L292" s="9">
        <v>182</v>
      </c>
      <c r="M292" s="9">
        <v>274</v>
      </c>
      <c r="N292" s="9">
        <v>464</v>
      </c>
      <c r="O292" s="9">
        <v>122</v>
      </c>
      <c r="P292" s="9">
        <v>38</v>
      </c>
      <c r="Q292" s="9">
        <v>46</v>
      </c>
      <c r="R292" s="9">
        <v>38</v>
      </c>
      <c r="S292" s="9">
        <v>152</v>
      </c>
      <c r="T292" s="8">
        <v>1284</v>
      </c>
      <c r="U292" s="8">
        <v>2</v>
      </c>
      <c r="V292" s="8">
        <v>0</v>
      </c>
      <c r="W292" s="7">
        <v>1.5</v>
      </c>
      <c r="X292" s="7">
        <v>112.5</v>
      </c>
      <c r="Y292" s="7">
        <v>106.9</v>
      </c>
      <c r="Z292" s="7">
        <v>5.6</v>
      </c>
      <c r="AA292" s="7">
        <v>14.3</v>
      </c>
      <c r="AB292" s="7">
        <v>3.03</v>
      </c>
      <c r="AC292" s="7">
        <v>24.7</v>
      </c>
      <c r="AD292" s="7">
        <v>13.9</v>
      </c>
      <c r="AE292" s="7">
        <v>22.7</v>
      </c>
      <c r="AF292" s="7">
        <v>18.100000000000001</v>
      </c>
      <c r="AG292" s="7">
        <v>8.1999999999999993</v>
      </c>
      <c r="AH292" s="7">
        <v>51.8</v>
      </c>
      <c r="AI292" s="7">
        <v>53.5</v>
      </c>
      <c r="AJ292" s="7">
        <v>12.5</v>
      </c>
      <c r="AK292" s="7">
        <v>100.61</v>
      </c>
      <c r="AL292" s="7">
        <v>11.4</v>
      </c>
      <c r="AM292" s="7">
        <v>2386</v>
      </c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1"/>
    </row>
    <row r="293" spans="1:64" ht="13">
      <c r="A293" s="6" t="s">
        <v>625</v>
      </c>
      <c r="B293" s="6" t="s">
        <v>626</v>
      </c>
      <c r="C293" s="31">
        <v>341</v>
      </c>
      <c r="D293" s="24">
        <v>118</v>
      </c>
      <c r="E293" s="24">
        <v>267</v>
      </c>
      <c r="F293" s="8">
        <v>43.7</v>
      </c>
      <c r="G293" s="9">
        <v>180</v>
      </c>
      <c r="H293" s="8">
        <v>39.799999999999997</v>
      </c>
      <c r="I293" s="8">
        <v>31</v>
      </c>
      <c r="J293" s="8">
        <v>43</v>
      </c>
      <c r="K293" s="8">
        <v>82.9</v>
      </c>
      <c r="L293" s="9">
        <v>12</v>
      </c>
      <c r="M293" s="9">
        <v>62</v>
      </c>
      <c r="N293" s="9">
        <v>81</v>
      </c>
      <c r="O293" s="9">
        <v>81</v>
      </c>
      <c r="P293" s="9">
        <v>37</v>
      </c>
      <c r="Q293" s="9">
        <v>19</v>
      </c>
      <c r="R293" s="9">
        <v>12</v>
      </c>
      <c r="S293" s="9">
        <v>62</v>
      </c>
      <c r="T293" s="8">
        <v>614</v>
      </c>
      <c r="U293" s="8">
        <v>0</v>
      </c>
      <c r="V293" s="8">
        <v>0</v>
      </c>
      <c r="W293" s="7">
        <v>1.4</v>
      </c>
      <c r="X293" s="7">
        <v>110.3</v>
      </c>
      <c r="Y293" s="7">
        <v>103.6</v>
      </c>
      <c r="Z293" s="7">
        <v>6.7</v>
      </c>
      <c r="AA293" s="7">
        <v>14.2</v>
      </c>
      <c r="AB293" s="7">
        <v>2.2400000000000002</v>
      </c>
      <c r="AC293" s="7">
        <v>20.5</v>
      </c>
      <c r="AD293" s="7">
        <v>1.5</v>
      </c>
      <c r="AE293" s="7">
        <v>7.3</v>
      </c>
      <c r="AF293" s="7">
        <v>4.4000000000000004</v>
      </c>
      <c r="AG293" s="7">
        <v>9.1</v>
      </c>
      <c r="AH293" s="7">
        <v>57.1</v>
      </c>
      <c r="AI293" s="7">
        <v>59.4</v>
      </c>
      <c r="AJ293" s="7">
        <v>16.2</v>
      </c>
      <c r="AK293" s="7">
        <v>103.09</v>
      </c>
      <c r="AL293" s="7">
        <v>8.1999999999999993</v>
      </c>
      <c r="AM293" s="7">
        <v>1689</v>
      </c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1"/>
    </row>
    <row r="294" spans="1:64" ht="13">
      <c r="A294" s="6" t="s">
        <v>627</v>
      </c>
      <c r="B294" s="6" t="s">
        <v>628</v>
      </c>
      <c r="C294" s="31">
        <v>340</v>
      </c>
      <c r="D294" s="24">
        <v>122</v>
      </c>
      <c r="E294" s="24">
        <v>273</v>
      </c>
      <c r="F294" s="8">
        <v>44.9</v>
      </c>
      <c r="G294" s="9">
        <v>181</v>
      </c>
      <c r="H294" s="8">
        <v>40.799999999999997</v>
      </c>
      <c r="I294" s="8">
        <v>21</v>
      </c>
      <c r="J294" s="8">
        <v>25</v>
      </c>
      <c r="K294" s="8">
        <v>77.8</v>
      </c>
      <c r="L294" s="9">
        <v>34</v>
      </c>
      <c r="M294" s="9">
        <v>113</v>
      </c>
      <c r="N294" s="9">
        <v>147</v>
      </c>
      <c r="O294" s="9">
        <v>55</v>
      </c>
      <c r="P294" s="9">
        <v>34</v>
      </c>
      <c r="Q294" s="9">
        <v>17</v>
      </c>
      <c r="R294" s="9">
        <v>17</v>
      </c>
      <c r="S294" s="9">
        <v>84</v>
      </c>
      <c r="T294" s="8">
        <v>672</v>
      </c>
      <c r="U294" s="8">
        <v>0</v>
      </c>
      <c r="V294" s="8">
        <v>0</v>
      </c>
      <c r="W294" s="7">
        <v>1</v>
      </c>
      <c r="X294" s="7">
        <v>111.5</v>
      </c>
      <c r="Y294" s="7">
        <v>109.1</v>
      </c>
      <c r="Z294" s="7">
        <v>2.4</v>
      </c>
      <c r="AA294" s="7">
        <v>13.1</v>
      </c>
      <c r="AB294" s="7">
        <v>1.7</v>
      </c>
      <c r="AC294" s="7">
        <v>14.9</v>
      </c>
      <c r="AD294" s="7">
        <v>4.9000000000000004</v>
      </c>
      <c r="AE294" s="7">
        <v>16.600000000000001</v>
      </c>
      <c r="AF294" s="7">
        <v>10.6</v>
      </c>
      <c r="AG294" s="7">
        <v>8.8000000000000007</v>
      </c>
      <c r="AH294" s="7">
        <v>58.2</v>
      </c>
      <c r="AI294" s="7">
        <v>59.5</v>
      </c>
      <c r="AJ294" s="7">
        <v>19.7</v>
      </c>
      <c r="AK294" s="7">
        <v>100.02</v>
      </c>
      <c r="AL294" s="7">
        <v>9.5</v>
      </c>
      <c r="AM294" s="7">
        <v>1433</v>
      </c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1"/>
    </row>
    <row r="295" spans="1:64" ht="13">
      <c r="A295" s="6" t="s">
        <v>629</v>
      </c>
      <c r="B295" s="6" t="s">
        <v>630</v>
      </c>
      <c r="C295" s="31">
        <v>340</v>
      </c>
      <c r="D295" s="24">
        <v>131</v>
      </c>
      <c r="E295" s="24">
        <v>308</v>
      </c>
      <c r="F295" s="8">
        <v>42.1</v>
      </c>
      <c r="G295" s="9">
        <v>82</v>
      </c>
      <c r="H295" s="8">
        <v>33.299999999999997</v>
      </c>
      <c r="I295" s="8">
        <v>53</v>
      </c>
      <c r="J295" s="8">
        <v>66</v>
      </c>
      <c r="K295" s="8">
        <v>81.5</v>
      </c>
      <c r="L295" s="9">
        <v>41</v>
      </c>
      <c r="M295" s="9">
        <v>123</v>
      </c>
      <c r="N295" s="9">
        <v>164</v>
      </c>
      <c r="O295" s="9">
        <v>82</v>
      </c>
      <c r="P295" s="9">
        <v>41</v>
      </c>
      <c r="Q295" s="9">
        <v>33</v>
      </c>
      <c r="R295" s="9">
        <v>8</v>
      </c>
      <c r="S295" s="9">
        <v>70</v>
      </c>
      <c r="T295" s="8">
        <v>754</v>
      </c>
      <c r="U295" s="8">
        <v>0</v>
      </c>
      <c r="V295" s="8">
        <v>0</v>
      </c>
      <c r="W295" s="7">
        <v>-5.5</v>
      </c>
      <c r="X295" s="7">
        <v>104.8</v>
      </c>
      <c r="Y295" s="7">
        <v>116.8</v>
      </c>
      <c r="Z295" s="7">
        <v>-11.9</v>
      </c>
      <c r="AA295" s="7">
        <v>13.3</v>
      </c>
      <c r="AB295" s="7">
        <v>2.15</v>
      </c>
      <c r="AC295" s="7">
        <v>18.3</v>
      </c>
      <c r="AD295" s="7">
        <v>4</v>
      </c>
      <c r="AE295" s="7">
        <v>13.4</v>
      </c>
      <c r="AF295" s="7">
        <v>8.5</v>
      </c>
      <c r="AG295" s="7">
        <v>8.5</v>
      </c>
      <c r="AH295" s="7">
        <v>46.4</v>
      </c>
      <c r="AI295" s="7">
        <v>50.4</v>
      </c>
      <c r="AJ295" s="7">
        <v>16.899999999999999</v>
      </c>
      <c r="AK295" s="7">
        <v>100.19</v>
      </c>
      <c r="AL295" s="7">
        <v>7.8</v>
      </c>
      <c r="AM295" s="7">
        <v>1925</v>
      </c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1"/>
    </row>
    <row r="296" spans="1:64" ht="13">
      <c r="A296" s="6" t="s">
        <v>631</v>
      </c>
      <c r="B296" s="6" t="s">
        <v>632</v>
      </c>
      <c r="C296" s="31">
        <v>336</v>
      </c>
      <c r="D296" s="24">
        <v>127</v>
      </c>
      <c r="E296" s="24">
        <v>270</v>
      </c>
      <c r="F296" s="8">
        <v>46.4</v>
      </c>
      <c r="G296" s="9">
        <v>149</v>
      </c>
      <c r="H296" s="8">
        <v>37.1</v>
      </c>
      <c r="I296" s="8">
        <v>33</v>
      </c>
      <c r="J296" s="8">
        <v>44</v>
      </c>
      <c r="K296" s="8">
        <v>71.7</v>
      </c>
      <c r="L296" s="9">
        <v>50</v>
      </c>
      <c r="M296" s="9">
        <v>83</v>
      </c>
      <c r="N296" s="9">
        <v>132</v>
      </c>
      <c r="O296" s="9">
        <v>66</v>
      </c>
      <c r="P296" s="9">
        <v>22</v>
      </c>
      <c r="Q296" s="9">
        <v>33</v>
      </c>
      <c r="R296" s="9">
        <v>17</v>
      </c>
      <c r="S296" s="9">
        <v>105</v>
      </c>
      <c r="T296" s="8">
        <v>715</v>
      </c>
      <c r="U296" s="8">
        <v>0</v>
      </c>
      <c r="V296" s="8">
        <v>0</v>
      </c>
      <c r="W296" s="7">
        <v>4.5999999999999996</v>
      </c>
      <c r="X296" s="7">
        <v>122.1</v>
      </c>
      <c r="Y296" s="7">
        <v>109.7</v>
      </c>
      <c r="Z296" s="7">
        <v>12.5</v>
      </c>
      <c r="AA296" s="7">
        <v>7.8</v>
      </c>
      <c r="AB296" s="7">
        <v>2.96</v>
      </c>
      <c r="AC296" s="7">
        <v>17.899999999999999</v>
      </c>
      <c r="AD296" s="7">
        <v>4.7</v>
      </c>
      <c r="AE296" s="7">
        <v>7.2</v>
      </c>
      <c r="AF296" s="7">
        <v>6</v>
      </c>
      <c r="AG296" s="7">
        <v>6.1</v>
      </c>
      <c r="AH296" s="7">
        <v>56.9</v>
      </c>
      <c r="AI296" s="7">
        <v>58.7</v>
      </c>
      <c r="AJ296" s="7">
        <v>12.4</v>
      </c>
      <c r="AK296" s="7">
        <v>100.08</v>
      </c>
      <c r="AL296" s="7">
        <v>5.7</v>
      </c>
      <c r="AM296" s="7">
        <v>2187</v>
      </c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1"/>
    </row>
    <row r="297" spans="1:64" ht="13">
      <c r="A297" s="6" t="s">
        <v>633</v>
      </c>
      <c r="B297" s="6" t="s">
        <v>634</v>
      </c>
      <c r="C297" s="31">
        <v>336</v>
      </c>
      <c r="D297" s="24">
        <v>133</v>
      </c>
      <c r="E297" s="24">
        <v>191</v>
      </c>
      <c r="F297" s="8">
        <v>70.3</v>
      </c>
      <c r="G297" s="8">
        <v>0</v>
      </c>
      <c r="H297" s="8">
        <v>0</v>
      </c>
      <c r="I297" s="8">
        <v>70</v>
      </c>
      <c r="J297" s="8">
        <v>99</v>
      </c>
      <c r="K297" s="8">
        <v>67</v>
      </c>
      <c r="L297" s="9">
        <v>93</v>
      </c>
      <c r="M297" s="9">
        <v>151</v>
      </c>
      <c r="N297" s="9">
        <v>244</v>
      </c>
      <c r="O297" s="9">
        <v>29</v>
      </c>
      <c r="P297" s="9">
        <v>64</v>
      </c>
      <c r="Q297" s="9">
        <v>23</v>
      </c>
      <c r="R297" s="9">
        <v>70</v>
      </c>
      <c r="S297" s="9">
        <v>128</v>
      </c>
      <c r="T297" s="8">
        <v>893</v>
      </c>
      <c r="U297" s="8">
        <v>3</v>
      </c>
      <c r="V297" s="8">
        <v>0</v>
      </c>
      <c r="W297" s="7">
        <v>-1.9</v>
      </c>
      <c r="X297" s="7">
        <v>107.4</v>
      </c>
      <c r="Y297" s="7">
        <v>114</v>
      </c>
      <c r="Z297" s="7">
        <v>-6.6</v>
      </c>
      <c r="AA297" s="7">
        <v>4.3</v>
      </c>
      <c r="AB297" s="7">
        <v>0.44</v>
      </c>
      <c r="AC297" s="7">
        <v>8.4</v>
      </c>
      <c r="AD297" s="7">
        <v>9.6999999999999993</v>
      </c>
      <c r="AE297" s="7">
        <v>16.399999999999999</v>
      </c>
      <c r="AF297" s="7">
        <v>13</v>
      </c>
      <c r="AG297" s="7">
        <v>18.899999999999999</v>
      </c>
      <c r="AH297" s="7">
        <v>70.3</v>
      </c>
      <c r="AI297" s="7">
        <v>71.400000000000006</v>
      </c>
      <c r="AJ297" s="7">
        <v>13.5</v>
      </c>
      <c r="AK297" s="7">
        <v>100.51</v>
      </c>
      <c r="AL297" s="7">
        <v>9.3000000000000007</v>
      </c>
      <c r="AM297" s="7">
        <v>1900</v>
      </c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1"/>
    </row>
    <row r="298" spans="1:64" ht="13">
      <c r="A298" s="6" t="s">
        <v>635</v>
      </c>
      <c r="B298" s="6" t="s">
        <v>636</v>
      </c>
      <c r="C298" s="31">
        <v>334</v>
      </c>
      <c r="D298" s="24">
        <v>120</v>
      </c>
      <c r="E298" s="24">
        <v>290</v>
      </c>
      <c r="F298" s="8">
        <v>41.8</v>
      </c>
      <c r="G298" s="9">
        <v>202</v>
      </c>
      <c r="H298" s="8">
        <v>34.200000000000003</v>
      </c>
      <c r="I298" s="8">
        <v>25</v>
      </c>
      <c r="J298" s="8">
        <v>25</v>
      </c>
      <c r="K298" s="8">
        <v>88.9</v>
      </c>
      <c r="L298" s="9">
        <v>44</v>
      </c>
      <c r="M298" s="9">
        <v>132</v>
      </c>
      <c r="N298" s="9">
        <v>176</v>
      </c>
      <c r="O298" s="9">
        <v>82</v>
      </c>
      <c r="P298" s="9">
        <v>19</v>
      </c>
      <c r="Q298" s="9">
        <v>38</v>
      </c>
      <c r="R298" s="9">
        <v>13</v>
      </c>
      <c r="S298" s="9">
        <v>126</v>
      </c>
      <c r="T298" s="8">
        <v>806</v>
      </c>
      <c r="U298" s="8">
        <v>0</v>
      </c>
      <c r="V298" s="8">
        <v>0</v>
      </c>
      <c r="W298" s="7">
        <v>-0.9</v>
      </c>
      <c r="X298" s="7">
        <v>111.2</v>
      </c>
      <c r="Y298" s="7">
        <v>113.4</v>
      </c>
      <c r="Z298" s="7">
        <v>-2.2000000000000002</v>
      </c>
      <c r="AA298" s="7">
        <v>8.6999999999999993</v>
      </c>
      <c r="AB298" s="7">
        <v>3.86</v>
      </c>
      <c r="AC298" s="7">
        <v>21</v>
      </c>
      <c r="AD298" s="7">
        <v>3.5</v>
      </c>
      <c r="AE298" s="7">
        <v>10.6</v>
      </c>
      <c r="AF298" s="7">
        <v>7</v>
      </c>
      <c r="AG298" s="7">
        <v>5.4</v>
      </c>
      <c r="AH298" s="7">
        <v>53.7</v>
      </c>
      <c r="AI298" s="7">
        <v>55.5</v>
      </c>
      <c r="AJ298" s="7">
        <v>10.8</v>
      </c>
      <c r="AK298" s="7">
        <v>102.92</v>
      </c>
      <c r="AL298" s="7">
        <v>5.5</v>
      </c>
      <c r="AM298" s="7">
        <v>2636</v>
      </c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1"/>
    </row>
    <row r="299" spans="1:64" ht="13">
      <c r="A299" s="6" t="s">
        <v>637</v>
      </c>
      <c r="B299" s="6" t="s">
        <v>638</v>
      </c>
      <c r="C299" s="31">
        <v>334</v>
      </c>
      <c r="D299" s="24">
        <v>118</v>
      </c>
      <c r="E299" s="24">
        <v>300</v>
      </c>
      <c r="F299" s="8">
        <v>39.1</v>
      </c>
      <c r="G299" s="9">
        <v>201</v>
      </c>
      <c r="H299" s="8">
        <v>34.5</v>
      </c>
      <c r="I299" s="8">
        <v>27</v>
      </c>
      <c r="J299" s="8">
        <v>34</v>
      </c>
      <c r="K299" s="8">
        <v>80</v>
      </c>
      <c r="L299" s="9">
        <v>23</v>
      </c>
      <c r="M299" s="9">
        <v>68</v>
      </c>
      <c r="N299" s="9">
        <v>91</v>
      </c>
      <c r="O299" s="9">
        <v>76</v>
      </c>
      <c r="P299" s="9">
        <v>53</v>
      </c>
      <c r="Q299" s="9">
        <v>19</v>
      </c>
      <c r="R299" s="9">
        <v>8</v>
      </c>
      <c r="S299" s="9">
        <v>42</v>
      </c>
      <c r="T299" s="8">
        <v>581</v>
      </c>
      <c r="U299" s="8">
        <v>0</v>
      </c>
      <c r="V299" s="8">
        <v>0</v>
      </c>
      <c r="W299" s="7">
        <v>-2.8</v>
      </c>
      <c r="X299" s="7">
        <v>110.3</v>
      </c>
      <c r="Y299" s="7">
        <v>117.7</v>
      </c>
      <c r="Z299" s="7">
        <v>-7.4</v>
      </c>
      <c r="AA299" s="7">
        <v>14.4</v>
      </c>
      <c r="AB299" s="7">
        <v>1.46</v>
      </c>
      <c r="AC299" s="7">
        <v>17.100000000000001</v>
      </c>
      <c r="AD299" s="7">
        <v>2.6</v>
      </c>
      <c r="AE299" s="7">
        <v>8.5</v>
      </c>
      <c r="AF299" s="7">
        <v>5.5</v>
      </c>
      <c r="AG299" s="7">
        <v>11.7</v>
      </c>
      <c r="AH299" s="7">
        <v>50.7</v>
      </c>
      <c r="AI299" s="7">
        <v>52.6</v>
      </c>
      <c r="AJ299" s="7">
        <v>19.8</v>
      </c>
      <c r="AK299" s="7">
        <v>101.83</v>
      </c>
      <c r="AL299" s="7">
        <v>6.7</v>
      </c>
      <c r="AM299" s="7">
        <v>1619</v>
      </c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1"/>
    </row>
    <row r="300" spans="1:64" ht="13">
      <c r="A300" s="6" t="s">
        <v>639</v>
      </c>
      <c r="B300" s="6" t="s">
        <v>640</v>
      </c>
      <c r="C300" s="31">
        <v>333</v>
      </c>
      <c r="D300" s="24">
        <v>126</v>
      </c>
      <c r="E300" s="24">
        <v>200</v>
      </c>
      <c r="F300" s="8">
        <v>61.9</v>
      </c>
      <c r="G300" s="9">
        <v>7</v>
      </c>
      <c r="H300" s="8">
        <v>0</v>
      </c>
      <c r="I300" s="8">
        <v>81</v>
      </c>
      <c r="J300" s="8">
        <v>126</v>
      </c>
      <c r="K300" s="8">
        <v>64.8</v>
      </c>
      <c r="L300" s="9">
        <v>118</v>
      </c>
      <c r="M300" s="9">
        <v>340</v>
      </c>
      <c r="N300" s="9">
        <v>451</v>
      </c>
      <c r="O300" s="9">
        <v>133</v>
      </c>
      <c r="P300" s="9">
        <v>59</v>
      </c>
      <c r="Q300" s="9">
        <v>30</v>
      </c>
      <c r="R300" s="9">
        <v>44</v>
      </c>
      <c r="S300" s="9">
        <v>155</v>
      </c>
      <c r="T300" s="8">
        <v>1258</v>
      </c>
      <c r="U300" s="8">
        <v>2</v>
      </c>
      <c r="V300" s="8">
        <v>0</v>
      </c>
      <c r="W300" s="7">
        <v>0.7</v>
      </c>
      <c r="X300" s="7">
        <v>115.2</v>
      </c>
      <c r="Y300" s="7">
        <v>115</v>
      </c>
      <c r="Z300" s="7">
        <v>0.2</v>
      </c>
      <c r="AA300" s="7">
        <v>13.3</v>
      </c>
      <c r="AB300" s="7">
        <v>2.27</v>
      </c>
      <c r="AC300" s="7">
        <v>29.5</v>
      </c>
      <c r="AD300" s="7">
        <v>9.4</v>
      </c>
      <c r="AE300" s="7">
        <v>25.3</v>
      </c>
      <c r="AF300" s="7">
        <v>17.600000000000001</v>
      </c>
      <c r="AG300" s="7">
        <v>13</v>
      </c>
      <c r="AH300" s="7">
        <v>61.9</v>
      </c>
      <c r="AI300" s="7">
        <v>64.5</v>
      </c>
      <c r="AJ300" s="7">
        <v>10.5</v>
      </c>
      <c r="AK300" s="7">
        <v>100.08</v>
      </c>
      <c r="AL300" s="7">
        <v>9.8000000000000007</v>
      </c>
      <c r="AM300" s="7">
        <v>2732</v>
      </c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1"/>
    </row>
    <row r="301" spans="1:64" ht="13">
      <c r="A301" s="6" t="s">
        <v>641</v>
      </c>
      <c r="B301" s="6" t="s">
        <v>642</v>
      </c>
      <c r="C301" s="31">
        <v>331</v>
      </c>
      <c r="D301" s="24">
        <v>129</v>
      </c>
      <c r="E301" s="24">
        <v>239</v>
      </c>
      <c r="F301" s="8">
        <v>53.8</v>
      </c>
      <c r="G301" s="9">
        <v>46</v>
      </c>
      <c r="H301" s="8">
        <v>39.6</v>
      </c>
      <c r="I301" s="8">
        <v>55</v>
      </c>
      <c r="J301" s="8">
        <v>69</v>
      </c>
      <c r="K301" s="8">
        <v>82.1</v>
      </c>
      <c r="L301" s="9">
        <v>32</v>
      </c>
      <c r="M301" s="9">
        <v>83</v>
      </c>
      <c r="N301" s="9">
        <v>115</v>
      </c>
      <c r="O301" s="9">
        <v>193</v>
      </c>
      <c r="P301" s="9">
        <v>37</v>
      </c>
      <c r="Q301" s="9">
        <v>37</v>
      </c>
      <c r="R301" s="9">
        <v>9</v>
      </c>
      <c r="S301" s="9">
        <v>55</v>
      </c>
      <c r="T301" s="8">
        <v>865</v>
      </c>
      <c r="U301" s="8">
        <v>1</v>
      </c>
      <c r="V301" s="8">
        <v>0</v>
      </c>
      <c r="W301" s="7">
        <v>-0.7</v>
      </c>
      <c r="X301" s="7">
        <v>112</v>
      </c>
      <c r="Y301" s="7">
        <v>113.5</v>
      </c>
      <c r="Z301" s="7">
        <v>-1.5</v>
      </c>
      <c r="AA301" s="7">
        <v>28.9</v>
      </c>
      <c r="AB301" s="7">
        <v>5.49</v>
      </c>
      <c r="AC301" s="7">
        <v>38.9</v>
      </c>
      <c r="AD301" s="7">
        <v>3.2</v>
      </c>
      <c r="AE301" s="7">
        <v>8.6</v>
      </c>
      <c r="AF301" s="7">
        <v>5.9</v>
      </c>
      <c r="AG301" s="7">
        <v>7.1</v>
      </c>
      <c r="AH301" s="7">
        <v>57.8</v>
      </c>
      <c r="AI301" s="7">
        <v>61.7</v>
      </c>
      <c r="AJ301" s="7">
        <v>13.6</v>
      </c>
      <c r="AK301" s="7">
        <v>103.35</v>
      </c>
      <c r="AL301" s="7">
        <v>11</v>
      </c>
      <c r="AM301" s="7">
        <v>1948</v>
      </c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1"/>
    </row>
    <row r="302" spans="1:64" ht="13">
      <c r="A302" s="6" t="s">
        <v>643</v>
      </c>
      <c r="B302" s="6" t="s">
        <v>644</v>
      </c>
      <c r="C302" s="31">
        <v>329</v>
      </c>
      <c r="D302" s="24">
        <v>117</v>
      </c>
      <c r="E302" s="24">
        <v>270</v>
      </c>
      <c r="F302" s="8">
        <v>44.8</v>
      </c>
      <c r="G302" s="9">
        <v>102</v>
      </c>
      <c r="H302" s="8">
        <v>35.6</v>
      </c>
      <c r="I302" s="8">
        <v>51</v>
      </c>
      <c r="J302" s="8">
        <v>66</v>
      </c>
      <c r="K302" s="8">
        <v>71</v>
      </c>
      <c r="L302" s="9">
        <v>37</v>
      </c>
      <c r="M302" s="9">
        <v>88</v>
      </c>
      <c r="N302" s="9">
        <v>124</v>
      </c>
      <c r="O302" s="9">
        <v>95</v>
      </c>
      <c r="P302" s="9">
        <v>51</v>
      </c>
      <c r="Q302" s="9">
        <v>44</v>
      </c>
      <c r="R302" s="9">
        <v>15</v>
      </c>
      <c r="S302" s="9">
        <v>117</v>
      </c>
      <c r="T302" s="8">
        <v>745</v>
      </c>
      <c r="U302" s="8">
        <v>0</v>
      </c>
      <c r="V302" s="8">
        <v>0</v>
      </c>
      <c r="W302" s="7">
        <v>-2.4</v>
      </c>
      <c r="X302" s="7">
        <v>104</v>
      </c>
      <c r="Y302" s="7">
        <v>111.6</v>
      </c>
      <c r="Z302" s="7">
        <v>-7.6</v>
      </c>
      <c r="AA302" s="7">
        <v>13.6</v>
      </c>
      <c r="AB302" s="7">
        <v>1.83</v>
      </c>
      <c r="AC302" s="7">
        <v>21.6</v>
      </c>
      <c r="AD302" s="7">
        <v>3.4</v>
      </c>
      <c r="AE302" s="7">
        <v>8</v>
      </c>
      <c r="AF302" s="7">
        <v>5.7</v>
      </c>
      <c r="AG302" s="7">
        <v>11.8</v>
      </c>
      <c r="AH302" s="7">
        <v>51.7</v>
      </c>
      <c r="AI302" s="7">
        <v>54.6</v>
      </c>
      <c r="AJ302" s="7">
        <v>14.2</v>
      </c>
      <c r="AK302" s="7">
        <v>106.51</v>
      </c>
      <c r="AL302" s="7">
        <v>5.6</v>
      </c>
      <c r="AM302" s="7">
        <v>2188</v>
      </c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1"/>
    </row>
    <row r="303" spans="1:64" ht="13">
      <c r="A303" s="6" t="s">
        <v>645</v>
      </c>
      <c r="B303" s="6" t="s">
        <v>646</v>
      </c>
      <c r="C303" s="31">
        <v>329</v>
      </c>
      <c r="D303" s="24">
        <v>119</v>
      </c>
      <c r="E303" s="24">
        <v>242</v>
      </c>
      <c r="F303" s="8">
        <v>49.6</v>
      </c>
      <c r="G303" s="9">
        <v>102</v>
      </c>
      <c r="H303" s="8">
        <v>37.299999999999997</v>
      </c>
      <c r="I303" s="8">
        <v>53</v>
      </c>
      <c r="J303" s="8">
        <v>67</v>
      </c>
      <c r="K303" s="8">
        <v>77.599999999999994</v>
      </c>
      <c r="L303" s="9">
        <v>25</v>
      </c>
      <c r="M303" s="9">
        <v>105</v>
      </c>
      <c r="N303" s="9">
        <v>130</v>
      </c>
      <c r="O303" s="9">
        <v>39</v>
      </c>
      <c r="P303" s="9">
        <v>42</v>
      </c>
      <c r="Q303" s="9">
        <v>11</v>
      </c>
      <c r="R303" s="9">
        <v>25</v>
      </c>
      <c r="S303" s="9">
        <v>56</v>
      </c>
      <c r="T303" s="8">
        <v>606</v>
      </c>
      <c r="U303" s="8">
        <v>1</v>
      </c>
      <c r="V303" s="8">
        <v>0</v>
      </c>
      <c r="W303" s="7">
        <v>-3.6</v>
      </c>
      <c r="X303" s="7">
        <v>102.6</v>
      </c>
      <c r="Y303" s="7">
        <v>114.3</v>
      </c>
      <c r="Z303" s="7">
        <v>-11.7</v>
      </c>
      <c r="AA303" s="7">
        <v>13.6</v>
      </c>
      <c r="AB303" s="7">
        <v>0.93</v>
      </c>
      <c r="AC303" s="7">
        <v>11.1</v>
      </c>
      <c r="AD303" s="7">
        <v>4.5999999999999996</v>
      </c>
      <c r="AE303" s="7">
        <v>18.600000000000001</v>
      </c>
      <c r="AF303" s="7">
        <v>11.6</v>
      </c>
      <c r="AG303" s="7">
        <v>12</v>
      </c>
      <c r="AH303" s="7">
        <v>57.4</v>
      </c>
      <c r="AI303" s="7">
        <v>60.8</v>
      </c>
      <c r="AJ303" s="7">
        <v>25.2</v>
      </c>
      <c r="AK303" s="7">
        <v>102.79</v>
      </c>
      <c r="AL303" s="7">
        <v>12.7</v>
      </c>
      <c r="AM303" s="7">
        <v>1099</v>
      </c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1"/>
    </row>
    <row r="304" spans="1:64" ht="13">
      <c r="A304" s="6" t="s">
        <v>647</v>
      </c>
      <c r="B304" s="6" t="s">
        <v>648</v>
      </c>
      <c r="C304" s="31">
        <v>323</v>
      </c>
      <c r="D304" s="24">
        <v>134</v>
      </c>
      <c r="E304" s="24">
        <v>235</v>
      </c>
      <c r="F304" s="8">
        <v>57.4</v>
      </c>
      <c r="G304" s="9">
        <v>67</v>
      </c>
      <c r="H304" s="8">
        <v>31.8</v>
      </c>
      <c r="I304" s="8">
        <v>34</v>
      </c>
      <c r="J304" s="8">
        <v>42</v>
      </c>
      <c r="K304" s="8">
        <v>77.3</v>
      </c>
      <c r="L304" s="9">
        <v>63</v>
      </c>
      <c r="M304" s="9">
        <v>147</v>
      </c>
      <c r="N304" s="9">
        <v>210</v>
      </c>
      <c r="O304" s="9">
        <v>46</v>
      </c>
      <c r="P304" s="9">
        <v>42</v>
      </c>
      <c r="Q304" s="9">
        <v>21</v>
      </c>
      <c r="R304" s="9">
        <v>42</v>
      </c>
      <c r="S304" s="9">
        <v>105</v>
      </c>
      <c r="T304" s="8">
        <v>790</v>
      </c>
      <c r="U304" s="8">
        <v>4</v>
      </c>
      <c r="V304" s="8">
        <v>0</v>
      </c>
      <c r="W304" s="7">
        <v>-2.1</v>
      </c>
      <c r="X304" s="7">
        <v>109.4</v>
      </c>
      <c r="Y304" s="7">
        <v>114.1</v>
      </c>
      <c r="Z304" s="7">
        <v>-4.7</v>
      </c>
      <c r="AA304" s="7">
        <v>8.3000000000000007</v>
      </c>
      <c r="AB304" s="7">
        <v>1.07</v>
      </c>
      <c r="AC304" s="7">
        <v>13.5</v>
      </c>
      <c r="AD304" s="7">
        <v>7.9</v>
      </c>
      <c r="AE304" s="7">
        <v>17.7</v>
      </c>
      <c r="AF304" s="7">
        <v>12.9</v>
      </c>
      <c r="AG304" s="7">
        <v>12.6</v>
      </c>
      <c r="AH304" s="7">
        <v>61.9</v>
      </c>
      <c r="AI304" s="7">
        <v>63.9</v>
      </c>
      <c r="AJ304" s="7">
        <v>15.5</v>
      </c>
      <c r="AK304" s="7">
        <v>101.91</v>
      </c>
      <c r="AL304" s="7">
        <v>9.6</v>
      </c>
      <c r="AM304" s="7">
        <v>1674</v>
      </c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1"/>
    </row>
    <row r="305" spans="1:64" ht="13">
      <c r="A305" s="6" t="s">
        <v>649</v>
      </c>
      <c r="B305" s="6" t="s">
        <v>650</v>
      </c>
      <c r="C305" s="31">
        <v>319</v>
      </c>
      <c r="D305" s="24">
        <v>112</v>
      </c>
      <c r="E305" s="24">
        <v>271</v>
      </c>
      <c r="F305" s="8">
        <v>41.3</v>
      </c>
      <c r="G305" s="9">
        <v>224</v>
      </c>
      <c r="H305" s="8">
        <v>36</v>
      </c>
      <c r="I305" s="8">
        <v>18</v>
      </c>
      <c r="J305" s="8">
        <v>30</v>
      </c>
      <c r="K305" s="8">
        <v>53.3</v>
      </c>
      <c r="L305" s="9">
        <v>53</v>
      </c>
      <c r="M305" s="9">
        <v>201</v>
      </c>
      <c r="N305" s="9">
        <v>248</v>
      </c>
      <c r="O305" s="9">
        <v>77</v>
      </c>
      <c r="P305" s="9">
        <v>24</v>
      </c>
      <c r="Q305" s="9">
        <v>41</v>
      </c>
      <c r="R305" s="9">
        <v>18</v>
      </c>
      <c r="S305" s="9">
        <v>100</v>
      </c>
      <c r="T305" s="8">
        <v>897</v>
      </c>
      <c r="U305" s="8">
        <v>1</v>
      </c>
      <c r="V305" s="8">
        <v>0</v>
      </c>
      <c r="W305" s="7">
        <v>4.8</v>
      </c>
      <c r="X305" s="7">
        <v>120</v>
      </c>
      <c r="Y305" s="7">
        <v>109.4</v>
      </c>
      <c r="Z305" s="7">
        <v>10.7</v>
      </c>
      <c r="AA305" s="7">
        <v>7.3</v>
      </c>
      <c r="AB305" s="7">
        <v>3.45</v>
      </c>
      <c r="AC305" s="7">
        <v>20.100000000000001</v>
      </c>
      <c r="AD305" s="7">
        <v>4.0999999999999996</v>
      </c>
      <c r="AE305" s="7">
        <v>15</v>
      </c>
      <c r="AF305" s="7">
        <v>9.6999999999999993</v>
      </c>
      <c r="AG305" s="7">
        <v>5.8</v>
      </c>
      <c r="AH305" s="7">
        <v>56.1</v>
      </c>
      <c r="AI305" s="7">
        <v>56.3</v>
      </c>
      <c r="AJ305" s="7">
        <v>10.1</v>
      </c>
      <c r="AK305" s="7">
        <v>101.1</v>
      </c>
      <c r="AL305" s="7">
        <v>6.7</v>
      </c>
      <c r="AM305" s="7">
        <v>2639</v>
      </c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1"/>
    </row>
    <row r="306" spans="1:64" ht="13">
      <c r="A306" s="6" t="s">
        <v>651</v>
      </c>
      <c r="B306" s="6" t="s">
        <v>652</v>
      </c>
      <c r="C306" s="31">
        <v>315</v>
      </c>
      <c r="D306" s="24">
        <v>118</v>
      </c>
      <c r="E306" s="24">
        <v>291</v>
      </c>
      <c r="F306" s="8">
        <v>40.5</v>
      </c>
      <c r="G306" s="9">
        <v>165</v>
      </c>
      <c r="H306" s="8">
        <v>33.5</v>
      </c>
      <c r="I306" s="8">
        <v>24</v>
      </c>
      <c r="J306" s="8">
        <v>28</v>
      </c>
      <c r="K306" s="8">
        <v>80</v>
      </c>
      <c r="L306" s="9">
        <v>38</v>
      </c>
      <c r="M306" s="9">
        <v>99</v>
      </c>
      <c r="N306" s="9">
        <v>136</v>
      </c>
      <c r="O306" s="9">
        <v>52</v>
      </c>
      <c r="P306" s="9">
        <v>33</v>
      </c>
      <c r="Q306" s="9">
        <v>28</v>
      </c>
      <c r="R306" s="9">
        <v>24</v>
      </c>
      <c r="S306" s="9">
        <v>99</v>
      </c>
      <c r="T306" s="8">
        <v>677</v>
      </c>
      <c r="U306" s="8">
        <v>0</v>
      </c>
      <c r="V306" s="8">
        <v>0</v>
      </c>
      <c r="W306" s="7">
        <v>-5.9</v>
      </c>
      <c r="X306" s="7">
        <v>106.6</v>
      </c>
      <c r="Y306" s="7">
        <v>118.2</v>
      </c>
      <c r="Z306" s="7">
        <v>-11.6</v>
      </c>
      <c r="AA306" s="7">
        <v>7.3</v>
      </c>
      <c r="AB306" s="7">
        <v>1.51</v>
      </c>
      <c r="AC306" s="7">
        <v>13.5</v>
      </c>
      <c r="AD306" s="7">
        <v>3.3</v>
      </c>
      <c r="AE306" s="7">
        <v>8.6999999999999993</v>
      </c>
      <c r="AF306" s="7">
        <v>6</v>
      </c>
      <c r="AG306" s="7">
        <v>8.9</v>
      </c>
      <c r="AH306" s="7">
        <v>50</v>
      </c>
      <c r="AI306" s="7">
        <v>51.8</v>
      </c>
      <c r="AJ306" s="7">
        <v>13.6</v>
      </c>
      <c r="AK306" s="7">
        <v>98.04</v>
      </c>
      <c r="AL306" s="7">
        <v>4.5999999999999996</v>
      </c>
      <c r="AM306" s="7">
        <v>2179</v>
      </c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1"/>
    </row>
    <row r="307" spans="1:64" ht="13">
      <c r="A307" s="6" t="s">
        <v>653</v>
      </c>
      <c r="B307" s="6" t="s">
        <v>654</v>
      </c>
      <c r="C307" s="31">
        <v>314</v>
      </c>
      <c r="D307" s="24">
        <v>114</v>
      </c>
      <c r="E307" s="24">
        <v>257</v>
      </c>
      <c r="F307" s="8">
        <v>45.3</v>
      </c>
      <c r="G307" s="9">
        <v>108</v>
      </c>
      <c r="H307" s="8">
        <v>35.799999999999997</v>
      </c>
      <c r="I307" s="8">
        <v>46</v>
      </c>
      <c r="J307" s="8">
        <v>57</v>
      </c>
      <c r="K307" s="8">
        <v>79.7</v>
      </c>
      <c r="L307" s="9">
        <v>29</v>
      </c>
      <c r="M307" s="9">
        <v>74</v>
      </c>
      <c r="N307" s="9">
        <v>103</v>
      </c>
      <c r="O307" s="9">
        <v>103</v>
      </c>
      <c r="P307" s="9">
        <v>40</v>
      </c>
      <c r="Q307" s="9">
        <v>23</v>
      </c>
      <c r="R307" s="9">
        <v>6</v>
      </c>
      <c r="S307" s="9">
        <v>68</v>
      </c>
      <c r="T307" s="8">
        <v>638</v>
      </c>
      <c r="U307" s="8">
        <v>1</v>
      </c>
      <c r="V307" s="8">
        <v>0</v>
      </c>
      <c r="W307" s="7">
        <v>-2.1</v>
      </c>
      <c r="X307" s="7">
        <v>106.2</v>
      </c>
      <c r="Y307" s="7">
        <v>113.1</v>
      </c>
      <c r="Z307" s="7">
        <v>-6.9</v>
      </c>
      <c r="AA307" s="7">
        <v>18.399999999999999</v>
      </c>
      <c r="AB307" s="7">
        <v>2.5499999999999998</v>
      </c>
      <c r="AC307" s="7">
        <v>24.2</v>
      </c>
      <c r="AD307" s="7">
        <v>3.6</v>
      </c>
      <c r="AE307" s="7">
        <v>8.6</v>
      </c>
      <c r="AF307" s="7">
        <v>6.1</v>
      </c>
      <c r="AG307" s="7">
        <v>9.5</v>
      </c>
      <c r="AH307" s="7">
        <v>52.8</v>
      </c>
      <c r="AI307" s="7">
        <v>56.3</v>
      </c>
      <c r="AJ307" s="7">
        <v>16.2</v>
      </c>
      <c r="AK307" s="7">
        <v>98.81</v>
      </c>
      <c r="AL307" s="7">
        <v>8.1</v>
      </c>
      <c r="AM307" s="7">
        <v>1722</v>
      </c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1"/>
    </row>
    <row r="308" spans="1:64" ht="13">
      <c r="A308" s="6" t="s">
        <v>655</v>
      </c>
      <c r="B308" s="6" t="s">
        <v>656</v>
      </c>
      <c r="C308" s="31">
        <v>313</v>
      </c>
      <c r="D308" s="24">
        <v>133</v>
      </c>
      <c r="E308" s="24">
        <v>191</v>
      </c>
      <c r="F308" s="8">
        <v>70.2</v>
      </c>
      <c r="G308" s="8">
        <v>0</v>
      </c>
      <c r="H308" s="8">
        <v>0</v>
      </c>
      <c r="I308" s="8">
        <v>47</v>
      </c>
      <c r="J308" s="8">
        <v>72</v>
      </c>
      <c r="K308" s="8">
        <v>63</v>
      </c>
      <c r="L308" s="9">
        <v>104</v>
      </c>
      <c r="M308" s="9">
        <v>166</v>
      </c>
      <c r="N308" s="9">
        <v>270</v>
      </c>
      <c r="O308" s="9">
        <v>86</v>
      </c>
      <c r="P308" s="9">
        <v>40</v>
      </c>
      <c r="Q308" s="9">
        <v>22</v>
      </c>
      <c r="R308" s="9">
        <v>58</v>
      </c>
      <c r="S308" s="9">
        <v>101</v>
      </c>
      <c r="T308" s="8">
        <v>954</v>
      </c>
      <c r="U308" s="8">
        <v>8</v>
      </c>
      <c r="V308" s="8">
        <v>0</v>
      </c>
      <c r="W308" s="7">
        <v>3.4</v>
      </c>
      <c r="X308" s="7">
        <v>114.1</v>
      </c>
      <c r="Y308" s="7">
        <v>106.4</v>
      </c>
      <c r="Z308" s="7">
        <v>7.7</v>
      </c>
      <c r="AA308" s="7">
        <v>14.3</v>
      </c>
      <c r="AB308" s="7">
        <v>2.0699999999999998</v>
      </c>
      <c r="AC308" s="7">
        <v>24.3</v>
      </c>
      <c r="AD308" s="7">
        <v>12.2</v>
      </c>
      <c r="AE308" s="7">
        <v>18.600000000000001</v>
      </c>
      <c r="AF308" s="7">
        <v>15.5</v>
      </c>
      <c r="AG308" s="7">
        <v>11.7</v>
      </c>
      <c r="AH308" s="7">
        <v>70.2</v>
      </c>
      <c r="AI308" s="7">
        <v>70.400000000000006</v>
      </c>
      <c r="AJ308" s="7">
        <v>13.2</v>
      </c>
      <c r="AK308" s="7">
        <v>100.99</v>
      </c>
      <c r="AL308" s="7">
        <v>12.4</v>
      </c>
      <c r="AM308" s="7">
        <v>1746</v>
      </c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1"/>
    </row>
    <row r="309" spans="1:64" ht="13">
      <c r="A309" s="6" t="s">
        <v>657</v>
      </c>
      <c r="B309" s="6" t="s">
        <v>658</v>
      </c>
      <c r="C309" s="31">
        <v>312</v>
      </c>
      <c r="D309" s="24">
        <v>101</v>
      </c>
      <c r="E309" s="24">
        <v>242</v>
      </c>
      <c r="F309" s="8">
        <v>43.7</v>
      </c>
      <c r="G309" s="9">
        <v>203</v>
      </c>
      <c r="H309" s="8">
        <v>43.3</v>
      </c>
      <c r="I309" s="8">
        <v>16</v>
      </c>
      <c r="J309" s="8">
        <v>23</v>
      </c>
      <c r="K309" s="8">
        <v>81</v>
      </c>
      <c r="L309" s="9">
        <v>47</v>
      </c>
      <c r="M309" s="9">
        <v>172</v>
      </c>
      <c r="N309" s="9">
        <v>218</v>
      </c>
      <c r="O309" s="9">
        <v>86</v>
      </c>
      <c r="P309" s="9">
        <v>31</v>
      </c>
      <c r="Q309" s="9">
        <v>55</v>
      </c>
      <c r="R309" s="9">
        <v>39</v>
      </c>
      <c r="S309" s="9">
        <v>109</v>
      </c>
      <c r="T309" s="8">
        <v>928</v>
      </c>
      <c r="U309" s="8">
        <v>0</v>
      </c>
      <c r="V309" s="8">
        <v>0</v>
      </c>
      <c r="W309" s="7">
        <v>1.9</v>
      </c>
      <c r="X309" s="7">
        <v>110.5</v>
      </c>
      <c r="Y309" s="7">
        <v>104.7</v>
      </c>
      <c r="Z309" s="7">
        <v>5.9</v>
      </c>
      <c r="AA309" s="7">
        <v>8.1999999999999993</v>
      </c>
      <c r="AB309" s="7">
        <v>2.4700000000000002</v>
      </c>
      <c r="AC309" s="7">
        <v>23</v>
      </c>
      <c r="AD309" s="7">
        <v>3.4</v>
      </c>
      <c r="AE309" s="7">
        <v>11.7</v>
      </c>
      <c r="AF309" s="7">
        <v>7.7</v>
      </c>
      <c r="AG309" s="7">
        <v>9.3000000000000007</v>
      </c>
      <c r="AH309" s="7">
        <v>62.2</v>
      </c>
      <c r="AI309" s="7">
        <v>63.3</v>
      </c>
      <c r="AJ309" s="7">
        <v>8.6999999999999993</v>
      </c>
      <c r="AK309" s="7">
        <v>100.22</v>
      </c>
      <c r="AL309" s="7">
        <v>6.9</v>
      </c>
      <c r="AM309" s="7">
        <v>2848</v>
      </c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1"/>
    </row>
    <row r="310" spans="1:64" ht="13">
      <c r="A310" s="6" t="s">
        <v>659</v>
      </c>
      <c r="B310" s="6" t="s">
        <v>660</v>
      </c>
      <c r="C310" s="31">
        <v>312</v>
      </c>
      <c r="D310" s="24">
        <v>120</v>
      </c>
      <c r="E310" s="24">
        <v>228</v>
      </c>
      <c r="F310" s="8">
        <v>51.5</v>
      </c>
      <c r="G310" s="9">
        <v>72</v>
      </c>
      <c r="H310" s="8">
        <v>38.9</v>
      </c>
      <c r="I310" s="8">
        <v>48</v>
      </c>
      <c r="J310" s="8">
        <v>72</v>
      </c>
      <c r="K310" s="8">
        <v>69</v>
      </c>
      <c r="L310" s="9">
        <v>60</v>
      </c>
      <c r="M310" s="9">
        <v>150</v>
      </c>
      <c r="N310" s="9">
        <v>210</v>
      </c>
      <c r="O310" s="9">
        <v>36</v>
      </c>
      <c r="P310" s="9">
        <v>36</v>
      </c>
      <c r="Q310" s="9">
        <v>36</v>
      </c>
      <c r="R310" s="9">
        <v>6</v>
      </c>
      <c r="S310" s="9">
        <v>90</v>
      </c>
      <c r="T310" s="8">
        <v>702</v>
      </c>
      <c r="U310" s="8">
        <v>1</v>
      </c>
      <c r="V310" s="8">
        <v>0</v>
      </c>
      <c r="W310" s="7">
        <v>0.3</v>
      </c>
      <c r="X310" s="7">
        <v>108.1</v>
      </c>
      <c r="Y310" s="7">
        <v>107.6</v>
      </c>
      <c r="Z310" s="7">
        <v>0.5</v>
      </c>
      <c r="AA310" s="7">
        <v>7.1</v>
      </c>
      <c r="AB310" s="7">
        <v>1.0900000000000001</v>
      </c>
      <c r="AC310" s="7">
        <v>11.2</v>
      </c>
      <c r="AD310" s="7">
        <v>7.2</v>
      </c>
      <c r="AE310" s="7">
        <v>19.8</v>
      </c>
      <c r="AF310" s="7">
        <v>13.3</v>
      </c>
      <c r="AG310" s="7">
        <v>10.3</v>
      </c>
      <c r="AH310" s="7">
        <v>57.6</v>
      </c>
      <c r="AI310" s="7">
        <v>60.1</v>
      </c>
      <c r="AJ310" s="7">
        <v>15.6</v>
      </c>
      <c r="AK310" s="7">
        <v>103.86</v>
      </c>
      <c r="AL310" s="7">
        <v>10.7</v>
      </c>
      <c r="AM310" s="7">
        <v>1624</v>
      </c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1"/>
    </row>
    <row r="311" spans="1:64" ht="13">
      <c r="A311" s="6" t="s">
        <v>661</v>
      </c>
      <c r="B311" s="6" t="s">
        <v>662</v>
      </c>
      <c r="C311" s="31">
        <v>310</v>
      </c>
      <c r="D311" s="24">
        <v>130</v>
      </c>
      <c r="E311" s="24">
        <v>205</v>
      </c>
      <c r="F311" s="8">
        <v>65</v>
      </c>
      <c r="G311" s="8">
        <v>0</v>
      </c>
      <c r="H311" s="8">
        <v>0</v>
      </c>
      <c r="I311" s="8">
        <v>43</v>
      </c>
      <c r="J311" s="8">
        <v>62</v>
      </c>
      <c r="K311" s="8">
        <v>75.400000000000006</v>
      </c>
      <c r="L311" s="9">
        <v>87</v>
      </c>
      <c r="M311" s="9">
        <v>149</v>
      </c>
      <c r="N311" s="9">
        <v>236</v>
      </c>
      <c r="O311" s="9">
        <v>43</v>
      </c>
      <c r="P311" s="9">
        <v>37</v>
      </c>
      <c r="Q311" s="9">
        <v>19</v>
      </c>
      <c r="R311" s="9">
        <v>43</v>
      </c>
      <c r="S311" s="9">
        <v>105</v>
      </c>
      <c r="T311" s="8">
        <v>800</v>
      </c>
      <c r="U311" s="8">
        <v>0</v>
      </c>
      <c r="V311" s="8">
        <v>0</v>
      </c>
      <c r="W311" s="7">
        <v>2.5</v>
      </c>
      <c r="X311" s="7">
        <v>117.4</v>
      </c>
      <c r="Y311" s="7">
        <v>108.3</v>
      </c>
      <c r="Z311" s="7">
        <v>9.1</v>
      </c>
      <c r="AA311" s="7">
        <v>7.6</v>
      </c>
      <c r="AB311" s="7">
        <v>1.1299999999999999</v>
      </c>
      <c r="AC311" s="7">
        <v>14.2</v>
      </c>
      <c r="AD311" s="7">
        <v>10.5</v>
      </c>
      <c r="AE311" s="7">
        <v>16.8</v>
      </c>
      <c r="AF311" s="7">
        <v>13.7</v>
      </c>
      <c r="AG311" s="7">
        <v>12.7</v>
      </c>
      <c r="AH311" s="7">
        <v>65</v>
      </c>
      <c r="AI311" s="7">
        <v>67.400000000000006</v>
      </c>
      <c r="AJ311" s="7">
        <v>13.6</v>
      </c>
      <c r="AK311" s="7">
        <v>95.52</v>
      </c>
      <c r="AL311" s="7">
        <v>10.199999999999999</v>
      </c>
      <c r="AM311" s="7">
        <v>1717</v>
      </c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1"/>
    </row>
    <row r="312" spans="1:64" ht="13">
      <c r="A312" s="6" t="s">
        <v>663</v>
      </c>
      <c r="B312" s="6" t="s">
        <v>664</v>
      </c>
      <c r="C312" s="31">
        <v>306</v>
      </c>
      <c r="D312" s="24">
        <v>102</v>
      </c>
      <c r="E312" s="24">
        <v>258</v>
      </c>
      <c r="F312" s="8">
        <v>39.299999999999997</v>
      </c>
      <c r="G312" s="9">
        <v>139</v>
      </c>
      <c r="H312" s="8">
        <v>34.799999999999997</v>
      </c>
      <c r="I312" s="8">
        <v>54</v>
      </c>
      <c r="J312" s="8">
        <v>71</v>
      </c>
      <c r="K312" s="8">
        <v>76.099999999999994</v>
      </c>
      <c r="L312" s="9">
        <v>17</v>
      </c>
      <c r="M312" s="9">
        <v>54</v>
      </c>
      <c r="N312" s="9">
        <v>71</v>
      </c>
      <c r="O312" s="9">
        <v>109</v>
      </c>
      <c r="P312" s="9">
        <v>54</v>
      </c>
      <c r="Q312" s="9">
        <v>37</v>
      </c>
      <c r="R312" s="9">
        <v>10</v>
      </c>
      <c r="S312" s="9">
        <v>54</v>
      </c>
      <c r="T312" s="8">
        <v>646</v>
      </c>
      <c r="U312" s="8">
        <v>0</v>
      </c>
      <c r="V312" s="8">
        <v>0</v>
      </c>
      <c r="W312" s="7">
        <v>1.2</v>
      </c>
      <c r="X312" s="7">
        <v>109.9</v>
      </c>
      <c r="Y312" s="7">
        <v>107.3</v>
      </c>
      <c r="Z312" s="7">
        <v>2.6</v>
      </c>
      <c r="AA312" s="7">
        <v>22.1</v>
      </c>
      <c r="AB312" s="7">
        <v>2.02</v>
      </c>
      <c r="AC312" s="7">
        <v>24.1</v>
      </c>
      <c r="AD312" s="7">
        <v>2.4</v>
      </c>
      <c r="AE312" s="7">
        <v>6.9</v>
      </c>
      <c r="AF312" s="7">
        <v>4.7</v>
      </c>
      <c r="AG312" s="7">
        <v>11.9</v>
      </c>
      <c r="AH312" s="7">
        <v>48.8</v>
      </c>
      <c r="AI312" s="7">
        <v>52.9</v>
      </c>
      <c r="AJ312" s="7">
        <v>19.8</v>
      </c>
      <c r="AK312" s="7">
        <v>107.13</v>
      </c>
      <c r="AL312" s="7">
        <v>8.6</v>
      </c>
      <c r="AM312" s="7">
        <v>1520</v>
      </c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1"/>
    </row>
    <row r="313" spans="1:64" ht="13">
      <c r="A313" s="6" t="s">
        <v>665</v>
      </c>
      <c r="B313" s="6" t="s">
        <v>666</v>
      </c>
      <c r="C313" s="31">
        <v>305</v>
      </c>
      <c r="D313" s="24">
        <v>103</v>
      </c>
      <c r="E313" s="24">
        <v>240</v>
      </c>
      <c r="F313" s="8">
        <v>43.3</v>
      </c>
      <c r="G313" s="9">
        <v>55</v>
      </c>
      <c r="H313" s="8">
        <v>28.6</v>
      </c>
      <c r="I313" s="8">
        <v>82</v>
      </c>
      <c r="J313" s="8">
        <v>91</v>
      </c>
      <c r="K313" s="8">
        <v>88</v>
      </c>
      <c r="L313" s="9">
        <v>22</v>
      </c>
      <c r="M313" s="9">
        <v>70</v>
      </c>
      <c r="N313" s="9">
        <v>91</v>
      </c>
      <c r="O313" s="9">
        <v>98</v>
      </c>
      <c r="P313" s="9">
        <v>38</v>
      </c>
      <c r="Q313" s="9">
        <v>12</v>
      </c>
      <c r="R313" s="9">
        <v>5</v>
      </c>
      <c r="S313" s="9">
        <v>31</v>
      </c>
      <c r="T313" s="8">
        <v>578</v>
      </c>
      <c r="U313" s="8">
        <v>2</v>
      </c>
      <c r="V313" s="8">
        <v>0</v>
      </c>
      <c r="W313" s="7">
        <v>-5</v>
      </c>
      <c r="X313" s="7">
        <v>106.5</v>
      </c>
      <c r="Y313" s="7">
        <v>116.9</v>
      </c>
      <c r="Z313" s="7">
        <v>-10.4</v>
      </c>
      <c r="AA313" s="7">
        <v>26.7</v>
      </c>
      <c r="AB313" s="7">
        <v>2.58</v>
      </c>
      <c r="AC313" s="7">
        <v>23.5</v>
      </c>
      <c r="AD313" s="7">
        <v>3.6</v>
      </c>
      <c r="AE313" s="7">
        <v>11.9</v>
      </c>
      <c r="AF313" s="7">
        <v>7.7</v>
      </c>
      <c r="AG313" s="7">
        <v>9.1</v>
      </c>
      <c r="AH313" s="7">
        <v>46.7</v>
      </c>
      <c r="AI313" s="7">
        <v>54.4</v>
      </c>
      <c r="AJ313" s="7">
        <v>23.1</v>
      </c>
      <c r="AK313" s="7">
        <v>103.18</v>
      </c>
      <c r="AL313" s="7">
        <v>11.3</v>
      </c>
      <c r="AM313" s="7">
        <v>1215</v>
      </c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1"/>
    </row>
    <row r="314" spans="1:64" ht="13">
      <c r="A314" s="6" t="s">
        <v>667</v>
      </c>
      <c r="B314" s="6" t="s">
        <v>668</v>
      </c>
      <c r="C314" s="31">
        <v>304</v>
      </c>
      <c r="D314" s="24">
        <v>114</v>
      </c>
      <c r="E314" s="24">
        <v>246</v>
      </c>
      <c r="F314" s="8">
        <v>45.6</v>
      </c>
      <c r="G314" s="9">
        <v>128</v>
      </c>
      <c r="H314" s="8">
        <v>39.5</v>
      </c>
      <c r="I314" s="8">
        <v>26</v>
      </c>
      <c r="J314" s="8">
        <v>35</v>
      </c>
      <c r="K314" s="8">
        <v>80</v>
      </c>
      <c r="L314" s="9">
        <v>18</v>
      </c>
      <c r="M314" s="9">
        <v>44</v>
      </c>
      <c r="N314" s="9">
        <v>62</v>
      </c>
      <c r="O314" s="9">
        <v>40</v>
      </c>
      <c r="P314" s="9">
        <v>31</v>
      </c>
      <c r="Q314" s="9">
        <v>22</v>
      </c>
      <c r="R314" s="9">
        <v>4</v>
      </c>
      <c r="S314" s="9">
        <v>40</v>
      </c>
      <c r="T314" s="8">
        <v>484</v>
      </c>
      <c r="U314" s="8">
        <v>0</v>
      </c>
      <c r="V314" s="8">
        <v>0</v>
      </c>
      <c r="W314" s="7">
        <v>-3.4</v>
      </c>
      <c r="X314" s="7">
        <v>107.3</v>
      </c>
      <c r="Y314" s="7">
        <v>117.5</v>
      </c>
      <c r="Z314" s="7">
        <v>-10.199999999999999</v>
      </c>
      <c r="AA314" s="7">
        <v>8.9</v>
      </c>
      <c r="AB314" s="7">
        <v>1.3</v>
      </c>
      <c r="AC314" s="7">
        <v>11.8</v>
      </c>
      <c r="AD314" s="7">
        <v>2.6</v>
      </c>
      <c r="AE314" s="7">
        <v>7</v>
      </c>
      <c r="AF314" s="7">
        <v>4.7</v>
      </c>
      <c r="AG314" s="7">
        <v>9.1</v>
      </c>
      <c r="AH314" s="7">
        <v>55.8</v>
      </c>
      <c r="AI314" s="7">
        <v>57.9</v>
      </c>
      <c r="AJ314" s="7">
        <v>18.3</v>
      </c>
      <c r="AK314" s="7">
        <v>101.12</v>
      </c>
      <c r="AL314" s="7">
        <v>7.2</v>
      </c>
      <c r="AM314" s="7">
        <v>1386</v>
      </c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1"/>
    </row>
    <row r="315" spans="1:64" ht="13">
      <c r="A315" s="6" t="s">
        <v>669</v>
      </c>
      <c r="B315" s="6" t="s">
        <v>670</v>
      </c>
      <c r="C315" s="31">
        <v>304</v>
      </c>
      <c r="D315" s="24">
        <v>114</v>
      </c>
      <c r="E315" s="24">
        <v>260</v>
      </c>
      <c r="F315" s="8">
        <v>44.4</v>
      </c>
      <c r="G315" s="9">
        <v>53</v>
      </c>
      <c r="H315" s="8">
        <v>32.700000000000003</v>
      </c>
      <c r="I315" s="8">
        <v>53</v>
      </c>
      <c r="J315" s="8">
        <v>70</v>
      </c>
      <c r="K315" s="8">
        <v>77.099999999999994</v>
      </c>
      <c r="L315" s="9">
        <v>88</v>
      </c>
      <c r="M315" s="9">
        <v>132</v>
      </c>
      <c r="N315" s="9">
        <v>220</v>
      </c>
      <c r="O315" s="9">
        <v>79</v>
      </c>
      <c r="P315" s="9">
        <v>48</v>
      </c>
      <c r="Q315" s="9">
        <v>18</v>
      </c>
      <c r="R315" s="9">
        <v>18</v>
      </c>
      <c r="S315" s="9">
        <v>101</v>
      </c>
      <c r="T315" s="8">
        <v>730</v>
      </c>
      <c r="U315" s="8">
        <v>4</v>
      </c>
      <c r="V315" s="8">
        <v>0</v>
      </c>
      <c r="W315" s="7">
        <v>-2</v>
      </c>
      <c r="X315" s="7">
        <v>104.5</v>
      </c>
      <c r="Y315" s="7">
        <v>109.2</v>
      </c>
      <c r="Z315" s="7">
        <v>-4.8</v>
      </c>
      <c r="AA315" s="7">
        <v>15.2</v>
      </c>
      <c r="AB315" s="7">
        <v>1.57</v>
      </c>
      <c r="AC315" s="7">
        <v>18.3</v>
      </c>
      <c r="AD315" s="7">
        <v>9.6999999999999993</v>
      </c>
      <c r="AE315" s="7">
        <v>16.100000000000001</v>
      </c>
      <c r="AF315" s="7">
        <v>12.7</v>
      </c>
      <c r="AG315" s="7">
        <v>11.6</v>
      </c>
      <c r="AH315" s="7">
        <v>47.7</v>
      </c>
      <c r="AI315" s="7">
        <v>51.9</v>
      </c>
      <c r="AJ315" s="7">
        <v>17.7</v>
      </c>
      <c r="AK315" s="7">
        <v>102.45</v>
      </c>
      <c r="AL315" s="7">
        <v>8.8000000000000007</v>
      </c>
      <c r="AM315" s="7">
        <v>1639</v>
      </c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1"/>
    </row>
    <row r="316" spans="1:64" ht="13">
      <c r="A316" s="6" t="s">
        <v>671</v>
      </c>
      <c r="B316" s="6" t="s">
        <v>672</v>
      </c>
      <c r="C316" s="31">
        <v>292</v>
      </c>
      <c r="D316" s="24">
        <v>116</v>
      </c>
      <c r="E316" s="24">
        <v>236</v>
      </c>
      <c r="F316" s="8">
        <v>50</v>
      </c>
      <c r="G316" s="9">
        <v>20</v>
      </c>
      <c r="H316" s="8">
        <v>15</v>
      </c>
      <c r="I316" s="8">
        <v>56</v>
      </c>
      <c r="J316" s="8">
        <v>92</v>
      </c>
      <c r="K316" s="8">
        <v>62.2</v>
      </c>
      <c r="L316" s="9">
        <v>108</v>
      </c>
      <c r="M316" s="9">
        <v>200</v>
      </c>
      <c r="N316" s="9">
        <v>312</v>
      </c>
      <c r="O316" s="9">
        <v>36</v>
      </c>
      <c r="P316" s="9">
        <v>56</v>
      </c>
      <c r="Q316" s="9">
        <v>40</v>
      </c>
      <c r="R316" s="9">
        <v>20</v>
      </c>
      <c r="S316" s="9">
        <v>96</v>
      </c>
      <c r="T316" s="8">
        <v>832</v>
      </c>
      <c r="U316" s="8">
        <v>5</v>
      </c>
      <c r="V316" s="8">
        <v>0</v>
      </c>
      <c r="W316" s="7">
        <v>-6.1</v>
      </c>
      <c r="X316" s="7">
        <v>103.4</v>
      </c>
      <c r="Y316" s="7">
        <v>118.9</v>
      </c>
      <c r="Z316" s="7">
        <v>-15.5</v>
      </c>
      <c r="AA316" s="7">
        <v>7</v>
      </c>
      <c r="AB316" s="7">
        <v>0.62</v>
      </c>
      <c r="AC316" s="7">
        <v>9.4</v>
      </c>
      <c r="AD316" s="7">
        <v>13.4</v>
      </c>
      <c r="AE316" s="7">
        <v>28.8</v>
      </c>
      <c r="AF316" s="7">
        <v>20.5</v>
      </c>
      <c r="AG316" s="7">
        <v>15.2</v>
      </c>
      <c r="AH316" s="7">
        <v>50.6</v>
      </c>
      <c r="AI316" s="7">
        <v>53.5</v>
      </c>
      <c r="AJ316" s="7">
        <v>18.3</v>
      </c>
      <c r="AK316" s="7">
        <v>98.83</v>
      </c>
      <c r="AL316" s="7">
        <v>10.9</v>
      </c>
      <c r="AM316" s="7">
        <v>1543</v>
      </c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1"/>
    </row>
    <row r="317" spans="1:64" ht="13">
      <c r="A317" s="6" t="s">
        <v>673</v>
      </c>
      <c r="B317" s="6" t="s">
        <v>674</v>
      </c>
      <c r="C317" s="31">
        <v>290</v>
      </c>
      <c r="D317" s="24">
        <v>117</v>
      </c>
      <c r="E317" s="24">
        <v>276</v>
      </c>
      <c r="F317" s="8">
        <v>41.9</v>
      </c>
      <c r="G317" s="9">
        <v>117</v>
      </c>
      <c r="H317" s="8">
        <v>22.5</v>
      </c>
      <c r="I317" s="8">
        <v>28</v>
      </c>
      <c r="J317" s="8">
        <v>55</v>
      </c>
      <c r="K317" s="8">
        <v>45.6</v>
      </c>
      <c r="L317" s="9">
        <v>76</v>
      </c>
      <c r="M317" s="9">
        <v>104</v>
      </c>
      <c r="N317" s="9">
        <v>179</v>
      </c>
      <c r="O317" s="9">
        <v>69</v>
      </c>
      <c r="P317" s="9">
        <v>41</v>
      </c>
      <c r="Q317" s="9">
        <v>35</v>
      </c>
      <c r="R317" s="9">
        <v>14</v>
      </c>
      <c r="S317" s="9">
        <v>69</v>
      </c>
      <c r="T317" s="8">
        <v>718</v>
      </c>
      <c r="U317" s="8">
        <v>1</v>
      </c>
      <c r="V317" s="8">
        <v>0</v>
      </c>
      <c r="W317" s="7">
        <v>-0.7</v>
      </c>
      <c r="X317" s="7">
        <v>106</v>
      </c>
      <c r="Y317" s="7">
        <v>107.8</v>
      </c>
      <c r="Z317" s="7">
        <v>-1.8</v>
      </c>
      <c r="AA317" s="7">
        <v>9</v>
      </c>
      <c r="AB317" s="7">
        <v>1.58</v>
      </c>
      <c r="AC317" s="7">
        <v>16.3</v>
      </c>
      <c r="AD317" s="7">
        <v>6.6</v>
      </c>
      <c r="AE317" s="7">
        <v>9.6</v>
      </c>
      <c r="AF317" s="7">
        <v>8.1</v>
      </c>
      <c r="AG317" s="7">
        <v>10.3</v>
      </c>
      <c r="AH317" s="7">
        <v>46.8</v>
      </c>
      <c r="AI317" s="7">
        <v>47.2</v>
      </c>
      <c r="AJ317" s="7">
        <v>13.3</v>
      </c>
      <c r="AK317" s="7">
        <v>102.7</v>
      </c>
      <c r="AL317" s="7">
        <v>6.1</v>
      </c>
      <c r="AM317" s="7">
        <v>2221</v>
      </c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1"/>
    </row>
    <row r="318" spans="1:64" ht="13">
      <c r="A318" s="13" t="s">
        <v>675</v>
      </c>
      <c r="B318" s="6" t="s">
        <v>676</v>
      </c>
      <c r="C318" s="31">
        <v>287</v>
      </c>
      <c r="D318" s="24">
        <v>111</v>
      </c>
      <c r="E318" s="24">
        <v>230</v>
      </c>
      <c r="F318" s="8">
        <v>48.7</v>
      </c>
      <c r="G318" s="9">
        <v>70</v>
      </c>
      <c r="H318" s="8">
        <v>40</v>
      </c>
      <c r="I318" s="8">
        <v>33</v>
      </c>
      <c r="J318" s="8">
        <v>45</v>
      </c>
      <c r="K318" s="8">
        <v>73.3</v>
      </c>
      <c r="L318" s="9">
        <v>12</v>
      </c>
      <c r="M318" s="9">
        <v>49</v>
      </c>
      <c r="N318" s="9">
        <v>62</v>
      </c>
      <c r="O318" s="9">
        <v>78</v>
      </c>
      <c r="P318" s="9">
        <v>16</v>
      </c>
      <c r="Q318" s="9">
        <v>25</v>
      </c>
      <c r="R318" s="9">
        <v>12</v>
      </c>
      <c r="S318" s="9">
        <v>29</v>
      </c>
      <c r="T318" s="8">
        <v>566</v>
      </c>
      <c r="U318" s="8">
        <v>0</v>
      </c>
      <c r="V318" s="8">
        <v>0</v>
      </c>
      <c r="W318" s="7">
        <v>-2.5</v>
      </c>
      <c r="X318" s="7">
        <v>107.6</v>
      </c>
      <c r="Y318" s="7">
        <v>116.7</v>
      </c>
      <c r="Z318" s="7">
        <v>-9.1999999999999993</v>
      </c>
      <c r="AA318" s="7">
        <v>19.600000000000001</v>
      </c>
      <c r="AB318" s="7">
        <v>5.2</v>
      </c>
      <c r="AC318" s="7">
        <v>22.8</v>
      </c>
      <c r="AD318" s="7">
        <v>1.8</v>
      </c>
      <c r="AE318" s="7">
        <v>7.9</v>
      </c>
      <c r="AF318" s="7">
        <v>4.7</v>
      </c>
      <c r="AG318" s="7">
        <v>4.4000000000000004</v>
      </c>
      <c r="AH318" s="7">
        <v>54.8</v>
      </c>
      <c r="AI318" s="7">
        <v>57</v>
      </c>
      <c r="AJ318" s="7">
        <v>17.600000000000001</v>
      </c>
      <c r="AK318" s="7">
        <v>99.32</v>
      </c>
      <c r="AL318" s="7">
        <v>10.6</v>
      </c>
      <c r="AM318" s="7">
        <v>1291</v>
      </c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1"/>
    </row>
    <row r="319" spans="1:64" ht="13">
      <c r="A319" s="6" t="s">
        <v>677</v>
      </c>
      <c r="B319" s="6" t="s">
        <v>678</v>
      </c>
      <c r="C319" s="31">
        <v>285</v>
      </c>
      <c r="D319" s="24">
        <v>105</v>
      </c>
      <c r="E319" s="24">
        <v>230</v>
      </c>
      <c r="F319" s="8">
        <v>46.1</v>
      </c>
      <c r="G319" s="9">
        <v>155</v>
      </c>
      <c r="H319" s="8">
        <v>39.700000000000003</v>
      </c>
      <c r="I319" s="8">
        <v>10</v>
      </c>
      <c r="J319" s="8">
        <v>20</v>
      </c>
      <c r="K319" s="8">
        <v>66.7</v>
      </c>
      <c r="L319" s="9">
        <v>10</v>
      </c>
      <c r="M319" s="9">
        <v>50</v>
      </c>
      <c r="N319" s="9">
        <v>60</v>
      </c>
      <c r="O319" s="9">
        <v>25</v>
      </c>
      <c r="P319" s="9">
        <v>20</v>
      </c>
      <c r="Q319" s="9">
        <v>25</v>
      </c>
      <c r="R319" s="8">
        <v>0</v>
      </c>
      <c r="S319" s="9">
        <v>50</v>
      </c>
      <c r="T319" s="8">
        <v>455</v>
      </c>
      <c r="U319" s="8">
        <v>0</v>
      </c>
      <c r="V319" s="8">
        <v>0</v>
      </c>
      <c r="W319" s="7">
        <v>1.8</v>
      </c>
      <c r="X319" s="7">
        <v>111.6</v>
      </c>
      <c r="Y319" s="7">
        <v>106.5</v>
      </c>
      <c r="Z319" s="7">
        <v>5.0999999999999996</v>
      </c>
      <c r="AA319" s="7">
        <v>4.9000000000000004</v>
      </c>
      <c r="AB319" s="7">
        <v>1.23</v>
      </c>
      <c r="AC319" s="7">
        <v>9.4</v>
      </c>
      <c r="AD319" s="7">
        <v>1.4</v>
      </c>
      <c r="AE319" s="7">
        <v>6.4</v>
      </c>
      <c r="AF319" s="7">
        <v>3.9</v>
      </c>
      <c r="AG319" s="7">
        <v>7.7</v>
      </c>
      <c r="AH319" s="7">
        <v>59.6</v>
      </c>
      <c r="AI319" s="7">
        <v>60.1</v>
      </c>
      <c r="AJ319" s="7">
        <v>14.3</v>
      </c>
      <c r="AK319" s="7">
        <v>99.55</v>
      </c>
      <c r="AL319" s="7">
        <v>6.2</v>
      </c>
      <c r="AM319" s="7">
        <v>1583</v>
      </c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1"/>
    </row>
    <row r="320" spans="1:64" ht="13">
      <c r="A320" s="6" t="s">
        <v>679</v>
      </c>
      <c r="B320" s="6" t="s">
        <v>680</v>
      </c>
      <c r="C320" s="31">
        <v>284</v>
      </c>
      <c r="D320" s="24">
        <v>96</v>
      </c>
      <c r="E320" s="24">
        <v>212</v>
      </c>
      <c r="F320" s="8">
        <v>44.3</v>
      </c>
      <c r="G320" s="9">
        <v>92</v>
      </c>
      <c r="H320" s="8">
        <v>34.799999999999997</v>
      </c>
      <c r="I320" s="8">
        <v>64</v>
      </c>
      <c r="J320" s="8">
        <v>84</v>
      </c>
      <c r="K320" s="8">
        <v>74.099999999999994</v>
      </c>
      <c r="L320" s="9">
        <v>44</v>
      </c>
      <c r="M320" s="9">
        <v>68</v>
      </c>
      <c r="N320" s="9">
        <v>112</v>
      </c>
      <c r="O320" s="9">
        <v>32</v>
      </c>
      <c r="P320" s="9">
        <v>32</v>
      </c>
      <c r="Q320" s="9">
        <v>48</v>
      </c>
      <c r="R320" s="9">
        <v>20</v>
      </c>
      <c r="S320" s="9">
        <v>48</v>
      </c>
      <c r="T320" s="8">
        <v>636</v>
      </c>
      <c r="U320" s="8">
        <v>1</v>
      </c>
      <c r="V320" s="8">
        <v>0</v>
      </c>
      <c r="W320" s="7">
        <v>-0.3</v>
      </c>
      <c r="X320" s="7">
        <v>108.8</v>
      </c>
      <c r="Y320" s="7">
        <v>109.3</v>
      </c>
      <c r="Z320" s="7">
        <v>-0.5</v>
      </c>
      <c r="AA320" s="7">
        <v>8.1999999999999993</v>
      </c>
      <c r="AB320" s="7">
        <v>1.06</v>
      </c>
      <c r="AC320" s="7">
        <v>10.5</v>
      </c>
      <c r="AD320" s="7">
        <v>6.6</v>
      </c>
      <c r="AE320" s="7">
        <v>10.8</v>
      </c>
      <c r="AF320" s="7">
        <v>8.6</v>
      </c>
      <c r="AG320" s="7">
        <v>9.9</v>
      </c>
      <c r="AH320" s="7">
        <v>51.9</v>
      </c>
      <c r="AI320" s="7">
        <v>56.7</v>
      </c>
      <c r="AJ320" s="7">
        <v>18.5</v>
      </c>
      <c r="AK320" s="7">
        <v>98.69</v>
      </c>
      <c r="AL320" s="7">
        <v>10</v>
      </c>
      <c r="AM320" s="7">
        <v>1282</v>
      </c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1"/>
    </row>
    <row r="321" spans="1:64" ht="13">
      <c r="A321" s="6" t="s">
        <v>681</v>
      </c>
      <c r="B321" s="6" t="s">
        <v>682</v>
      </c>
      <c r="C321" s="31">
        <v>281</v>
      </c>
      <c r="D321" s="24">
        <v>104</v>
      </c>
      <c r="E321" s="24">
        <v>302</v>
      </c>
      <c r="F321" s="8">
        <v>34.6</v>
      </c>
      <c r="G321" s="9">
        <v>130</v>
      </c>
      <c r="H321" s="8">
        <v>25.4</v>
      </c>
      <c r="I321" s="8">
        <v>40</v>
      </c>
      <c r="J321" s="8">
        <v>50</v>
      </c>
      <c r="K321" s="8">
        <v>82</v>
      </c>
      <c r="L321" s="9">
        <v>40</v>
      </c>
      <c r="M321" s="9">
        <v>68</v>
      </c>
      <c r="N321" s="9">
        <v>108</v>
      </c>
      <c r="O321" s="9">
        <v>112</v>
      </c>
      <c r="P321" s="9">
        <v>58</v>
      </c>
      <c r="Q321" s="9">
        <v>32</v>
      </c>
      <c r="R321" s="9">
        <v>7</v>
      </c>
      <c r="S321" s="9">
        <v>58</v>
      </c>
      <c r="T321" s="8">
        <v>644</v>
      </c>
      <c r="U321" s="8">
        <v>0</v>
      </c>
      <c r="V321" s="8">
        <v>0</v>
      </c>
      <c r="W321" s="7">
        <v>-7.7</v>
      </c>
      <c r="X321" s="7">
        <v>101</v>
      </c>
      <c r="Y321" s="7">
        <v>116.4</v>
      </c>
      <c r="Z321" s="7">
        <v>-15.4</v>
      </c>
      <c r="AA321" s="7">
        <v>21</v>
      </c>
      <c r="AB321" s="7">
        <v>2</v>
      </c>
      <c r="AC321" s="7">
        <v>22.8</v>
      </c>
      <c r="AD321" s="7">
        <v>4.2</v>
      </c>
      <c r="AE321" s="7">
        <v>8.1</v>
      </c>
      <c r="AF321" s="7">
        <v>6</v>
      </c>
      <c r="AG321" s="7">
        <v>11.4</v>
      </c>
      <c r="AH321" s="7">
        <v>40</v>
      </c>
      <c r="AI321" s="7">
        <v>43.7</v>
      </c>
      <c r="AJ321" s="7">
        <v>18.8</v>
      </c>
      <c r="AK321" s="7">
        <v>99.1</v>
      </c>
      <c r="AL321" s="7">
        <v>6</v>
      </c>
      <c r="AM321" s="7">
        <v>1734</v>
      </c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1"/>
    </row>
    <row r="322" spans="1:64" ht="13">
      <c r="A322" s="6" t="s">
        <v>683</v>
      </c>
      <c r="B322" s="6" t="s">
        <v>684</v>
      </c>
      <c r="C322" s="31">
        <v>281</v>
      </c>
      <c r="D322" s="24">
        <v>116</v>
      </c>
      <c r="E322" s="24">
        <v>195</v>
      </c>
      <c r="F322" s="8">
        <v>59.3</v>
      </c>
      <c r="G322" s="9">
        <v>6</v>
      </c>
      <c r="H322" s="8">
        <v>50</v>
      </c>
      <c r="I322" s="8">
        <v>49</v>
      </c>
      <c r="J322" s="8">
        <v>73</v>
      </c>
      <c r="K322" s="8">
        <v>66.2</v>
      </c>
      <c r="L322" s="9">
        <v>61</v>
      </c>
      <c r="M322" s="9">
        <v>165</v>
      </c>
      <c r="N322" s="9">
        <v>226</v>
      </c>
      <c r="O322" s="9">
        <v>55</v>
      </c>
      <c r="P322" s="9">
        <v>43</v>
      </c>
      <c r="Q322" s="9">
        <v>12</v>
      </c>
      <c r="R322" s="9">
        <v>37</v>
      </c>
      <c r="S322" s="9">
        <v>61</v>
      </c>
      <c r="T322" s="8">
        <v>744</v>
      </c>
      <c r="U322" s="8">
        <v>0</v>
      </c>
      <c r="V322" s="8">
        <v>0</v>
      </c>
      <c r="W322" s="7">
        <v>-2.1</v>
      </c>
      <c r="X322" s="7">
        <v>106.7</v>
      </c>
      <c r="Y322" s="7">
        <v>114.8</v>
      </c>
      <c r="Z322" s="7">
        <v>-8.1</v>
      </c>
      <c r="AA322" s="7">
        <v>11</v>
      </c>
      <c r="AB322" s="7">
        <v>1.32</v>
      </c>
      <c r="AC322" s="7">
        <v>16.7</v>
      </c>
      <c r="AD322" s="7">
        <v>7.8</v>
      </c>
      <c r="AE322" s="7">
        <v>21.1</v>
      </c>
      <c r="AF322" s="7">
        <v>14.5</v>
      </c>
      <c r="AG322" s="7">
        <v>12.7</v>
      </c>
      <c r="AH322" s="7">
        <v>60.1</v>
      </c>
      <c r="AI322" s="7">
        <v>62.2</v>
      </c>
      <c r="AJ322" s="7">
        <v>14.9</v>
      </c>
      <c r="AK322" s="7">
        <v>102.72</v>
      </c>
      <c r="AL322" s="7">
        <v>11.1</v>
      </c>
      <c r="AM322" s="7">
        <v>1598</v>
      </c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1"/>
    </row>
    <row r="323" spans="1:64" ht="13">
      <c r="A323" s="6" t="s">
        <v>685</v>
      </c>
      <c r="B323" s="6" t="s">
        <v>686</v>
      </c>
      <c r="C323" s="31">
        <v>277</v>
      </c>
      <c r="D323" s="24">
        <v>99</v>
      </c>
      <c r="E323" s="24">
        <v>221</v>
      </c>
      <c r="F323" s="8">
        <v>43.9</v>
      </c>
      <c r="G323" s="9">
        <v>155</v>
      </c>
      <c r="H323" s="8">
        <v>39.9</v>
      </c>
      <c r="I323" s="8">
        <v>24</v>
      </c>
      <c r="J323" s="8">
        <v>28</v>
      </c>
      <c r="K323" s="8">
        <v>76.7</v>
      </c>
      <c r="L323" s="9">
        <v>47</v>
      </c>
      <c r="M323" s="9">
        <v>216</v>
      </c>
      <c r="N323" s="9">
        <v>263</v>
      </c>
      <c r="O323" s="9">
        <v>122</v>
      </c>
      <c r="P323" s="9">
        <v>33</v>
      </c>
      <c r="Q323" s="9">
        <v>24</v>
      </c>
      <c r="R323" s="9">
        <v>28</v>
      </c>
      <c r="S323" s="9">
        <v>80</v>
      </c>
      <c r="T323" s="8">
        <v>888</v>
      </c>
      <c r="U323" s="8">
        <v>4</v>
      </c>
      <c r="V323" s="8">
        <v>3</v>
      </c>
      <c r="W323" s="7">
        <v>6.4</v>
      </c>
      <c r="X323" s="7">
        <v>121</v>
      </c>
      <c r="Y323" s="7">
        <v>103</v>
      </c>
      <c r="Z323" s="7">
        <v>17.899999999999999</v>
      </c>
      <c r="AA323" s="7">
        <v>19</v>
      </c>
      <c r="AB323" s="7">
        <v>3.43</v>
      </c>
      <c r="AC323" s="7">
        <v>30.9</v>
      </c>
      <c r="AD323" s="7">
        <v>5.9</v>
      </c>
      <c r="AE323" s="7">
        <v>25.1</v>
      </c>
      <c r="AF323" s="7">
        <v>15.8</v>
      </c>
      <c r="AG323" s="7">
        <v>9</v>
      </c>
      <c r="AH323" s="7">
        <v>57.7</v>
      </c>
      <c r="AI323" s="7">
        <v>59.4</v>
      </c>
      <c r="AJ323" s="7">
        <v>14.1</v>
      </c>
      <c r="AK323" s="7">
        <v>102.7</v>
      </c>
      <c r="AL323" s="7">
        <v>12.4</v>
      </c>
      <c r="AM323" s="7">
        <v>1678</v>
      </c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1"/>
    </row>
    <row r="324" spans="1:64" ht="13">
      <c r="A324" s="6" t="s">
        <v>687</v>
      </c>
      <c r="B324" s="6" t="s">
        <v>688</v>
      </c>
      <c r="C324" s="31">
        <v>275</v>
      </c>
      <c r="D324" s="24">
        <v>112</v>
      </c>
      <c r="E324" s="24">
        <v>202</v>
      </c>
      <c r="F324" s="8">
        <v>55.2</v>
      </c>
      <c r="G324" s="9">
        <v>56</v>
      </c>
      <c r="H324" s="8">
        <v>25.9</v>
      </c>
      <c r="I324" s="8">
        <v>39</v>
      </c>
      <c r="J324" s="8">
        <v>47</v>
      </c>
      <c r="K324" s="8">
        <v>78.7</v>
      </c>
      <c r="L324" s="9">
        <v>30</v>
      </c>
      <c r="M324" s="9">
        <v>95</v>
      </c>
      <c r="N324" s="9">
        <v>125</v>
      </c>
      <c r="O324" s="9">
        <v>47</v>
      </c>
      <c r="P324" s="9">
        <v>26</v>
      </c>
      <c r="Q324" s="9">
        <v>17</v>
      </c>
      <c r="R324" s="9">
        <v>22</v>
      </c>
      <c r="S324" s="9">
        <v>99</v>
      </c>
      <c r="T324" s="8">
        <v>589</v>
      </c>
      <c r="U324" s="8">
        <v>0</v>
      </c>
      <c r="V324" s="8">
        <v>0</v>
      </c>
      <c r="W324" s="7">
        <v>-3.3</v>
      </c>
      <c r="X324" s="7">
        <v>109.3</v>
      </c>
      <c r="Y324" s="7">
        <v>117.4</v>
      </c>
      <c r="Z324" s="7">
        <v>-8.1</v>
      </c>
      <c r="AA324" s="7">
        <v>7.4</v>
      </c>
      <c r="AB324" s="7">
        <v>2</v>
      </c>
      <c r="AC324" s="7">
        <v>16.399999999999999</v>
      </c>
      <c r="AD324" s="7">
        <v>3.2</v>
      </c>
      <c r="AE324" s="7">
        <v>10.3</v>
      </c>
      <c r="AF324" s="7">
        <v>6.7</v>
      </c>
      <c r="AG324" s="7">
        <v>8.1999999999999993</v>
      </c>
      <c r="AH324" s="7">
        <v>59</v>
      </c>
      <c r="AI324" s="7">
        <v>61.8</v>
      </c>
      <c r="AJ324" s="7">
        <v>11.2</v>
      </c>
      <c r="AK324" s="7">
        <v>100.63</v>
      </c>
      <c r="AL324" s="7">
        <v>6.1</v>
      </c>
      <c r="AM324" s="7">
        <v>1917</v>
      </c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1"/>
    </row>
    <row r="325" spans="1:64" ht="13">
      <c r="A325" s="6" t="s">
        <v>689</v>
      </c>
      <c r="B325" s="6" t="s">
        <v>690</v>
      </c>
      <c r="C325" s="31">
        <v>274</v>
      </c>
      <c r="D325" s="24">
        <v>99</v>
      </c>
      <c r="E325" s="24">
        <v>188</v>
      </c>
      <c r="F325" s="8">
        <v>52.1</v>
      </c>
      <c r="G325" s="9">
        <v>59</v>
      </c>
      <c r="H325" s="8">
        <v>40</v>
      </c>
      <c r="I325" s="8">
        <v>56</v>
      </c>
      <c r="J325" s="8">
        <v>66</v>
      </c>
      <c r="K325" s="8">
        <v>83.3</v>
      </c>
      <c r="L325" s="9">
        <v>13</v>
      </c>
      <c r="M325" s="9">
        <v>46</v>
      </c>
      <c r="N325" s="9">
        <v>59</v>
      </c>
      <c r="O325" s="9">
        <v>76</v>
      </c>
      <c r="P325" s="9">
        <v>40</v>
      </c>
      <c r="Q325" s="9">
        <v>23</v>
      </c>
      <c r="R325" s="9">
        <v>7</v>
      </c>
      <c r="S325" s="9">
        <v>33</v>
      </c>
      <c r="T325" s="8">
        <v>508</v>
      </c>
      <c r="U325" s="8">
        <v>0</v>
      </c>
      <c r="V325" s="8">
        <v>0</v>
      </c>
      <c r="W325" s="7">
        <v>0.3</v>
      </c>
      <c r="X325" s="7">
        <v>109.5</v>
      </c>
      <c r="Y325" s="7">
        <v>108.8</v>
      </c>
      <c r="Z325" s="7">
        <v>0.7</v>
      </c>
      <c r="AA325" s="7">
        <v>22.8</v>
      </c>
      <c r="AB325" s="7">
        <v>1.95</v>
      </c>
      <c r="AC325" s="7">
        <v>22.9</v>
      </c>
      <c r="AD325" s="7">
        <v>2.5</v>
      </c>
      <c r="AE325" s="7">
        <v>9.1</v>
      </c>
      <c r="AF325" s="7">
        <v>5.9</v>
      </c>
      <c r="AG325" s="7">
        <v>11.7</v>
      </c>
      <c r="AH325" s="7">
        <v>58.5</v>
      </c>
      <c r="AI325" s="7">
        <v>63.4</v>
      </c>
      <c r="AJ325" s="7">
        <v>21.8</v>
      </c>
      <c r="AK325" s="7">
        <v>104.74</v>
      </c>
      <c r="AL325" s="7">
        <v>11.9</v>
      </c>
      <c r="AM325" s="7">
        <v>1064</v>
      </c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1"/>
    </row>
    <row r="326" spans="1:64" ht="13">
      <c r="A326" s="6" t="s">
        <v>691</v>
      </c>
      <c r="B326" s="6" t="s">
        <v>692</v>
      </c>
      <c r="C326" s="31">
        <v>271</v>
      </c>
      <c r="D326" s="24">
        <v>94</v>
      </c>
      <c r="E326" s="24">
        <v>275</v>
      </c>
      <c r="F326" s="8">
        <v>34.799999999999997</v>
      </c>
      <c r="G326" s="9">
        <v>123</v>
      </c>
      <c r="H326" s="8">
        <v>36</v>
      </c>
      <c r="I326" s="8">
        <v>33</v>
      </c>
      <c r="J326" s="8">
        <v>41</v>
      </c>
      <c r="K326" s="8">
        <v>82.9</v>
      </c>
      <c r="L326" s="9">
        <v>21</v>
      </c>
      <c r="M326" s="9">
        <v>70</v>
      </c>
      <c r="N326" s="9">
        <v>90</v>
      </c>
      <c r="O326" s="9">
        <v>127</v>
      </c>
      <c r="P326" s="9">
        <v>78</v>
      </c>
      <c r="Q326" s="9">
        <v>16</v>
      </c>
      <c r="R326" s="8">
        <v>0</v>
      </c>
      <c r="S326" s="9">
        <v>45</v>
      </c>
      <c r="T326" s="8">
        <v>537</v>
      </c>
      <c r="U326" s="8">
        <v>1</v>
      </c>
      <c r="V326" s="8">
        <v>0</v>
      </c>
      <c r="W326" s="7">
        <v>-3</v>
      </c>
      <c r="X326" s="7">
        <v>102.2</v>
      </c>
      <c r="Y326" s="7">
        <v>109.4</v>
      </c>
      <c r="Z326" s="7">
        <v>-7.2</v>
      </c>
      <c r="AA326" s="7">
        <v>25.8</v>
      </c>
      <c r="AB326" s="7">
        <v>1.66</v>
      </c>
      <c r="AC326" s="7">
        <v>25.9</v>
      </c>
      <c r="AD326" s="7">
        <v>2.2999999999999998</v>
      </c>
      <c r="AE326" s="7">
        <v>8.5</v>
      </c>
      <c r="AF326" s="7">
        <v>5.3</v>
      </c>
      <c r="AG326" s="7">
        <v>15.6</v>
      </c>
      <c r="AH326" s="7">
        <v>43</v>
      </c>
      <c r="AI326" s="7">
        <v>46.2</v>
      </c>
      <c r="AJ326" s="7">
        <v>19.899999999999999</v>
      </c>
      <c r="AK326" s="7">
        <v>97.45</v>
      </c>
      <c r="AL326" s="7">
        <v>6.1</v>
      </c>
      <c r="AM326" s="7">
        <v>1590</v>
      </c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1"/>
    </row>
    <row r="327" spans="1:64" ht="13">
      <c r="A327" s="6" t="s">
        <v>693</v>
      </c>
      <c r="B327" s="6" t="s">
        <v>694</v>
      </c>
      <c r="C327" s="31">
        <v>270</v>
      </c>
      <c r="D327" s="24">
        <v>96</v>
      </c>
      <c r="E327" s="24">
        <v>264</v>
      </c>
      <c r="F327" s="8">
        <v>37.4</v>
      </c>
      <c r="G327" s="9">
        <v>186</v>
      </c>
      <c r="H327" s="8">
        <v>29.6</v>
      </c>
      <c r="I327" s="8">
        <v>18</v>
      </c>
      <c r="J327" s="8">
        <v>24</v>
      </c>
      <c r="K327" s="8">
        <v>69.599999999999994</v>
      </c>
      <c r="L327" s="9">
        <v>18</v>
      </c>
      <c r="M327" s="9">
        <v>48</v>
      </c>
      <c r="N327" s="9">
        <v>72</v>
      </c>
      <c r="O327" s="9">
        <v>42</v>
      </c>
      <c r="P327" s="9">
        <v>36</v>
      </c>
      <c r="Q327" s="9">
        <v>12</v>
      </c>
      <c r="R327" s="9">
        <v>12</v>
      </c>
      <c r="S327" s="9">
        <v>66</v>
      </c>
      <c r="T327" s="8">
        <v>456</v>
      </c>
      <c r="U327" s="8">
        <v>0</v>
      </c>
      <c r="V327" s="8">
        <v>0</v>
      </c>
      <c r="W327" s="7">
        <v>-1.4</v>
      </c>
      <c r="X327" s="7">
        <v>103</v>
      </c>
      <c r="Y327" s="7">
        <v>108.7</v>
      </c>
      <c r="Z327" s="7">
        <v>-5.7</v>
      </c>
      <c r="AA327" s="7">
        <v>10.199999999999999</v>
      </c>
      <c r="AB327" s="7">
        <v>1.22</v>
      </c>
      <c r="AC327" s="7">
        <v>12.5</v>
      </c>
      <c r="AD327" s="7">
        <v>2.6</v>
      </c>
      <c r="AE327" s="7">
        <v>7.4</v>
      </c>
      <c r="AF327" s="7">
        <v>4.8</v>
      </c>
      <c r="AG327" s="7">
        <v>10.199999999999999</v>
      </c>
      <c r="AH327" s="7">
        <v>47.9</v>
      </c>
      <c r="AI327" s="7">
        <v>49.1</v>
      </c>
      <c r="AJ327" s="7">
        <v>18.100000000000001</v>
      </c>
      <c r="AK327" s="7">
        <v>99.92</v>
      </c>
      <c r="AL327" s="7">
        <v>4.5</v>
      </c>
      <c r="AM327" s="7">
        <v>1458</v>
      </c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1"/>
    </row>
    <row r="328" spans="1:64" ht="13">
      <c r="A328" s="6" t="s">
        <v>695</v>
      </c>
      <c r="B328" s="6" t="s">
        <v>696</v>
      </c>
      <c r="C328" s="31">
        <v>266</v>
      </c>
      <c r="D328" s="24">
        <v>95</v>
      </c>
      <c r="E328" s="24">
        <v>221</v>
      </c>
      <c r="F328" s="8">
        <v>42.7</v>
      </c>
      <c r="G328" s="9">
        <v>78</v>
      </c>
      <c r="H328" s="8">
        <v>31.2</v>
      </c>
      <c r="I328" s="8">
        <v>56</v>
      </c>
      <c r="J328" s="8">
        <v>73</v>
      </c>
      <c r="K328" s="8">
        <v>75.3</v>
      </c>
      <c r="L328" s="9">
        <v>31</v>
      </c>
      <c r="M328" s="9">
        <v>87</v>
      </c>
      <c r="N328" s="9">
        <v>120</v>
      </c>
      <c r="O328" s="9">
        <v>56</v>
      </c>
      <c r="P328" s="9">
        <v>39</v>
      </c>
      <c r="Q328" s="9">
        <v>25</v>
      </c>
      <c r="R328" s="9">
        <v>11</v>
      </c>
      <c r="S328" s="9">
        <v>56</v>
      </c>
      <c r="T328" s="8">
        <v>557</v>
      </c>
      <c r="U328" s="8">
        <v>0</v>
      </c>
      <c r="V328" s="8">
        <v>0</v>
      </c>
      <c r="W328" s="7">
        <v>-2.4</v>
      </c>
      <c r="X328" s="7">
        <v>103.4</v>
      </c>
      <c r="Y328" s="7">
        <v>108.4</v>
      </c>
      <c r="Z328" s="7">
        <v>-5</v>
      </c>
      <c r="AA328" s="7">
        <v>13.2</v>
      </c>
      <c r="AB328" s="7">
        <v>1.41</v>
      </c>
      <c r="AC328" s="7">
        <v>15.9</v>
      </c>
      <c r="AD328" s="7">
        <v>4.4000000000000004</v>
      </c>
      <c r="AE328" s="7">
        <v>13.6</v>
      </c>
      <c r="AF328" s="7">
        <v>8.6999999999999993</v>
      </c>
      <c r="AG328" s="7">
        <v>11.2</v>
      </c>
      <c r="AH328" s="7">
        <v>48.2</v>
      </c>
      <c r="AI328" s="7">
        <v>53</v>
      </c>
      <c r="AJ328" s="7">
        <v>18.3</v>
      </c>
      <c r="AK328" s="7">
        <v>97.96</v>
      </c>
      <c r="AL328" s="7">
        <v>8.6999999999999993</v>
      </c>
      <c r="AM328" s="7">
        <v>1358</v>
      </c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1"/>
    </row>
    <row r="329" spans="1:64" ht="13">
      <c r="A329" s="6" t="s">
        <v>697</v>
      </c>
      <c r="B329" s="6" t="s">
        <v>698</v>
      </c>
      <c r="C329" s="31">
        <v>266</v>
      </c>
      <c r="D329" s="24">
        <v>88</v>
      </c>
      <c r="E329" s="24">
        <v>242</v>
      </c>
      <c r="F329" s="8">
        <v>36.6</v>
      </c>
      <c r="G329" s="9">
        <v>196</v>
      </c>
      <c r="H329" s="8">
        <v>34.4</v>
      </c>
      <c r="I329" s="8">
        <v>21</v>
      </c>
      <c r="J329" s="8">
        <v>28</v>
      </c>
      <c r="K329" s="8">
        <v>81.5</v>
      </c>
      <c r="L329" s="9">
        <v>25</v>
      </c>
      <c r="M329" s="9">
        <v>95</v>
      </c>
      <c r="N329" s="9">
        <v>119</v>
      </c>
      <c r="O329" s="9">
        <v>116</v>
      </c>
      <c r="P329" s="9">
        <v>42</v>
      </c>
      <c r="Q329" s="9">
        <v>46</v>
      </c>
      <c r="R329" s="9">
        <v>18</v>
      </c>
      <c r="S329" s="9">
        <v>56</v>
      </c>
      <c r="T329" s="8">
        <v>732</v>
      </c>
      <c r="U329" s="8">
        <v>0</v>
      </c>
      <c r="V329" s="8">
        <v>0</v>
      </c>
      <c r="W329" s="7">
        <v>2.9</v>
      </c>
      <c r="X329" s="7">
        <v>113.5</v>
      </c>
      <c r="Y329" s="7">
        <v>108</v>
      </c>
      <c r="Z329" s="7">
        <v>5.5</v>
      </c>
      <c r="AA329" s="7">
        <v>18.7</v>
      </c>
      <c r="AB329" s="7">
        <v>2.8</v>
      </c>
      <c r="AC329" s="7">
        <v>28</v>
      </c>
      <c r="AD329" s="7">
        <v>2.9</v>
      </c>
      <c r="AE329" s="7">
        <v>10.6</v>
      </c>
      <c r="AF329" s="7">
        <v>6.8</v>
      </c>
      <c r="AG329" s="7">
        <v>10</v>
      </c>
      <c r="AH329" s="7">
        <v>50.4</v>
      </c>
      <c r="AI329" s="7">
        <v>52.4</v>
      </c>
      <c r="AJ329" s="7">
        <v>15.2</v>
      </c>
      <c r="AK329" s="7">
        <v>105.6</v>
      </c>
      <c r="AL329" s="7">
        <v>7.8</v>
      </c>
      <c r="AM329" s="7">
        <v>1712</v>
      </c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1"/>
    </row>
    <row r="330" spans="1:64" ht="13">
      <c r="A330" s="6" t="s">
        <v>699</v>
      </c>
      <c r="B330" s="6" t="s">
        <v>700</v>
      </c>
      <c r="C330" s="31">
        <v>265</v>
      </c>
      <c r="D330" s="24">
        <v>86</v>
      </c>
      <c r="E330" s="24">
        <v>203</v>
      </c>
      <c r="F330" s="8">
        <v>42.6</v>
      </c>
      <c r="G330" s="9">
        <v>137</v>
      </c>
      <c r="H330" s="8">
        <v>40.9</v>
      </c>
      <c r="I330" s="8">
        <v>35</v>
      </c>
      <c r="J330" s="8">
        <v>47</v>
      </c>
      <c r="K330" s="8">
        <v>75</v>
      </c>
      <c r="L330" s="9">
        <v>8</v>
      </c>
      <c r="M330" s="9">
        <v>39</v>
      </c>
      <c r="N330" s="9">
        <v>47</v>
      </c>
      <c r="O330" s="9">
        <v>66</v>
      </c>
      <c r="P330" s="9">
        <v>27</v>
      </c>
      <c r="Q330" s="9">
        <v>27</v>
      </c>
      <c r="R330" s="9">
        <v>12</v>
      </c>
      <c r="S330" s="9">
        <v>31</v>
      </c>
      <c r="T330" s="8">
        <v>503</v>
      </c>
      <c r="U330" s="8">
        <v>0</v>
      </c>
      <c r="V330" s="8">
        <v>0</v>
      </c>
      <c r="W330" s="7">
        <v>-1.8</v>
      </c>
      <c r="X330" s="7">
        <v>111</v>
      </c>
      <c r="Y330" s="7">
        <v>116.4</v>
      </c>
      <c r="Z330" s="7">
        <v>-5.4</v>
      </c>
      <c r="AA330" s="7">
        <v>11.8</v>
      </c>
      <c r="AB330" s="7">
        <v>2.3199999999999998</v>
      </c>
      <c r="AC330" s="7">
        <v>20.5</v>
      </c>
      <c r="AD330" s="7">
        <v>1.1000000000000001</v>
      </c>
      <c r="AE330" s="7">
        <v>5.2</v>
      </c>
      <c r="AF330" s="7">
        <v>3.1</v>
      </c>
      <c r="AG330" s="7">
        <v>8.8000000000000007</v>
      </c>
      <c r="AH330" s="7">
        <v>56.4</v>
      </c>
      <c r="AI330" s="7">
        <v>59.1</v>
      </c>
      <c r="AJ330" s="7">
        <v>14</v>
      </c>
      <c r="AK330" s="7">
        <v>99.62</v>
      </c>
      <c r="AL330" s="7">
        <v>6.7</v>
      </c>
      <c r="AM330" s="7">
        <v>1601</v>
      </c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1"/>
    </row>
    <row r="331" spans="1:64" ht="13">
      <c r="A331" s="6" t="s">
        <v>701</v>
      </c>
      <c r="B331" s="6" t="s">
        <v>702</v>
      </c>
      <c r="C331" s="31">
        <v>256</v>
      </c>
      <c r="D331" s="24">
        <v>116</v>
      </c>
      <c r="E331" s="24">
        <v>189</v>
      </c>
      <c r="F331" s="8">
        <v>60.4</v>
      </c>
      <c r="G331" s="8">
        <v>0</v>
      </c>
      <c r="H331" s="8">
        <v>0</v>
      </c>
      <c r="I331" s="8">
        <v>31</v>
      </c>
      <c r="J331" s="8">
        <v>49</v>
      </c>
      <c r="K331" s="8">
        <v>58</v>
      </c>
      <c r="L331" s="9">
        <v>67</v>
      </c>
      <c r="M331" s="9">
        <v>159</v>
      </c>
      <c r="N331" s="9">
        <v>220</v>
      </c>
      <c r="O331" s="9">
        <v>73</v>
      </c>
      <c r="P331" s="9">
        <v>37</v>
      </c>
      <c r="Q331" s="9">
        <v>31</v>
      </c>
      <c r="R331" s="9">
        <v>31</v>
      </c>
      <c r="S331" s="9">
        <v>104</v>
      </c>
      <c r="T331" s="8">
        <v>763</v>
      </c>
      <c r="U331" s="8">
        <v>0</v>
      </c>
      <c r="V331" s="8">
        <v>0</v>
      </c>
      <c r="W331" s="7">
        <v>-0.3</v>
      </c>
      <c r="X331" s="7">
        <v>109.4</v>
      </c>
      <c r="Y331" s="7">
        <v>110</v>
      </c>
      <c r="Z331" s="7">
        <v>-0.6</v>
      </c>
      <c r="AA331" s="7">
        <v>9.5</v>
      </c>
      <c r="AB331" s="7">
        <v>1.82</v>
      </c>
      <c r="AC331" s="7">
        <v>22.3</v>
      </c>
      <c r="AD331" s="7">
        <v>6.3</v>
      </c>
      <c r="AE331" s="7">
        <v>14.3</v>
      </c>
      <c r="AF331" s="7">
        <v>10.4</v>
      </c>
      <c r="AG331" s="7">
        <v>12.2</v>
      </c>
      <c r="AH331" s="7">
        <v>60.4</v>
      </c>
      <c r="AI331" s="7">
        <v>61</v>
      </c>
      <c r="AJ331" s="7">
        <v>10.3</v>
      </c>
      <c r="AK331" s="7">
        <v>99.05</v>
      </c>
      <c r="AL331" s="7">
        <v>7.3</v>
      </c>
      <c r="AM331" s="7">
        <v>2154</v>
      </c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1"/>
    </row>
    <row r="332" spans="1:64" ht="13">
      <c r="A332" s="6" t="s">
        <v>703</v>
      </c>
      <c r="B332" s="6" t="s">
        <v>704</v>
      </c>
      <c r="C332" s="31">
        <v>255</v>
      </c>
      <c r="D332" s="24">
        <v>94</v>
      </c>
      <c r="E332" s="24">
        <v>250</v>
      </c>
      <c r="F332" s="8">
        <v>36.9</v>
      </c>
      <c r="G332" s="9">
        <v>187</v>
      </c>
      <c r="H332" s="8">
        <v>34.4</v>
      </c>
      <c r="I332" s="8">
        <v>10</v>
      </c>
      <c r="J332" s="8">
        <v>10</v>
      </c>
      <c r="K332" s="8">
        <v>72.7</v>
      </c>
      <c r="L332" s="9">
        <v>21</v>
      </c>
      <c r="M332" s="9">
        <v>88</v>
      </c>
      <c r="N332" s="9">
        <v>109</v>
      </c>
      <c r="O332" s="9">
        <v>52</v>
      </c>
      <c r="P332" s="9">
        <v>21</v>
      </c>
      <c r="Q332" s="9">
        <v>26</v>
      </c>
      <c r="R332" s="9">
        <v>10</v>
      </c>
      <c r="S332" s="9">
        <v>62</v>
      </c>
      <c r="T332" s="8">
        <v>562</v>
      </c>
      <c r="U332" s="8">
        <v>0</v>
      </c>
      <c r="V332" s="8">
        <v>0</v>
      </c>
      <c r="W332" s="7">
        <v>0.3</v>
      </c>
      <c r="X332" s="7">
        <v>111.6</v>
      </c>
      <c r="Y332" s="7">
        <v>110.2</v>
      </c>
      <c r="Z332" s="7">
        <v>1.4</v>
      </c>
      <c r="AA332" s="7">
        <v>9.1999999999999993</v>
      </c>
      <c r="AB332" s="7">
        <v>2.6</v>
      </c>
      <c r="AC332" s="7">
        <v>16</v>
      </c>
      <c r="AD332" s="7">
        <v>2.2999999999999998</v>
      </c>
      <c r="AE332" s="7">
        <v>11.6</v>
      </c>
      <c r="AF332" s="7">
        <v>6.7</v>
      </c>
      <c r="AG332" s="7">
        <v>6.2</v>
      </c>
      <c r="AH332" s="7">
        <v>49.8</v>
      </c>
      <c r="AI332" s="7">
        <v>50.4</v>
      </c>
      <c r="AJ332" s="7">
        <v>14.5</v>
      </c>
      <c r="AK332" s="7">
        <v>99.37</v>
      </c>
      <c r="AL332" s="7">
        <v>6.1</v>
      </c>
      <c r="AM332" s="7">
        <v>1607</v>
      </c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1"/>
    </row>
    <row r="333" spans="1:64" ht="13">
      <c r="A333" s="6" t="s">
        <v>705</v>
      </c>
      <c r="B333" s="6" t="s">
        <v>706</v>
      </c>
      <c r="C333" s="31">
        <v>255</v>
      </c>
      <c r="D333" s="24">
        <v>117</v>
      </c>
      <c r="E333" s="24">
        <v>224</v>
      </c>
      <c r="F333" s="8">
        <v>52</v>
      </c>
      <c r="G333" s="8">
        <v>0</v>
      </c>
      <c r="H333" s="8">
        <v>0</v>
      </c>
      <c r="I333" s="8">
        <v>26</v>
      </c>
      <c r="J333" s="8">
        <v>31</v>
      </c>
      <c r="K333" s="8">
        <v>72.7</v>
      </c>
      <c r="L333" s="9">
        <v>46</v>
      </c>
      <c r="M333" s="9">
        <v>194</v>
      </c>
      <c r="N333" s="9">
        <v>240</v>
      </c>
      <c r="O333" s="9">
        <v>286</v>
      </c>
      <c r="P333" s="9">
        <v>102</v>
      </c>
      <c r="Q333" s="9">
        <v>36</v>
      </c>
      <c r="R333" s="9">
        <v>26</v>
      </c>
      <c r="S333" s="9">
        <v>107</v>
      </c>
      <c r="T333" s="8">
        <v>1056</v>
      </c>
      <c r="U333" s="8">
        <v>1</v>
      </c>
      <c r="V333" s="8">
        <v>0</v>
      </c>
      <c r="W333" s="7">
        <v>-1.1000000000000001</v>
      </c>
      <c r="X333" s="7">
        <v>111.7</v>
      </c>
      <c r="Y333" s="7">
        <v>113.5</v>
      </c>
      <c r="Z333" s="7">
        <v>-1.8</v>
      </c>
      <c r="AA333" s="7">
        <v>35.799999999999997</v>
      </c>
      <c r="AB333" s="7">
        <v>2.79</v>
      </c>
      <c r="AC333" s="7">
        <v>45.7</v>
      </c>
      <c r="AD333" s="7">
        <v>4.3</v>
      </c>
      <c r="AE333" s="7">
        <v>18.399999999999999</v>
      </c>
      <c r="AF333" s="7">
        <v>11.3</v>
      </c>
      <c r="AG333" s="7">
        <v>16.3</v>
      </c>
      <c r="AH333" s="7">
        <v>52</v>
      </c>
      <c r="AI333" s="7">
        <v>53.9</v>
      </c>
      <c r="AJ333" s="7">
        <v>13.3</v>
      </c>
      <c r="AK333" s="7">
        <v>98.17</v>
      </c>
      <c r="AL333" s="7">
        <v>10.3</v>
      </c>
      <c r="AM333" s="7">
        <v>2283</v>
      </c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1"/>
    </row>
    <row r="334" spans="1:64" ht="13">
      <c r="A334" s="6" t="s">
        <v>707</v>
      </c>
      <c r="B334" s="6" t="s">
        <v>708</v>
      </c>
      <c r="C334" s="31">
        <v>253</v>
      </c>
      <c r="D334" s="24">
        <v>88</v>
      </c>
      <c r="E334" s="24">
        <v>204</v>
      </c>
      <c r="F334" s="8">
        <v>43.8</v>
      </c>
      <c r="G334" s="9">
        <v>94</v>
      </c>
      <c r="H334" s="8">
        <v>33.700000000000003</v>
      </c>
      <c r="I334" s="8">
        <v>39</v>
      </c>
      <c r="J334" s="8">
        <v>61</v>
      </c>
      <c r="K334" s="8">
        <v>67.2</v>
      </c>
      <c r="L334" s="9">
        <v>28</v>
      </c>
      <c r="M334" s="9">
        <v>66</v>
      </c>
      <c r="N334" s="9">
        <v>94</v>
      </c>
      <c r="O334" s="9">
        <v>66</v>
      </c>
      <c r="P334" s="9">
        <v>22</v>
      </c>
      <c r="Q334" s="9">
        <v>33</v>
      </c>
      <c r="R334" s="9">
        <v>6</v>
      </c>
      <c r="S334" s="9">
        <v>94</v>
      </c>
      <c r="T334" s="8">
        <v>550</v>
      </c>
      <c r="U334" s="8">
        <v>0</v>
      </c>
      <c r="V334" s="8">
        <v>0</v>
      </c>
      <c r="W334" s="7">
        <v>0.2</v>
      </c>
      <c r="X334" s="7">
        <v>111.1</v>
      </c>
      <c r="Y334" s="7">
        <v>108.7</v>
      </c>
      <c r="Z334" s="7">
        <v>2.4</v>
      </c>
      <c r="AA334" s="7">
        <v>11.6</v>
      </c>
      <c r="AB334" s="7">
        <v>2.71</v>
      </c>
      <c r="AC334" s="7">
        <v>20.399999999999999</v>
      </c>
      <c r="AD334" s="7">
        <v>3.6</v>
      </c>
      <c r="AE334" s="7">
        <v>8.1</v>
      </c>
      <c r="AF334" s="7">
        <v>5.8</v>
      </c>
      <c r="AG334" s="7">
        <v>7.5</v>
      </c>
      <c r="AH334" s="7">
        <v>51.7</v>
      </c>
      <c r="AI334" s="7">
        <v>54.6</v>
      </c>
      <c r="AJ334" s="7">
        <v>14.1</v>
      </c>
      <c r="AK334" s="7">
        <v>98.71</v>
      </c>
      <c r="AL334" s="7">
        <v>5.5</v>
      </c>
      <c r="AM334" s="7">
        <v>1595</v>
      </c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1"/>
    </row>
    <row r="335" spans="1:64" ht="13">
      <c r="A335" s="6" t="s">
        <v>709</v>
      </c>
      <c r="B335" s="6" t="s">
        <v>710</v>
      </c>
      <c r="C335" s="31">
        <v>248</v>
      </c>
      <c r="D335" s="24">
        <v>90</v>
      </c>
      <c r="E335" s="24">
        <v>212</v>
      </c>
      <c r="F335" s="8">
        <v>42</v>
      </c>
      <c r="G335" s="9">
        <v>128</v>
      </c>
      <c r="H335" s="8">
        <v>35.4</v>
      </c>
      <c r="I335" s="8">
        <v>24</v>
      </c>
      <c r="J335" s="8">
        <v>30</v>
      </c>
      <c r="K335" s="8">
        <v>80</v>
      </c>
      <c r="L335" s="9">
        <v>6</v>
      </c>
      <c r="M335" s="9">
        <v>58</v>
      </c>
      <c r="N335" s="9">
        <v>64</v>
      </c>
      <c r="O335" s="9">
        <v>50</v>
      </c>
      <c r="P335" s="9">
        <v>26</v>
      </c>
      <c r="Q335" s="9">
        <v>10</v>
      </c>
      <c r="R335" s="9">
        <v>6</v>
      </c>
      <c r="S335" s="9">
        <v>28</v>
      </c>
      <c r="T335" s="8">
        <v>418</v>
      </c>
      <c r="U335" s="8">
        <v>1</v>
      </c>
      <c r="V335" s="8">
        <v>0</v>
      </c>
      <c r="W335" s="7">
        <v>-7.1</v>
      </c>
      <c r="X335" s="7">
        <v>104.7</v>
      </c>
      <c r="Y335" s="7">
        <v>118.7</v>
      </c>
      <c r="Z335" s="7">
        <v>-14.1</v>
      </c>
      <c r="AA335" s="7">
        <v>16.7</v>
      </c>
      <c r="AB335" s="7">
        <v>2</v>
      </c>
      <c r="AC335" s="7">
        <v>16.7</v>
      </c>
      <c r="AD335" s="7">
        <v>1.2</v>
      </c>
      <c r="AE335" s="7">
        <v>11.7</v>
      </c>
      <c r="AF335" s="7">
        <v>6.3</v>
      </c>
      <c r="AG335" s="7">
        <v>8.4</v>
      </c>
      <c r="AH335" s="7">
        <v>52.6</v>
      </c>
      <c r="AI335" s="7">
        <v>54.8</v>
      </c>
      <c r="AJ335" s="7">
        <v>21.4</v>
      </c>
      <c r="AK335" s="7">
        <v>101.6</v>
      </c>
      <c r="AL335" s="7">
        <v>9.1</v>
      </c>
      <c r="AM335" s="7">
        <v>1009</v>
      </c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1"/>
    </row>
    <row r="336" spans="1:64" ht="13">
      <c r="A336" s="6" t="s">
        <v>711</v>
      </c>
      <c r="B336" s="6" t="s">
        <v>712</v>
      </c>
      <c r="C336" s="31">
        <v>245</v>
      </c>
      <c r="D336" s="24">
        <v>97</v>
      </c>
      <c r="E336" s="24">
        <v>184</v>
      </c>
      <c r="F336" s="8">
        <v>52.5</v>
      </c>
      <c r="G336" s="9">
        <v>94</v>
      </c>
      <c r="H336" s="8">
        <v>34.4</v>
      </c>
      <c r="I336" s="8">
        <v>22</v>
      </c>
      <c r="J336" s="8">
        <v>25</v>
      </c>
      <c r="K336" s="8">
        <v>76.900000000000006</v>
      </c>
      <c r="L336" s="9">
        <v>22</v>
      </c>
      <c r="M336" s="9">
        <v>83</v>
      </c>
      <c r="N336" s="9">
        <v>104</v>
      </c>
      <c r="O336" s="9">
        <v>22</v>
      </c>
      <c r="P336" s="9">
        <v>22</v>
      </c>
      <c r="Q336" s="9">
        <v>11</v>
      </c>
      <c r="R336" s="9">
        <v>25</v>
      </c>
      <c r="S336" s="9">
        <v>22</v>
      </c>
      <c r="T336" s="8">
        <v>482</v>
      </c>
      <c r="U336" s="8">
        <v>1</v>
      </c>
      <c r="V336" s="8">
        <v>0</v>
      </c>
      <c r="W336" s="7">
        <v>-1</v>
      </c>
      <c r="X336" s="7">
        <v>112.1</v>
      </c>
      <c r="Y336" s="7">
        <v>115.9</v>
      </c>
      <c r="Z336" s="7">
        <v>-3.9</v>
      </c>
      <c r="AA336" s="7">
        <v>7.1</v>
      </c>
      <c r="AB336" s="7">
        <v>1.1000000000000001</v>
      </c>
      <c r="AC336" s="7">
        <v>9.3000000000000007</v>
      </c>
      <c r="AD336" s="7">
        <v>4.7</v>
      </c>
      <c r="AE336" s="7">
        <v>16.8</v>
      </c>
      <c r="AF336" s="7">
        <v>11.3</v>
      </c>
      <c r="AG336" s="7">
        <v>8.4</v>
      </c>
      <c r="AH336" s="7">
        <v>61.2</v>
      </c>
      <c r="AI336" s="7">
        <v>62.7</v>
      </c>
      <c r="AJ336" s="7">
        <v>20.399999999999999</v>
      </c>
      <c r="AK336" s="7">
        <v>102.75</v>
      </c>
      <c r="AL336" s="7">
        <v>11.4</v>
      </c>
      <c r="AM336" s="7">
        <v>960</v>
      </c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1"/>
    </row>
    <row r="337" spans="1:64" ht="13">
      <c r="A337" s="6" t="s">
        <v>713</v>
      </c>
      <c r="B337" s="6" t="s">
        <v>714</v>
      </c>
      <c r="C337" s="31">
        <v>238</v>
      </c>
      <c r="D337" s="24">
        <v>81</v>
      </c>
      <c r="E337" s="24">
        <v>191</v>
      </c>
      <c r="F337" s="8">
        <v>42.1</v>
      </c>
      <c r="G337" s="9">
        <v>162</v>
      </c>
      <c r="H337" s="8">
        <v>40</v>
      </c>
      <c r="I337" s="8">
        <v>17</v>
      </c>
      <c r="J337" s="8">
        <v>17</v>
      </c>
      <c r="K337" s="8">
        <v>88.2</v>
      </c>
      <c r="L337" s="9">
        <v>17</v>
      </c>
      <c r="M337" s="9">
        <v>58</v>
      </c>
      <c r="N337" s="9">
        <v>75</v>
      </c>
      <c r="O337" s="9">
        <v>35</v>
      </c>
      <c r="P337" s="9">
        <v>12</v>
      </c>
      <c r="Q337" s="9">
        <v>23</v>
      </c>
      <c r="R337" s="9">
        <v>6</v>
      </c>
      <c r="S337" s="9">
        <v>64</v>
      </c>
      <c r="T337" s="8">
        <v>452</v>
      </c>
      <c r="U337" s="8">
        <v>0</v>
      </c>
      <c r="V337" s="8">
        <v>0</v>
      </c>
      <c r="W337" s="7">
        <v>-1.1000000000000001</v>
      </c>
      <c r="X337" s="7">
        <v>104.2</v>
      </c>
      <c r="Y337" s="7">
        <v>108.2</v>
      </c>
      <c r="Z337" s="7">
        <v>-4.0999999999999996</v>
      </c>
      <c r="AA337" s="7">
        <v>6.6</v>
      </c>
      <c r="AB337" s="7">
        <v>2.69</v>
      </c>
      <c r="AC337" s="7">
        <v>14.3</v>
      </c>
      <c r="AD337" s="7">
        <v>2.2999999999999998</v>
      </c>
      <c r="AE337" s="7">
        <v>7.3</v>
      </c>
      <c r="AF337" s="7">
        <v>4.7</v>
      </c>
      <c r="AG337" s="7">
        <v>5.3</v>
      </c>
      <c r="AH337" s="7">
        <v>58.9</v>
      </c>
      <c r="AI337" s="7">
        <v>60.5</v>
      </c>
      <c r="AJ337" s="7">
        <v>11.5</v>
      </c>
      <c r="AK337" s="7">
        <v>96.82</v>
      </c>
      <c r="AL337" s="7">
        <v>6.1</v>
      </c>
      <c r="AM337" s="7">
        <v>1589</v>
      </c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1"/>
    </row>
    <row r="338" spans="1:64" ht="13">
      <c r="A338" s="13" t="s">
        <v>715</v>
      </c>
      <c r="B338" s="6" t="s">
        <v>716</v>
      </c>
      <c r="C338" s="31">
        <v>237</v>
      </c>
      <c r="D338" s="24">
        <v>81</v>
      </c>
      <c r="E338" s="24">
        <v>190</v>
      </c>
      <c r="F338" s="8">
        <v>42.1</v>
      </c>
      <c r="G338" s="9">
        <v>101</v>
      </c>
      <c r="H338" s="8">
        <v>32.700000000000003</v>
      </c>
      <c r="I338" s="8">
        <v>44</v>
      </c>
      <c r="J338" s="8">
        <v>62</v>
      </c>
      <c r="K338" s="8">
        <v>68.3</v>
      </c>
      <c r="L338" s="9">
        <v>21</v>
      </c>
      <c r="M338" s="9">
        <v>65</v>
      </c>
      <c r="N338" s="9">
        <v>86</v>
      </c>
      <c r="O338" s="9">
        <v>31</v>
      </c>
      <c r="P338" s="9">
        <v>16</v>
      </c>
      <c r="Q338" s="9">
        <v>13</v>
      </c>
      <c r="R338" s="9">
        <v>5</v>
      </c>
      <c r="S338" s="9">
        <v>44</v>
      </c>
      <c r="T338" s="8">
        <v>429</v>
      </c>
      <c r="U338" s="8">
        <v>2</v>
      </c>
      <c r="V338" s="8">
        <v>0</v>
      </c>
      <c r="W338" s="7">
        <v>-0.7</v>
      </c>
      <c r="X338" s="7">
        <v>109.7</v>
      </c>
      <c r="Y338" s="7">
        <v>111.1</v>
      </c>
      <c r="Z338" s="7">
        <v>-1.4</v>
      </c>
      <c r="AA338" s="7">
        <v>9.3000000000000007</v>
      </c>
      <c r="AB338" s="7">
        <v>2.0699999999999998</v>
      </c>
      <c r="AC338" s="7">
        <v>11.7</v>
      </c>
      <c r="AD338" s="7">
        <v>3.6</v>
      </c>
      <c r="AE338" s="7">
        <v>12.8</v>
      </c>
      <c r="AF338" s="7">
        <v>8</v>
      </c>
      <c r="AG338" s="7">
        <v>5.7</v>
      </c>
      <c r="AH338" s="7">
        <v>50.8</v>
      </c>
      <c r="AI338" s="7">
        <v>54.2</v>
      </c>
      <c r="AJ338" s="7">
        <v>18.899999999999999</v>
      </c>
      <c r="AK338" s="7">
        <v>103.71</v>
      </c>
      <c r="AL338" s="7">
        <v>8.1999999999999993</v>
      </c>
      <c r="AM338" s="7">
        <v>1050</v>
      </c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1"/>
    </row>
    <row r="339" spans="1:64" ht="13">
      <c r="A339" s="6" t="s">
        <v>717</v>
      </c>
      <c r="B339" s="6" t="s">
        <v>718</v>
      </c>
      <c r="C339" s="31">
        <v>235</v>
      </c>
      <c r="D339" s="24">
        <v>89</v>
      </c>
      <c r="E339" s="24">
        <v>188</v>
      </c>
      <c r="F339" s="8">
        <v>45.8</v>
      </c>
      <c r="G339" s="9">
        <v>85</v>
      </c>
      <c r="H339" s="8">
        <v>40.5</v>
      </c>
      <c r="I339" s="8">
        <v>28</v>
      </c>
      <c r="J339" s="8">
        <v>33</v>
      </c>
      <c r="K339" s="8">
        <v>81.8</v>
      </c>
      <c r="L339" s="9">
        <v>5</v>
      </c>
      <c r="M339" s="9">
        <v>42</v>
      </c>
      <c r="N339" s="9">
        <v>52</v>
      </c>
      <c r="O339" s="9">
        <v>38</v>
      </c>
      <c r="P339" s="9">
        <v>33</v>
      </c>
      <c r="Q339" s="9">
        <v>9</v>
      </c>
      <c r="R339" s="8">
        <v>0</v>
      </c>
      <c r="S339" s="9">
        <v>28</v>
      </c>
      <c r="T339" s="8">
        <v>357</v>
      </c>
      <c r="U339" s="8">
        <v>0</v>
      </c>
      <c r="V339" s="8">
        <v>0</v>
      </c>
      <c r="W339" s="7">
        <v>-0.7</v>
      </c>
      <c r="X339" s="7">
        <v>106.1</v>
      </c>
      <c r="Y339" s="7">
        <v>109.8</v>
      </c>
      <c r="Z339" s="7">
        <v>-3.7</v>
      </c>
      <c r="AA339" s="7">
        <v>13.9</v>
      </c>
      <c r="AB339" s="7">
        <v>1.1200000000000001</v>
      </c>
      <c r="AC339" s="7">
        <v>13.7</v>
      </c>
      <c r="AD339" s="7">
        <v>1.6</v>
      </c>
      <c r="AE339" s="7">
        <v>9.3000000000000007</v>
      </c>
      <c r="AF339" s="7">
        <v>5.7</v>
      </c>
      <c r="AG339" s="7">
        <v>12.3</v>
      </c>
      <c r="AH339" s="7">
        <v>54.7</v>
      </c>
      <c r="AI339" s="7">
        <v>57.5</v>
      </c>
      <c r="AJ339" s="7">
        <v>23.3</v>
      </c>
      <c r="AK339" s="7">
        <v>103.25</v>
      </c>
      <c r="AL339" s="7">
        <v>8.6999999999999993</v>
      </c>
      <c r="AM339" s="7">
        <v>918</v>
      </c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1"/>
    </row>
    <row r="340" spans="1:64" ht="13">
      <c r="A340" s="6" t="s">
        <v>719</v>
      </c>
      <c r="B340" s="6" t="s">
        <v>720</v>
      </c>
      <c r="C340" s="31">
        <v>234</v>
      </c>
      <c r="D340" s="24">
        <v>90</v>
      </c>
      <c r="E340" s="24">
        <v>184</v>
      </c>
      <c r="F340" s="8">
        <v>49.5</v>
      </c>
      <c r="G340" s="9">
        <v>61</v>
      </c>
      <c r="H340" s="8">
        <v>38.299999999999997</v>
      </c>
      <c r="I340" s="8">
        <v>29</v>
      </c>
      <c r="J340" s="8">
        <v>36</v>
      </c>
      <c r="K340" s="8">
        <v>82.9</v>
      </c>
      <c r="L340" s="9">
        <v>18</v>
      </c>
      <c r="M340" s="9">
        <v>50</v>
      </c>
      <c r="N340" s="9">
        <v>68</v>
      </c>
      <c r="O340" s="9">
        <v>65</v>
      </c>
      <c r="P340" s="9">
        <v>29</v>
      </c>
      <c r="Q340" s="9">
        <v>25</v>
      </c>
      <c r="R340" s="9">
        <v>4</v>
      </c>
      <c r="S340" s="9">
        <v>68</v>
      </c>
      <c r="T340" s="8">
        <v>468</v>
      </c>
      <c r="U340" s="8">
        <v>1</v>
      </c>
      <c r="V340" s="8">
        <v>0</v>
      </c>
      <c r="W340" s="7">
        <v>3.5</v>
      </c>
      <c r="X340" s="7">
        <v>110</v>
      </c>
      <c r="Y340" s="7">
        <v>100.2</v>
      </c>
      <c r="Z340" s="7">
        <v>9.6999999999999993</v>
      </c>
      <c r="AA340" s="7">
        <v>15.3</v>
      </c>
      <c r="AB340" s="7">
        <v>2.21</v>
      </c>
      <c r="AC340" s="7">
        <v>22.1</v>
      </c>
      <c r="AD340" s="7">
        <v>2.8</v>
      </c>
      <c r="AE340" s="7">
        <v>8</v>
      </c>
      <c r="AF340" s="7">
        <v>5.3</v>
      </c>
      <c r="AG340" s="7">
        <v>10</v>
      </c>
      <c r="AH340" s="7">
        <v>55.7</v>
      </c>
      <c r="AI340" s="7">
        <v>58.7</v>
      </c>
      <c r="AJ340" s="7">
        <v>15.9</v>
      </c>
      <c r="AK340" s="7">
        <v>100.63</v>
      </c>
      <c r="AL340" s="7">
        <v>8.1999999999999993</v>
      </c>
      <c r="AM340" s="7">
        <v>1254</v>
      </c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1"/>
    </row>
    <row r="341" spans="1:64" ht="13">
      <c r="A341" s="6" t="s">
        <v>721</v>
      </c>
      <c r="B341" s="6" t="s">
        <v>722</v>
      </c>
      <c r="C341" s="31">
        <v>234</v>
      </c>
      <c r="D341" s="24">
        <v>81</v>
      </c>
      <c r="E341" s="24">
        <v>194</v>
      </c>
      <c r="F341" s="8">
        <v>42.6</v>
      </c>
      <c r="G341" s="9">
        <v>86</v>
      </c>
      <c r="H341" s="8">
        <v>36</v>
      </c>
      <c r="I341" s="8">
        <v>36</v>
      </c>
      <c r="J341" s="8">
        <v>41</v>
      </c>
      <c r="K341" s="8">
        <v>85.7</v>
      </c>
      <c r="L341" s="9">
        <v>14</v>
      </c>
      <c r="M341" s="9">
        <v>54</v>
      </c>
      <c r="N341" s="9">
        <v>68</v>
      </c>
      <c r="O341" s="9">
        <v>72</v>
      </c>
      <c r="P341" s="9">
        <v>23</v>
      </c>
      <c r="Q341" s="9">
        <v>18</v>
      </c>
      <c r="R341" s="9">
        <v>5</v>
      </c>
      <c r="S341" s="9">
        <v>23</v>
      </c>
      <c r="T341" s="8">
        <v>473</v>
      </c>
      <c r="U341" s="8">
        <v>0</v>
      </c>
      <c r="V341" s="8">
        <v>0</v>
      </c>
      <c r="W341" s="7">
        <v>1</v>
      </c>
      <c r="X341" s="7">
        <v>111.1</v>
      </c>
      <c r="Y341" s="7">
        <v>108.3</v>
      </c>
      <c r="Z341" s="7">
        <v>2.8</v>
      </c>
      <c r="AA341" s="7">
        <v>18.8</v>
      </c>
      <c r="AB341" s="7">
        <v>3.48</v>
      </c>
      <c r="AC341" s="7">
        <v>23.6</v>
      </c>
      <c r="AD341" s="7">
        <v>2.1</v>
      </c>
      <c r="AE341" s="7">
        <v>8.8000000000000007</v>
      </c>
      <c r="AF341" s="7">
        <v>5.6</v>
      </c>
      <c r="AG341" s="7">
        <v>6.8</v>
      </c>
      <c r="AH341" s="7">
        <v>50.5</v>
      </c>
      <c r="AI341" s="7">
        <v>54.6</v>
      </c>
      <c r="AJ341" s="7">
        <v>17.3</v>
      </c>
      <c r="AK341" s="7">
        <v>99.99</v>
      </c>
      <c r="AL341" s="7">
        <v>9.6</v>
      </c>
      <c r="AM341" s="7">
        <v>1195</v>
      </c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1"/>
    </row>
    <row r="342" spans="1:64" ht="13">
      <c r="A342" s="6" t="s">
        <v>723</v>
      </c>
      <c r="B342" s="6" t="s">
        <v>724</v>
      </c>
      <c r="C342" s="31">
        <v>230</v>
      </c>
      <c r="D342" s="24">
        <v>84</v>
      </c>
      <c r="E342" s="24">
        <v>179</v>
      </c>
      <c r="F342" s="8">
        <v>45.8</v>
      </c>
      <c r="G342" s="9">
        <v>101</v>
      </c>
      <c r="H342" s="8">
        <v>33</v>
      </c>
      <c r="I342" s="8">
        <v>28</v>
      </c>
      <c r="J342" s="8">
        <v>45</v>
      </c>
      <c r="K342" s="8">
        <v>69</v>
      </c>
      <c r="L342" s="9">
        <v>73</v>
      </c>
      <c r="M342" s="9">
        <v>101</v>
      </c>
      <c r="N342" s="9">
        <v>174</v>
      </c>
      <c r="O342" s="9">
        <v>78</v>
      </c>
      <c r="P342" s="9">
        <v>45</v>
      </c>
      <c r="Q342" s="9">
        <v>22</v>
      </c>
      <c r="R342" s="9">
        <v>11</v>
      </c>
      <c r="S342" s="9">
        <v>90</v>
      </c>
      <c r="T342" s="8">
        <v>616</v>
      </c>
      <c r="U342" s="8">
        <v>0</v>
      </c>
      <c r="V342" s="8">
        <v>0</v>
      </c>
      <c r="W342" s="7">
        <v>2.9</v>
      </c>
      <c r="X342" s="7">
        <v>117.8</v>
      </c>
      <c r="Y342" s="7">
        <v>107.3</v>
      </c>
      <c r="Z342" s="7">
        <v>10.6</v>
      </c>
      <c r="AA342" s="7">
        <v>13.8</v>
      </c>
      <c r="AB342" s="7">
        <v>1.9</v>
      </c>
      <c r="AC342" s="7">
        <v>25.1</v>
      </c>
      <c r="AD342" s="7">
        <v>8.5</v>
      </c>
      <c r="AE342" s="7">
        <v>12.7</v>
      </c>
      <c r="AF342" s="7">
        <v>10.6</v>
      </c>
      <c r="AG342" s="7">
        <v>13.2</v>
      </c>
      <c r="AH342" s="7">
        <v>55.3</v>
      </c>
      <c r="AI342" s="7">
        <v>57.5</v>
      </c>
      <c r="AJ342" s="7">
        <v>12.6</v>
      </c>
      <c r="AK342" s="7">
        <v>99.78</v>
      </c>
      <c r="AL342" s="7">
        <v>7.3</v>
      </c>
      <c r="AM342" s="7">
        <v>1582</v>
      </c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1"/>
    </row>
    <row r="343" spans="1:64" ht="13">
      <c r="A343" s="6" t="s">
        <v>725</v>
      </c>
      <c r="B343" s="6" t="s">
        <v>726</v>
      </c>
      <c r="C343" s="31">
        <v>230</v>
      </c>
      <c r="D343" s="24">
        <v>85</v>
      </c>
      <c r="E343" s="24">
        <v>255</v>
      </c>
      <c r="F343" s="8">
        <v>32.299999999999997</v>
      </c>
      <c r="G343" s="9">
        <v>135</v>
      </c>
      <c r="H343" s="8">
        <v>25.9</v>
      </c>
      <c r="I343" s="8">
        <v>30</v>
      </c>
      <c r="J343" s="8">
        <v>40</v>
      </c>
      <c r="K343" s="8">
        <v>72.5</v>
      </c>
      <c r="L343" s="9">
        <v>25</v>
      </c>
      <c r="M343" s="9">
        <v>85</v>
      </c>
      <c r="N343" s="9">
        <v>115</v>
      </c>
      <c r="O343" s="9">
        <v>60</v>
      </c>
      <c r="P343" s="9">
        <v>45</v>
      </c>
      <c r="Q343" s="9">
        <v>25</v>
      </c>
      <c r="R343" s="9">
        <v>15</v>
      </c>
      <c r="S343" s="9">
        <v>95</v>
      </c>
      <c r="T343" s="8">
        <v>525</v>
      </c>
      <c r="U343" s="8">
        <v>0</v>
      </c>
      <c r="V343" s="8">
        <v>0</v>
      </c>
      <c r="W343" s="7">
        <v>-6.8</v>
      </c>
      <c r="X343" s="7">
        <v>103</v>
      </c>
      <c r="Y343" s="7">
        <v>118.5</v>
      </c>
      <c r="Z343" s="7">
        <v>-15.5</v>
      </c>
      <c r="AA343" s="7">
        <v>7.8</v>
      </c>
      <c r="AB343" s="7">
        <v>1.34</v>
      </c>
      <c r="AC343" s="7">
        <v>15.6</v>
      </c>
      <c r="AD343" s="7">
        <v>2.4</v>
      </c>
      <c r="AE343" s="7">
        <v>7.5</v>
      </c>
      <c r="AF343" s="7">
        <v>4.9000000000000004</v>
      </c>
      <c r="AG343" s="7">
        <v>11.6</v>
      </c>
      <c r="AH343" s="7">
        <v>39.1</v>
      </c>
      <c r="AI343" s="7">
        <v>41.9</v>
      </c>
      <c r="AJ343" s="7">
        <v>12.2</v>
      </c>
      <c r="AK343" s="7">
        <v>103.19</v>
      </c>
      <c r="AL343" s="7">
        <v>2.1</v>
      </c>
      <c r="AM343" s="7">
        <v>2284</v>
      </c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1"/>
    </row>
    <row r="344" spans="1:64" ht="13">
      <c r="A344" s="6" t="s">
        <v>727</v>
      </c>
      <c r="B344" s="6" t="s">
        <v>728</v>
      </c>
      <c r="C344" s="31">
        <v>229</v>
      </c>
      <c r="D344" s="24">
        <v>83</v>
      </c>
      <c r="E344" s="24">
        <v>239</v>
      </c>
      <c r="F344" s="8">
        <v>35.1</v>
      </c>
      <c r="G344" s="9">
        <v>140</v>
      </c>
      <c r="H344" s="8">
        <v>33.799999999999997</v>
      </c>
      <c r="I344" s="8">
        <v>16</v>
      </c>
      <c r="J344" s="8">
        <v>16</v>
      </c>
      <c r="K344" s="8">
        <v>81.3</v>
      </c>
      <c r="L344" s="9">
        <v>16</v>
      </c>
      <c r="M344" s="9">
        <v>62</v>
      </c>
      <c r="N344" s="9">
        <v>78</v>
      </c>
      <c r="O344" s="9">
        <v>73</v>
      </c>
      <c r="P344" s="9">
        <v>36</v>
      </c>
      <c r="Q344" s="9">
        <v>36</v>
      </c>
      <c r="R344" s="9">
        <v>16</v>
      </c>
      <c r="S344" s="9">
        <v>52</v>
      </c>
      <c r="T344" s="8">
        <v>556</v>
      </c>
      <c r="U344" s="8">
        <v>0</v>
      </c>
      <c r="V344" s="8">
        <v>0</v>
      </c>
      <c r="W344" s="7">
        <v>-1</v>
      </c>
      <c r="X344" s="7">
        <v>108.5</v>
      </c>
      <c r="Y344" s="7">
        <v>111.1</v>
      </c>
      <c r="Z344" s="7">
        <v>-2.7</v>
      </c>
      <c r="AA344" s="7">
        <v>15.3</v>
      </c>
      <c r="AB344" s="7">
        <v>2.0299999999999998</v>
      </c>
      <c r="AC344" s="7">
        <v>20.9</v>
      </c>
      <c r="AD344" s="7">
        <v>2.2000000000000002</v>
      </c>
      <c r="AE344" s="7">
        <v>8.6</v>
      </c>
      <c r="AF344" s="7">
        <v>5.4</v>
      </c>
      <c r="AG344" s="7">
        <v>10.3</v>
      </c>
      <c r="AH344" s="7">
        <v>45.2</v>
      </c>
      <c r="AI344" s="7">
        <v>46.5</v>
      </c>
      <c r="AJ344" s="7">
        <v>17.100000000000001</v>
      </c>
      <c r="AK344" s="7">
        <v>104.93</v>
      </c>
      <c r="AL344" s="7">
        <v>6</v>
      </c>
      <c r="AM344" s="7">
        <v>1425</v>
      </c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1"/>
    </row>
    <row r="345" spans="1:64" ht="13">
      <c r="A345" s="6" t="s">
        <v>729</v>
      </c>
      <c r="B345" s="6" t="s">
        <v>730</v>
      </c>
      <c r="C345" s="31">
        <v>229</v>
      </c>
      <c r="D345" s="24">
        <v>90</v>
      </c>
      <c r="E345" s="24">
        <v>140</v>
      </c>
      <c r="F345" s="8">
        <v>64.7</v>
      </c>
      <c r="G345" s="9">
        <v>3</v>
      </c>
      <c r="H345" s="8">
        <v>0</v>
      </c>
      <c r="I345" s="8">
        <v>50</v>
      </c>
      <c r="J345" s="8">
        <v>59</v>
      </c>
      <c r="K345" s="8">
        <v>83.3</v>
      </c>
      <c r="L345" s="9">
        <v>62</v>
      </c>
      <c r="M345" s="9">
        <v>115</v>
      </c>
      <c r="N345" s="9">
        <v>177</v>
      </c>
      <c r="O345" s="9">
        <v>43</v>
      </c>
      <c r="P345" s="9">
        <v>22</v>
      </c>
      <c r="Q345" s="9">
        <v>9</v>
      </c>
      <c r="R345" s="9">
        <v>22</v>
      </c>
      <c r="S345" s="9">
        <v>50</v>
      </c>
      <c r="T345" s="8">
        <v>580</v>
      </c>
      <c r="U345" s="8">
        <v>3</v>
      </c>
      <c r="V345" s="8">
        <v>0</v>
      </c>
      <c r="W345" s="7">
        <v>-1.2</v>
      </c>
      <c r="X345" s="7">
        <v>110.2</v>
      </c>
      <c r="Y345" s="7">
        <v>114.5</v>
      </c>
      <c r="Z345" s="7">
        <v>-4.3</v>
      </c>
      <c r="AA345" s="7">
        <v>11.2</v>
      </c>
      <c r="AB345" s="7">
        <v>2</v>
      </c>
      <c r="AC345" s="7">
        <v>18.5</v>
      </c>
      <c r="AD345" s="7">
        <v>11.3</v>
      </c>
      <c r="AE345" s="7">
        <v>20.8</v>
      </c>
      <c r="AF345" s="7">
        <v>16.100000000000001</v>
      </c>
      <c r="AG345" s="7">
        <v>9.3000000000000007</v>
      </c>
      <c r="AH345" s="7">
        <v>64.7</v>
      </c>
      <c r="AI345" s="7">
        <v>69.5</v>
      </c>
      <c r="AJ345" s="7">
        <v>14.3</v>
      </c>
      <c r="AK345" s="7">
        <v>100.78</v>
      </c>
      <c r="AL345" s="7">
        <v>13.5</v>
      </c>
      <c r="AM345" s="7">
        <v>1127</v>
      </c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1"/>
    </row>
    <row r="346" spans="1:64" ht="13">
      <c r="A346" s="13" t="s">
        <v>731</v>
      </c>
      <c r="B346" s="6" t="s">
        <v>732</v>
      </c>
      <c r="C346" s="31">
        <v>228</v>
      </c>
      <c r="D346" s="24">
        <v>94</v>
      </c>
      <c r="E346" s="24">
        <v>194</v>
      </c>
      <c r="F346" s="8">
        <v>47.7</v>
      </c>
      <c r="G346" s="9">
        <v>74</v>
      </c>
      <c r="H346" s="8">
        <v>39.5</v>
      </c>
      <c r="I346" s="8">
        <v>13</v>
      </c>
      <c r="J346" s="8">
        <v>27</v>
      </c>
      <c r="K346" s="8">
        <v>50</v>
      </c>
      <c r="L346" s="9">
        <v>67</v>
      </c>
      <c r="M346" s="9">
        <v>114</v>
      </c>
      <c r="N346" s="9">
        <v>181</v>
      </c>
      <c r="O346" s="9">
        <v>80</v>
      </c>
      <c r="P346" s="9">
        <v>60</v>
      </c>
      <c r="Q346" s="9">
        <v>34</v>
      </c>
      <c r="R346" s="9">
        <v>13</v>
      </c>
      <c r="S346" s="9">
        <v>114</v>
      </c>
      <c r="T346" s="8">
        <v>657</v>
      </c>
      <c r="U346" s="8">
        <v>0</v>
      </c>
      <c r="V346" s="8">
        <v>0</v>
      </c>
      <c r="W346" s="7">
        <v>-0.5</v>
      </c>
      <c r="X346" s="7">
        <v>110.6</v>
      </c>
      <c r="Y346" s="7">
        <v>112.1</v>
      </c>
      <c r="Z346" s="7">
        <v>-1.5</v>
      </c>
      <c r="AA346" s="7">
        <v>10.9</v>
      </c>
      <c r="AB346" s="7">
        <v>1.43</v>
      </c>
      <c r="AC346" s="7">
        <v>23.8</v>
      </c>
      <c r="AD346" s="7">
        <v>6.6</v>
      </c>
      <c r="AE346" s="7">
        <v>11.4</v>
      </c>
      <c r="AF346" s="7">
        <v>9.1</v>
      </c>
      <c r="AG346" s="7">
        <v>16.600000000000001</v>
      </c>
      <c r="AH346" s="7">
        <v>55.3</v>
      </c>
      <c r="AI346" s="7">
        <v>55.4</v>
      </c>
      <c r="AJ346" s="7">
        <v>11.5</v>
      </c>
      <c r="AK346" s="7">
        <v>101.48</v>
      </c>
      <c r="AL346" s="7">
        <v>5.0999999999999996</v>
      </c>
      <c r="AM346" s="7">
        <v>2071</v>
      </c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1"/>
    </row>
    <row r="347" spans="1:64" ht="13">
      <c r="A347" s="6" t="s">
        <v>733</v>
      </c>
      <c r="B347" s="6" t="s">
        <v>734</v>
      </c>
      <c r="C347" s="31">
        <v>226</v>
      </c>
      <c r="D347" s="24">
        <v>93</v>
      </c>
      <c r="E347" s="24">
        <v>168</v>
      </c>
      <c r="F347" s="8">
        <v>54.5</v>
      </c>
      <c r="G347" s="8">
        <v>0</v>
      </c>
      <c r="H347" s="8">
        <v>0</v>
      </c>
      <c r="I347" s="8">
        <v>41</v>
      </c>
      <c r="J347" s="8">
        <v>93</v>
      </c>
      <c r="K347" s="8">
        <v>46.2</v>
      </c>
      <c r="L347" s="9">
        <v>168</v>
      </c>
      <c r="M347" s="9">
        <v>162</v>
      </c>
      <c r="N347" s="9">
        <v>325</v>
      </c>
      <c r="O347" s="9">
        <v>64</v>
      </c>
      <c r="P347" s="9">
        <v>52</v>
      </c>
      <c r="Q347" s="9">
        <v>23</v>
      </c>
      <c r="R347" s="9">
        <v>29</v>
      </c>
      <c r="S347" s="9">
        <v>58</v>
      </c>
      <c r="T347" s="8">
        <v>812</v>
      </c>
      <c r="U347" s="8">
        <v>3</v>
      </c>
      <c r="V347" s="8">
        <v>0</v>
      </c>
      <c r="W347" s="7">
        <v>3</v>
      </c>
      <c r="X347" s="7">
        <v>115.3</v>
      </c>
      <c r="Y347" s="7">
        <v>105.9</v>
      </c>
      <c r="Z347" s="7">
        <v>9.4</v>
      </c>
      <c r="AA347" s="7">
        <v>10.7</v>
      </c>
      <c r="AB347" s="7">
        <v>1.22</v>
      </c>
      <c r="AC347" s="7">
        <v>20.100000000000001</v>
      </c>
      <c r="AD347" s="7">
        <v>18.100000000000001</v>
      </c>
      <c r="AE347" s="7">
        <v>19.3</v>
      </c>
      <c r="AF347" s="7">
        <v>18.7</v>
      </c>
      <c r="AG347" s="7">
        <v>16.399999999999999</v>
      </c>
      <c r="AH347" s="7">
        <v>54.5</v>
      </c>
      <c r="AI347" s="7">
        <v>54.1</v>
      </c>
      <c r="AJ347" s="7">
        <v>12.7</v>
      </c>
      <c r="AK347" s="7">
        <v>99.77</v>
      </c>
      <c r="AL347" s="7">
        <v>10.9</v>
      </c>
      <c r="AM347" s="7">
        <v>1658</v>
      </c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1"/>
    </row>
    <row r="348" spans="1:64" ht="13">
      <c r="A348" s="6" t="s">
        <v>735</v>
      </c>
      <c r="B348" s="6" t="s">
        <v>736</v>
      </c>
      <c r="C348" s="31">
        <v>221</v>
      </c>
      <c r="D348" s="24">
        <v>93</v>
      </c>
      <c r="E348" s="24">
        <v>211</v>
      </c>
      <c r="F348" s="8">
        <v>44.1</v>
      </c>
      <c r="G348" s="9">
        <v>74</v>
      </c>
      <c r="H348" s="8">
        <v>33.799999999999997</v>
      </c>
      <c r="I348" s="8">
        <v>10</v>
      </c>
      <c r="J348" s="8">
        <v>15</v>
      </c>
      <c r="K348" s="8">
        <v>53.3</v>
      </c>
      <c r="L348" s="9">
        <v>10</v>
      </c>
      <c r="M348" s="9">
        <v>39</v>
      </c>
      <c r="N348" s="9">
        <v>49</v>
      </c>
      <c r="O348" s="9">
        <v>98</v>
      </c>
      <c r="P348" s="9">
        <v>54</v>
      </c>
      <c r="Q348" s="9">
        <v>20</v>
      </c>
      <c r="R348" s="8">
        <v>0</v>
      </c>
      <c r="S348" s="9">
        <v>39</v>
      </c>
      <c r="T348" s="8">
        <v>436</v>
      </c>
      <c r="U348" s="8">
        <v>0</v>
      </c>
      <c r="V348" s="8">
        <v>0</v>
      </c>
      <c r="W348" s="7">
        <v>0.4</v>
      </c>
      <c r="X348" s="7">
        <v>112.3</v>
      </c>
      <c r="Y348" s="7">
        <v>111.1</v>
      </c>
      <c r="Z348" s="7">
        <v>1.2</v>
      </c>
      <c r="AA348" s="7">
        <v>28.3</v>
      </c>
      <c r="AB348" s="7">
        <v>1.85</v>
      </c>
      <c r="AC348" s="7">
        <v>26.6</v>
      </c>
      <c r="AD348" s="7">
        <v>2.2000000000000002</v>
      </c>
      <c r="AE348" s="7">
        <v>7</v>
      </c>
      <c r="AF348" s="7">
        <v>4.5999999999999996</v>
      </c>
      <c r="AG348" s="7">
        <v>14.4</v>
      </c>
      <c r="AH348" s="7">
        <v>50</v>
      </c>
      <c r="AI348" s="7">
        <v>50.3</v>
      </c>
      <c r="AJ348" s="7">
        <v>21.5</v>
      </c>
      <c r="AK348" s="7">
        <v>101.82</v>
      </c>
      <c r="AL348" s="7">
        <v>7.8</v>
      </c>
      <c r="AM348" s="7">
        <v>1097</v>
      </c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1"/>
    </row>
    <row r="349" spans="1:64" ht="13">
      <c r="A349" s="6" t="s">
        <v>737</v>
      </c>
      <c r="B349" s="6" t="s">
        <v>738</v>
      </c>
      <c r="C349" s="31">
        <v>220</v>
      </c>
      <c r="D349" s="24">
        <v>81</v>
      </c>
      <c r="E349" s="24">
        <v>212</v>
      </c>
      <c r="F349" s="8">
        <v>38.5</v>
      </c>
      <c r="G349" s="9">
        <v>90</v>
      </c>
      <c r="H349" s="8">
        <v>26.7</v>
      </c>
      <c r="I349" s="8">
        <v>32</v>
      </c>
      <c r="J349" s="8">
        <v>38</v>
      </c>
      <c r="K349" s="8">
        <v>86.5</v>
      </c>
      <c r="L349" s="9">
        <v>9</v>
      </c>
      <c r="M349" s="9">
        <v>52</v>
      </c>
      <c r="N349" s="9">
        <v>58</v>
      </c>
      <c r="O349" s="9">
        <v>75</v>
      </c>
      <c r="P349" s="9">
        <v>35</v>
      </c>
      <c r="Q349" s="9">
        <v>12</v>
      </c>
      <c r="R349" s="9">
        <v>3</v>
      </c>
      <c r="S349" s="9">
        <v>49</v>
      </c>
      <c r="T349" s="8">
        <v>415</v>
      </c>
      <c r="U349" s="8">
        <v>0</v>
      </c>
      <c r="V349" s="8">
        <v>0</v>
      </c>
      <c r="W349" s="7">
        <v>-5.2</v>
      </c>
      <c r="X349" s="7">
        <v>104.1</v>
      </c>
      <c r="Y349" s="7">
        <v>115.6</v>
      </c>
      <c r="Z349" s="7">
        <v>-11.5</v>
      </c>
      <c r="AA349" s="7">
        <v>17.8</v>
      </c>
      <c r="AB349" s="7">
        <v>2.17</v>
      </c>
      <c r="AC349" s="7">
        <v>22.3</v>
      </c>
      <c r="AD349" s="7">
        <v>1.1000000000000001</v>
      </c>
      <c r="AE349" s="7">
        <v>7.3</v>
      </c>
      <c r="AF349" s="7">
        <v>4.2</v>
      </c>
      <c r="AG349" s="7">
        <v>10.3</v>
      </c>
      <c r="AH349" s="7">
        <v>44.1</v>
      </c>
      <c r="AI349" s="7">
        <v>48</v>
      </c>
      <c r="AJ349" s="7">
        <v>17.3</v>
      </c>
      <c r="AK349" s="7">
        <v>100.83</v>
      </c>
      <c r="AL349" s="7">
        <v>5.3</v>
      </c>
      <c r="AM349" s="7">
        <v>1342</v>
      </c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1"/>
    </row>
    <row r="350" spans="1:64" ht="13">
      <c r="A350" s="6" t="s">
        <v>739</v>
      </c>
      <c r="B350" s="6" t="s">
        <v>740</v>
      </c>
      <c r="C350" s="31">
        <v>217</v>
      </c>
      <c r="D350" s="24">
        <v>82</v>
      </c>
      <c r="E350" s="24">
        <v>176</v>
      </c>
      <c r="F350" s="8">
        <v>46.9</v>
      </c>
      <c r="G350" s="9">
        <v>82</v>
      </c>
      <c r="H350" s="8">
        <v>32.1</v>
      </c>
      <c r="I350" s="8">
        <v>25</v>
      </c>
      <c r="J350" s="8">
        <v>33</v>
      </c>
      <c r="K350" s="8">
        <v>77.400000000000006</v>
      </c>
      <c r="L350" s="9">
        <v>21</v>
      </c>
      <c r="M350" s="9">
        <v>90</v>
      </c>
      <c r="N350" s="9">
        <v>111</v>
      </c>
      <c r="O350" s="9">
        <v>70</v>
      </c>
      <c r="P350" s="9">
        <v>25</v>
      </c>
      <c r="Q350" s="9">
        <v>8</v>
      </c>
      <c r="R350" s="9">
        <v>12</v>
      </c>
      <c r="S350" s="9">
        <v>45</v>
      </c>
      <c r="T350" s="8">
        <v>488</v>
      </c>
      <c r="U350" s="8">
        <v>1</v>
      </c>
      <c r="V350" s="8">
        <v>0</v>
      </c>
      <c r="W350" s="7">
        <v>-0.3</v>
      </c>
      <c r="X350" s="7">
        <v>111.7</v>
      </c>
      <c r="Y350" s="7">
        <v>114.6</v>
      </c>
      <c r="Z350" s="7">
        <v>-2.9</v>
      </c>
      <c r="AA350" s="7">
        <v>15.9</v>
      </c>
      <c r="AB350" s="7">
        <v>2.92</v>
      </c>
      <c r="AC350" s="7">
        <v>24.7</v>
      </c>
      <c r="AD350" s="7">
        <v>3.2</v>
      </c>
      <c r="AE350" s="7">
        <v>14</v>
      </c>
      <c r="AF350" s="7">
        <v>8.8000000000000007</v>
      </c>
      <c r="AG350" s="7">
        <v>8.5</v>
      </c>
      <c r="AH350" s="7">
        <v>54.2</v>
      </c>
      <c r="AI350" s="7">
        <v>56.7</v>
      </c>
      <c r="AJ350" s="7">
        <v>15.1</v>
      </c>
      <c r="AK350" s="7">
        <v>99.41</v>
      </c>
      <c r="AL350" s="7">
        <v>8.8000000000000007</v>
      </c>
      <c r="AM350" s="7">
        <v>1259</v>
      </c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1"/>
    </row>
    <row r="351" spans="1:64" ht="13">
      <c r="A351" s="6" t="s">
        <v>741</v>
      </c>
      <c r="B351" s="6" t="s">
        <v>742</v>
      </c>
      <c r="C351" s="31">
        <v>215</v>
      </c>
      <c r="D351" s="24">
        <v>81</v>
      </c>
      <c r="E351" s="24">
        <v>186</v>
      </c>
      <c r="F351" s="8">
        <v>43.5</v>
      </c>
      <c r="G351" s="9">
        <v>58</v>
      </c>
      <c r="H351" s="8">
        <v>29.3</v>
      </c>
      <c r="I351" s="8">
        <v>41</v>
      </c>
      <c r="J351" s="8">
        <v>64</v>
      </c>
      <c r="K351" s="8">
        <v>62.3</v>
      </c>
      <c r="L351" s="9">
        <v>17</v>
      </c>
      <c r="M351" s="9">
        <v>46</v>
      </c>
      <c r="N351" s="9">
        <v>64</v>
      </c>
      <c r="O351" s="9">
        <v>116</v>
      </c>
      <c r="P351" s="9">
        <v>52</v>
      </c>
      <c r="Q351" s="9">
        <v>35</v>
      </c>
      <c r="R351" s="9">
        <v>6</v>
      </c>
      <c r="S351" s="9">
        <v>46</v>
      </c>
      <c r="T351" s="8">
        <v>534</v>
      </c>
      <c r="U351" s="8">
        <v>0</v>
      </c>
      <c r="V351" s="8">
        <v>0</v>
      </c>
      <c r="W351" s="7">
        <v>-0.2</v>
      </c>
      <c r="X351" s="7">
        <v>110.2</v>
      </c>
      <c r="Y351" s="7">
        <v>109.7</v>
      </c>
      <c r="Z351" s="7">
        <v>0.5</v>
      </c>
      <c r="AA351" s="7">
        <v>22.5</v>
      </c>
      <c r="AB351" s="7">
        <v>2.11</v>
      </c>
      <c r="AC351" s="7">
        <v>29.8</v>
      </c>
      <c r="AD351" s="7">
        <v>2.5</v>
      </c>
      <c r="AE351" s="7">
        <v>6.2</v>
      </c>
      <c r="AF351" s="7">
        <v>4.4000000000000004</v>
      </c>
      <c r="AG351" s="7">
        <v>14.1</v>
      </c>
      <c r="AH351" s="7">
        <v>48.1</v>
      </c>
      <c r="AI351" s="7">
        <v>51</v>
      </c>
      <c r="AJ351" s="7">
        <v>16.5</v>
      </c>
      <c r="AK351" s="7">
        <v>101.92</v>
      </c>
      <c r="AL351" s="7">
        <v>6.6</v>
      </c>
      <c r="AM351" s="7">
        <v>1443</v>
      </c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1"/>
    </row>
    <row r="352" spans="1:64" ht="13">
      <c r="A352" s="6" t="s">
        <v>743</v>
      </c>
      <c r="B352" s="6" t="s">
        <v>744</v>
      </c>
      <c r="C352" s="31">
        <v>209</v>
      </c>
      <c r="D352" s="24">
        <v>75</v>
      </c>
      <c r="E352" s="24">
        <v>200</v>
      </c>
      <c r="F352" s="8">
        <v>37.200000000000003</v>
      </c>
      <c r="G352" s="9">
        <v>96</v>
      </c>
      <c r="H352" s="8">
        <v>33.700000000000003</v>
      </c>
      <c r="I352" s="8">
        <v>29</v>
      </c>
      <c r="J352" s="8">
        <v>41</v>
      </c>
      <c r="K352" s="8">
        <v>72.5</v>
      </c>
      <c r="L352" s="9">
        <v>26</v>
      </c>
      <c r="M352" s="9">
        <v>64</v>
      </c>
      <c r="N352" s="9">
        <v>93</v>
      </c>
      <c r="O352" s="9">
        <v>29</v>
      </c>
      <c r="P352" s="9">
        <v>32</v>
      </c>
      <c r="Q352" s="9">
        <v>12</v>
      </c>
      <c r="R352" s="9">
        <v>6</v>
      </c>
      <c r="S352" s="9">
        <v>29</v>
      </c>
      <c r="T352" s="8">
        <v>383</v>
      </c>
      <c r="U352" s="8">
        <v>0</v>
      </c>
      <c r="V352" s="8">
        <v>0</v>
      </c>
      <c r="W352" s="7">
        <v>-2.2999999999999998</v>
      </c>
      <c r="X352" s="7">
        <v>112.7</v>
      </c>
      <c r="Y352" s="7">
        <v>118.6</v>
      </c>
      <c r="Z352" s="7">
        <v>-5.9</v>
      </c>
      <c r="AA352" s="7">
        <v>8.5</v>
      </c>
      <c r="AB352" s="7">
        <v>0.94</v>
      </c>
      <c r="AC352" s="7">
        <v>10.5</v>
      </c>
      <c r="AD352" s="7">
        <v>5.5</v>
      </c>
      <c r="AE352" s="7">
        <v>13</v>
      </c>
      <c r="AF352" s="7">
        <v>9.3000000000000007</v>
      </c>
      <c r="AG352" s="7">
        <v>11.2</v>
      </c>
      <c r="AH352" s="7">
        <v>45.2</v>
      </c>
      <c r="AI352" s="7">
        <v>48.2</v>
      </c>
      <c r="AJ352" s="7">
        <v>21.9</v>
      </c>
      <c r="AK352" s="7">
        <v>102.73</v>
      </c>
      <c r="AL352" s="7">
        <v>6.4</v>
      </c>
      <c r="AM352" s="7">
        <v>977</v>
      </c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1"/>
    </row>
    <row r="353" spans="1:64" ht="13">
      <c r="A353" s="6" t="s">
        <v>745</v>
      </c>
      <c r="B353" s="6" t="s">
        <v>746</v>
      </c>
      <c r="C353" s="31">
        <v>207</v>
      </c>
      <c r="D353" s="24">
        <v>90</v>
      </c>
      <c r="E353" s="24">
        <v>140</v>
      </c>
      <c r="F353" s="8">
        <v>65</v>
      </c>
      <c r="G353" s="8">
        <v>0</v>
      </c>
      <c r="H353" s="8">
        <v>0</v>
      </c>
      <c r="I353" s="8">
        <v>28</v>
      </c>
      <c r="J353" s="8">
        <v>62</v>
      </c>
      <c r="K353" s="8">
        <v>42.2</v>
      </c>
      <c r="L353" s="9">
        <v>84</v>
      </c>
      <c r="M353" s="9">
        <v>202</v>
      </c>
      <c r="N353" s="9">
        <v>286</v>
      </c>
      <c r="O353" s="9">
        <v>50</v>
      </c>
      <c r="P353" s="9">
        <v>39</v>
      </c>
      <c r="Q353" s="9">
        <v>17</v>
      </c>
      <c r="R353" s="9">
        <v>28</v>
      </c>
      <c r="S353" s="9">
        <v>73</v>
      </c>
      <c r="T353" s="8">
        <v>717</v>
      </c>
      <c r="U353" s="8">
        <v>3</v>
      </c>
      <c r="V353" s="8">
        <v>0</v>
      </c>
      <c r="W353" s="7">
        <v>-0.8</v>
      </c>
      <c r="X353" s="7">
        <v>108.8</v>
      </c>
      <c r="Y353" s="7">
        <v>112.1</v>
      </c>
      <c r="Z353" s="7">
        <v>-3.3</v>
      </c>
      <c r="AA353" s="7">
        <v>10.5</v>
      </c>
      <c r="AB353" s="7">
        <v>1.33</v>
      </c>
      <c r="AC353" s="7">
        <v>20.2</v>
      </c>
      <c r="AD353" s="7">
        <v>11.9</v>
      </c>
      <c r="AE353" s="7">
        <v>26.2</v>
      </c>
      <c r="AF353" s="7">
        <v>19.399999999999999</v>
      </c>
      <c r="AG353" s="7">
        <v>15.3</v>
      </c>
      <c r="AH353" s="7">
        <v>65</v>
      </c>
      <c r="AI353" s="7">
        <v>62.1</v>
      </c>
      <c r="AJ353" s="7">
        <v>12.6</v>
      </c>
      <c r="AK353" s="7">
        <v>100.07</v>
      </c>
      <c r="AL353" s="7">
        <v>11.5</v>
      </c>
      <c r="AM353" s="7">
        <v>1440</v>
      </c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1"/>
    </row>
    <row r="354" spans="1:64" ht="13">
      <c r="A354" s="6" t="s">
        <v>747</v>
      </c>
      <c r="B354" s="6" t="s">
        <v>748</v>
      </c>
      <c r="C354" s="31">
        <v>206</v>
      </c>
      <c r="D354" s="24">
        <v>76</v>
      </c>
      <c r="E354" s="24">
        <v>172</v>
      </c>
      <c r="F354" s="8">
        <v>43.6</v>
      </c>
      <c r="G354" s="9">
        <v>72</v>
      </c>
      <c r="H354" s="8">
        <v>30.6</v>
      </c>
      <c r="I354" s="8">
        <v>34</v>
      </c>
      <c r="J354" s="8">
        <v>40</v>
      </c>
      <c r="K354" s="8">
        <v>82.5</v>
      </c>
      <c r="L354" s="9">
        <v>22</v>
      </c>
      <c r="M354" s="9">
        <v>56</v>
      </c>
      <c r="N354" s="9">
        <v>78</v>
      </c>
      <c r="O354" s="9">
        <v>66</v>
      </c>
      <c r="P354" s="9">
        <v>36</v>
      </c>
      <c r="Q354" s="9">
        <v>38</v>
      </c>
      <c r="R354" s="9">
        <v>10</v>
      </c>
      <c r="S354" s="9">
        <v>66</v>
      </c>
      <c r="T354" s="8">
        <v>500</v>
      </c>
      <c r="U354" s="8">
        <v>0</v>
      </c>
      <c r="V354" s="8">
        <v>0</v>
      </c>
      <c r="W354" s="7">
        <v>-1</v>
      </c>
      <c r="X354" s="7">
        <v>111.8</v>
      </c>
      <c r="Y354" s="7">
        <v>112.5</v>
      </c>
      <c r="Z354" s="7">
        <v>-0.7</v>
      </c>
      <c r="AA354" s="7">
        <v>13.4</v>
      </c>
      <c r="AB354" s="7">
        <v>1.86</v>
      </c>
      <c r="AC354" s="7">
        <v>22.3</v>
      </c>
      <c r="AD354" s="7">
        <v>3.3</v>
      </c>
      <c r="AE354" s="7">
        <v>8.5</v>
      </c>
      <c r="AF354" s="7">
        <v>5.9</v>
      </c>
      <c r="AG354" s="7">
        <v>12</v>
      </c>
      <c r="AH354" s="7">
        <v>50</v>
      </c>
      <c r="AI354" s="7">
        <v>54.1</v>
      </c>
      <c r="AJ354" s="7">
        <v>14.6</v>
      </c>
      <c r="AK354" s="7">
        <v>100.76</v>
      </c>
      <c r="AL354" s="7">
        <v>6.2</v>
      </c>
      <c r="AM354" s="7">
        <v>1356</v>
      </c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1"/>
    </row>
    <row r="355" spans="1:64" ht="13">
      <c r="A355" s="13" t="s">
        <v>749</v>
      </c>
      <c r="B355" s="6" t="s">
        <v>750</v>
      </c>
      <c r="C355" s="31">
        <v>204</v>
      </c>
      <c r="D355" s="24">
        <v>79</v>
      </c>
      <c r="E355" s="24">
        <v>156</v>
      </c>
      <c r="F355" s="8">
        <v>51.6</v>
      </c>
      <c r="G355" s="9">
        <v>77</v>
      </c>
      <c r="H355" s="8">
        <v>44.7</v>
      </c>
      <c r="I355" s="8">
        <v>10</v>
      </c>
      <c r="J355" s="8">
        <v>12</v>
      </c>
      <c r="K355" s="8">
        <v>69.2</v>
      </c>
      <c r="L355" s="9">
        <v>24</v>
      </c>
      <c r="M355" s="9">
        <v>79</v>
      </c>
      <c r="N355" s="9">
        <v>103</v>
      </c>
      <c r="O355" s="9">
        <v>38</v>
      </c>
      <c r="P355" s="9">
        <v>17</v>
      </c>
      <c r="Q355" s="9">
        <v>19</v>
      </c>
      <c r="R355" s="9">
        <v>12</v>
      </c>
      <c r="S355" s="9">
        <v>36</v>
      </c>
      <c r="T355" s="8">
        <v>466</v>
      </c>
      <c r="U355" s="8">
        <v>3</v>
      </c>
      <c r="V355" s="8">
        <v>0</v>
      </c>
      <c r="W355" s="7">
        <v>-4</v>
      </c>
      <c r="X355" s="7">
        <v>107.5</v>
      </c>
      <c r="Y355" s="7">
        <v>116.5</v>
      </c>
      <c r="Z355" s="7">
        <v>-9</v>
      </c>
      <c r="AA355" s="7">
        <v>12.5</v>
      </c>
      <c r="AB355" s="7">
        <v>2.38</v>
      </c>
      <c r="AC355" s="7">
        <v>17.7</v>
      </c>
      <c r="AD355" s="7">
        <v>4.5999999999999996</v>
      </c>
      <c r="AE355" s="7">
        <v>17.399999999999999</v>
      </c>
      <c r="AF355" s="7">
        <v>10.8</v>
      </c>
      <c r="AG355" s="7">
        <v>7.4</v>
      </c>
      <c r="AH355" s="7">
        <v>62.6</v>
      </c>
      <c r="AI355" s="7">
        <v>63.2</v>
      </c>
      <c r="AJ355" s="7">
        <v>15.5</v>
      </c>
      <c r="AK355" s="7">
        <v>104.76</v>
      </c>
      <c r="AL355" s="7">
        <v>10.6</v>
      </c>
      <c r="AM355" s="7">
        <v>1009</v>
      </c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1"/>
    </row>
    <row r="356" spans="1:64" ht="13">
      <c r="A356" s="6" t="s">
        <v>751</v>
      </c>
      <c r="B356" s="6" t="s">
        <v>752</v>
      </c>
      <c r="C356" s="31">
        <v>203</v>
      </c>
      <c r="D356" s="24">
        <v>68</v>
      </c>
      <c r="E356" s="24">
        <v>172</v>
      </c>
      <c r="F356" s="8">
        <v>40.200000000000003</v>
      </c>
      <c r="G356" s="9">
        <v>52</v>
      </c>
      <c r="H356" s="8">
        <v>23.5</v>
      </c>
      <c r="I356" s="8">
        <v>47</v>
      </c>
      <c r="J356" s="8">
        <v>78</v>
      </c>
      <c r="K356" s="8">
        <v>64.5</v>
      </c>
      <c r="L356" s="9">
        <v>42</v>
      </c>
      <c r="M356" s="9">
        <v>83</v>
      </c>
      <c r="N356" s="9">
        <v>125</v>
      </c>
      <c r="O356" s="9">
        <v>42</v>
      </c>
      <c r="P356" s="9">
        <v>16</v>
      </c>
      <c r="Q356" s="9">
        <v>26</v>
      </c>
      <c r="R356" s="9">
        <v>5</v>
      </c>
      <c r="S356" s="9">
        <v>26</v>
      </c>
      <c r="T356" s="8">
        <v>494</v>
      </c>
      <c r="U356" s="8">
        <v>0</v>
      </c>
      <c r="V356" s="8">
        <v>0</v>
      </c>
      <c r="W356" s="7">
        <v>-2</v>
      </c>
      <c r="X356" s="7">
        <v>101.8</v>
      </c>
      <c r="Y356" s="7">
        <v>109.5</v>
      </c>
      <c r="Z356" s="7">
        <v>-7.7</v>
      </c>
      <c r="AA356" s="7">
        <v>10.1</v>
      </c>
      <c r="AB356" s="7">
        <v>2.86</v>
      </c>
      <c r="AC356" s="7">
        <v>15.2</v>
      </c>
      <c r="AD356" s="7">
        <v>7.1</v>
      </c>
      <c r="AE356" s="7">
        <v>13.7</v>
      </c>
      <c r="AF356" s="7">
        <v>10.3</v>
      </c>
      <c r="AG356" s="7">
        <v>5.3</v>
      </c>
      <c r="AH356" s="7">
        <v>43.7</v>
      </c>
      <c r="AI356" s="7">
        <v>48.4</v>
      </c>
      <c r="AJ356" s="7">
        <v>15.8</v>
      </c>
      <c r="AK356" s="7">
        <v>103.43</v>
      </c>
      <c r="AL356" s="7">
        <v>8.1999999999999993</v>
      </c>
      <c r="AM356" s="7">
        <v>1255</v>
      </c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1"/>
    </row>
    <row r="357" spans="1:64" ht="13">
      <c r="A357" s="6" t="s">
        <v>753</v>
      </c>
      <c r="B357" s="6" t="s">
        <v>754</v>
      </c>
      <c r="C357" s="31">
        <v>202</v>
      </c>
      <c r="D357" s="24">
        <v>80</v>
      </c>
      <c r="E357" s="24">
        <v>151</v>
      </c>
      <c r="F357" s="8">
        <v>53.3</v>
      </c>
      <c r="G357" s="9">
        <v>25</v>
      </c>
      <c r="H357" s="8">
        <v>42.3</v>
      </c>
      <c r="I357" s="8">
        <v>25</v>
      </c>
      <c r="J357" s="8">
        <v>42</v>
      </c>
      <c r="K357" s="8">
        <v>67.5</v>
      </c>
      <c r="L357" s="9">
        <v>55</v>
      </c>
      <c r="M357" s="9">
        <v>80</v>
      </c>
      <c r="N357" s="9">
        <v>139</v>
      </c>
      <c r="O357" s="9">
        <v>38</v>
      </c>
      <c r="P357" s="9">
        <v>21</v>
      </c>
      <c r="Q357" s="9">
        <v>13</v>
      </c>
      <c r="R357" s="9">
        <v>8</v>
      </c>
      <c r="S357" s="9">
        <v>50</v>
      </c>
      <c r="T357" s="8">
        <v>466</v>
      </c>
      <c r="U357" s="8">
        <v>1</v>
      </c>
      <c r="V357" s="8">
        <v>0</v>
      </c>
      <c r="W357" s="7">
        <v>-0.6</v>
      </c>
      <c r="X357" s="7">
        <v>110.5</v>
      </c>
      <c r="Y357" s="7">
        <v>112.6</v>
      </c>
      <c r="Z357" s="7">
        <v>-2.1</v>
      </c>
      <c r="AA357" s="7">
        <v>10.199999999999999</v>
      </c>
      <c r="AB357" s="7">
        <v>1.76</v>
      </c>
      <c r="AC357" s="7">
        <v>16.3</v>
      </c>
      <c r="AD357" s="7">
        <v>9.9</v>
      </c>
      <c r="AE357" s="7">
        <v>15.1</v>
      </c>
      <c r="AF357" s="7">
        <v>12.5</v>
      </c>
      <c r="AG357" s="7">
        <v>9.3000000000000007</v>
      </c>
      <c r="AH357" s="7">
        <v>56.9</v>
      </c>
      <c r="AI357" s="7">
        <v>59</v>
      </c>
      <c r="AJ357" s="7">
        <v>14.8</v>
      </c>
      <c r="AK357" s="7">
        <v>103.58</v>
      </c>
      <c r="AL357" s="7">
        <v>9.6999999999999993</v>
      </c>
      <c r="AM357" s="7">
        <v>1078</v>
      </c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1"/>
    </row>
    <row r="358" spans="1:64" ht="13">
      <c r="A358" s="6" t="s">
        <v>755</v>
      </c>
      <c r="B358" s="6" t="s">
        <v>756</v>
      </c>
      <c r="C358" s="31">
        <v>201</v>
      </c>
      <c r="D358" s="24">
        <v>78</v>
      </c>
      <c r="E358" s="24">
        <v>181</v>
      </c>
      <c r="F358" s="8">
        <v>42.8</v>
      </c>
      <c r="G358" s="9">
        <v>103</v>
      </c>
      <c r="H358" s="8">
        <v>39.6</v>
      </c>
      <c r="I358" s="8">
        <v>5</v>
      </c>
      <c r="J358" s="8">
        <v>10</v>
      </c>
      <c r="K358" s="8">
        <v>75</v>
      </c>
      <c r="L358" s="9">
        <v>15</v>
      </c>
      <c r="M358" s="9">
        <v>54</v>
      </c>
      <c r="N358" s="9">
        <v>69</v>
      </c>
      <c r="O358" s="9">
        <v>108</v>
      </c>
      <c r="P358" s="9">
        <v>25</v>
      </c>
      <c r="Q358" s="9">
        <v>20</v>
      </c>
      <c r="R358" s="9">
        <v>5</v>
      </c>
      <c r="S358" s="9">
        <v>39</v>
      </c>
      <c r="T358" s="8">
        <v>495</v>
      </c>
      <c r="U358" s="8">
        <v>1</v>
      </c>
      <c r="V358" s="8">
        <v>1</v>
      </c>
      <c r="W358" s="7">
        <v>1.1000000000000001</v>
      </c>
      <c r="X358" s="7">
        <v>112.6</v>
      </c>
      <c r="Y358" s="7">
        <v>109.7</v>
      </c>
      <c r="Z358" s="7">
        <v>2.9</v>
      </c>
      <c r="AA358" s="7">
        <v>21.1</v>
      </c>
      <c r="AB358" s="7">
        <v>4.46</v>
      </c>
      <c r="AC358" s="7">
        <v>34.1</v>
      </c>
      <c r="AD358" s="7">
        <v>2.2000000000000002</v>
      </c>
      <c r="AE358" s="7">
        <v>7.8</v>
      </c>
      <c r="AF358" s="7">
        <v>5.0999999999999996</v>
      </c>
      <c r="AG358" s="7">
        <v>7.6</v>
      </c>
      <c r="AH358" s="7">
        <v>53.9</v>
      </c>
      <c r="AI358" s="7">
        <v>54.5</v>
      </c>
      <c r="AJ358" s="7">
        <v>13</v>
      </c>
      <c r="AK358" s="7">
        <v>99.25</v>
      </c>
      <c r="AL358" s="7">
        <v>7.8</v>
      </c>
      <c r="AM358" s="7">
        <v>1383</v>
      </c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1"/>
    </row>
    <row r="359" spans="1:64" ht="13">
      <c r="A359" s="6" t="s">
        <v>757</v>
      </c>
      <c r="B359" s="6" t="s">
        <v>758</v>
      </c>
      <c r="C359" s="31">
        <v>200</v>
      </c>
      <c r="D359" s="24">
        <v>88</v>
      </c>
      <c r="E359" s="24">
        <v>108</v>
      </c>
      <c r="F359" s="8">
        <v>79.8</v>
      </c>
      <c r="G359" s="9">
        <v>4</v>
      </c>
      <c r="H359" s="8">
        <v>20</v>
      </c>
      <c r="I359" s="8">
        <v>24</v>
      </c>
      <c r="J359" s="8">
        <v>32</v>
      </c>
      <c r="K359" s="8">
        <v>71.900000000000006</v>
      </c>
      <c r="L359" s="9">
        <v>40</v>
      </c>
      <c r="M359" s="9">
        <v>84</v>
      </c>
      <c r="N359" s="9">
        <v>124</v>
      </c>
      <c r="O359" s="9">
        <v>24</v>
      </c>
      <c r="P359" s="9">
        <v>20</v>
      </c>
      <c r="Q359" s="9">
        <v>16</v>
      </c>
      <c r="R359" s="9">
        <v>24</v>
      </c>
      <c r="S359" s="9">
        <v>52</v>
      </c>
      <c r="T359" s="8">
        <v>480</v>
      </c>
      <c r="U359" s="8">
        <v>1</v>
      </c>
      <c r="V359" s="8">
        <v>0</v>
      </c>
      <c r="W359" s="7">
        <v>-0.5</v>
      </c>
      <c r="X359" s="7">
        <v>107</v>
      </c>
      <c r="Y359" s="7">
        <v>109.2</v>
      </c>
      <c r="Z359" s="7">
        <v>-2.2999999999999998</v>
      </c>
      <c r="AA359" s="7">
        <v>8</v>
      </c>
      <c r="AB359" s="7">
        <v>1.39</v>
      </c>
      <c r="AC359" s="7">
        <v>15.2</v>
      </c>
      <c r="AD359" s="7">
        <v>8.9</v>
      </c>
      <c r="AE359" s="7">
        <v>17.3</v>
      </c>
      <c r="AF359" s="7">
        <v>13.3</v>
      </c>
      <c r="AG359" s="7">
        <v>11</v>
      </c>
      <c r="AH359" s="7">
        <v>80.3</v>
      </c>
      <c r="AI359" s="7">
        <v>80.400000000000006</v>
      </c>
      <c r="AJ359" s="7">
        <v>12.8</v>
      </c>
      <c r="AK359" s="7">
        <v>99.77</v>
      </c>
      <c r="AL359" s="7">
        <v>13.1</v>
      </c>
      <c r="AM359" s="7">
        <v>974</v>
      </c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1"/>
    </row>
    <row r="360" spans="1:64" ht="13">
      <c r="A360" s="6" t="s">
        <v>759</v>
      </c>
      <c r="B360" s="6" t="s">
        <v>760</v>
      </c>
      <c r="C360" s="31">
        <v>198</v>
      </c>
      <c r="D360" s="24">
        <v>73</v>
      </c>
      <c r="E360" s="24">
        <v>172</v>
      </c>
      <c r="F360" s="8">
        <v>42.1</v>
      </c>
      <c r="G360" s="9">
        <v>83</v>
      </c>
      <c r="H360" s="8">
        <v>25.9</v>
      </c>
      <c r="I360" s="8">
        <v>33</v>
      </c>
      <c r="J360" s="8">
        <v>43</v>
      </c>
      <c r="K360" s="8">
        <v>76.2</v>
      </c>
      <c r="L360" s="9">
        <v>43</v>
      </c>
      <c r="M360" s="9">
        <v>96</v>
      </c>
      <c r="N360" s="9">
        <v>139</v>
      </c>
      <c r="O360" s="9">
        <v>26</v>
      </c>
      <c r="P360" s="9">
        <v>17</v>
      </c>
      <c r="Q360" s="9">
        <v>26</v>
      </c>
      <c r="R360" s="9">
        <v>33</v>
      </c>
      <c r="S360" s="9">
        <v>56</v>
      </c>
      <c r="T360" s="8">
        <v>571</v>
      </c>
      <c r="U360" s="8">
        <v>2</v>
      </c>
      <c r="V360" s="8">
        <v>0</v>
      </c>
      <c r="W360" s="7">
        <v>2.6</v>
      </c>
      <c r="X360" s="7">
        <v>113.4</v>
      </c>
      <c r="Y360" s="7">
        <v>104.7</v>
      </c>
      <c r="Z360" s="7">
        <v>8.8000000000000007</v>
      </c>
      <c r="AA360" s="7">
        <v>6.4</v>
      </c>
      <c r="AB360" s="7">
        <v>1.8</v>
      </c>
      <c r="AC360" s="7">
        <v>11.7</v>
      </c>
      <c r="AD360" s="7">
        <v>7.8</v>
      </c>
      <c r="AE360" s="7">
        <v>17.899999999999999</v>
      </c>
      <c r="AF360" s="7">
        <v>12.7</v>
      </c>
      <c r="AG360" s="7">
        <v>6.5</v>
      </c>
      <c r="AH360" s="7">
        <v>48.2</v>
      </c>
      <c r="AI360" s="7">
        <v>52</v>
      </c>
      <c r="AJ360" s="7">
        <v>15.5</v>
      </c>
      <c r="AK360" s="7">
        <v>103.84</v>
      </c>
      <c r="AL360" s="7">
        <v>8.5</v>
      </c>
      <c r="AM360" s="7">
        <v>1146</v>
      </c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1"/>
    </row>
    <row r="361" spans="1:64" ht="13">
      <c r="A361" s="6" t="s">
        <v>761</v>
      </c>
      <c r="B361" s="6" t="s">
        <v>762</v>
      </c>
      <c r="C361" s="31">
        <v>196</v>
      </c>
      <c r="D361" s="24">
        <v>67</v>
      </c>
      <c r="E361" s="24">
        <v>159</v>
      </c>
      <c r="F361" s="8">
        <v>43</v>
      </c>
      <c r="G361" s="9">
        <v>81</v>
      </c>
      <c r="H361" s="8">
        <v>32.5</v>
      </c>
      <c r="I361" s="8">
        <v>33</v>
      </c>
      <c r="J361" s="8">
        <v>52</v>
      </c>
      <c r="K361" s="8">
        <v>68</v>
      </c>
      <c r="L361" s="9">
        <v>26</v>
      </c>
      <c r="M361" s="9">
        <v>59</v>
      </c>
      <c r="N361" s="9">
        <v>85</v>
      </c>
      <c r="O361" s="9">
        <v>22</v>
      </c>
      <c r="P361" s="9">
        <v>22</v>
      </c>
      <c r="Q361" s="9">
        <v>22</v>
      </c>
      <c r="R361" s="9">
        <v>7</v>
      </c>
      <c r="S361" s="9">
        <v>44</v>
      </c>
      <c r="T361" s="8">
        <v>403</v>
      </c>
      <c r="U361" s="8">
        <v>0</v>
      </c>
      <c r="V361" s="8">
        <v>0</v>
      </c>
      <c r="W361" s="7">
        <v>-3.6</v>
      </c>
      <c r="X361" s="7">
        <v>106.4</v>
      </c>
      <c r="Y361" s="7">
        <v>119.3</v>
      </c>
      <c r="Z361" s="7">
        <v>-12.9</v>
      </c>
      <c r="AA361" s="7">
        <v>6.5</v>
      </c>
      <c r="AB361" s="7">
        <v>1</v>
      </c>
      <c r="AC361" s="7">
        <v>9.8000000000000007</v>
      </c>
      <c r="AD361" s="7">
        <v>5</v>
      </c>
      <c r="AE361" s="7">
        <v>11.7</v>
      </c>
      <c r="AF361" s="7">
        <v>8.1999999999999993</v>
      </c>
      <c r="AG361" s="7">
        <v>9.8000000000000007</v>
      </c>
      <c r="AH361" s="7">
        <v>51.3</v>
      </c>
      <c r="AI361" s="7">
        <v>54.4</v>
      </c>
      <c r="AJ361" s="7">
        <v>16.7</v>
      </c>
      <c r="AK361" s="7">
        <v>100.49</v>
      </c>
      <c r="AL361" s="7">
        <v>6.7</v>
      </c>
      <c r="AM361" s="7">
        <v>1052</v>
      </c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1"/>
    </row>
    <row r="362" spans="1:64" ht="13">
      <c r="A362" s="6" t="s">
        <v>763</v>
      </c>
      <c r="B362" s="6" t="s">
        <v>764</v>
      </c>
      <c r="C362" s="31">
        <v>195</v>
      </c>
      <c r="D362" s="24">
        <v>69</v>
      </c>
      <c r="E362" s="24">
        <v>158</v>
      </c>
      <c r="F362" s="8">
        <v>43</v>
      </c>
      <c r="G362" s="9">
        <v>89</v>
      </c>
      <c r="H362" s="8">
        <v>43.3</v>
      </c>
      <c r="I362" s="8">
        <v>20</v>
      </c>
      <c r="J362" s="8">
        <v>23</v>
      </c>
      <c r="K362" s="8">
        <v>86.4</v>
      </c>
      <c r="L362" s="9">
        <v>23</v>
      </c>
      <c r="M362" s="9">
        <v>56</v>
      </c>
      <c r="N362" s="9">
        <v>79</v>
      </c>
      <c r="O362" s="9">
        <v>79</v>
      </c>
      <c r="P362" s="9">
        <v>17</v>
      </c>
      <c r="Q362" s="9">
        <v>20</v>
      </c>
      <c r="R362" s="9">
        <v>7</v>
      </c>
      <c r="S362" s="9">
        <v>30</v>
      </c>
      <c r="T362" s="8">
        <v>465</v>
      </c>
      <c r="U362" s="8">
        <v>1</v>
      </c>
      <c r="V362" s="8">
        <v>0</v>
      </c>
      <c r="W362" s="7">
        <v>-0.9</v>
      </c>
      <c r="X362" s="7">
        <v>115.6</v>
      </c>
      <c r="Y362" s="7">
        <v>118.4</v>
      </c>
      <c r="Z362" s="7">
        <v>-2.8</v>
      </c>
      <c r="AA362" s="7">
        <v>23.5</v>
      </c>
      <c r="AB362" s="7">
        <v>4.59</v>
      </c>
      <c r="AC362" s="7">
        <v>29.7</v>
      </c>
      <c r="AD362" s="7">
        <v>4.8</v>
      </c>
      <c r="AE362" s="7">
        <v>12.4</v>
      </c>
      <c r="AF362" s="7">
        <v>8.6</v>
      </c>
      <c r="AG362" s="7">
        <v>6.5</v>
      </c>
      <c r="AH362" s="7">
        <v>55.4</v>
      </c>
      <c r="AI362" s="7">
        <v>57.8</v>
      </c>
      <c r="AJ362" s="7">
        <v>17</v>
      </c>
      <c r="AK362" s="7">
        <v>98.66</v>
      </c>
      <c r="AL362" s="7">
        <v>10.5</v>
      </c>
      <c r="AM362" s="7">
        <v>947</v>
      </c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1"/>
    </row>
    <row r="363" spans="1:64" ht="13">
      <c r="A363" s="6" t="s">
        <v>765</v>
      </c>
      <c r="B363" s="6" t="s">
        <v>766</v>
      </c>
      <c r="C363" s="31">
        <v>193</v>
      </c>
      <c r="D363" s="24">
        <v>69</v>
      </c>
      <c r="E363" s="24">
        <v>166</v>
      </c>
      <c r="F363" s="8">
        <v>42.2</v>
      </c>
      <c r="G363" s="9">
        <v>106</v>
      </c>
      <c r="H363" s="8">
        <v>32.1</v>
      </c>
      <c r="I363" s="8">
        <v>18</v>
      </c>
      <c r="J363" s="8">
        <v>23</v>
      </c>
      <c r="K363" s="8">
        <v>90.9</v>
      </c>
      <c r="L363" s="9">
        <v>46</v>
      </c>
      <c r="M363" s="9">
        <v>46</v>
      </c>
      <c r="N363" s="9">
        <v>92</v>
      </c>
      <c r="O363" s="9">
        <v>28</v>
      </c>
      <c r="P363" s="9">
        <v>14</v>
      </c>
      <c r="Q363" s="9">
        <v>14</v>
      </c>
      <c r="R363" s="9">
        <v>14</v>
      </c>
      <c r="S363" s="9">
        <v>41</v>
      </c>
      <c r="T363" s="8">
        <v>405</v>
      </c>
      <c r="U363" s="8">
        <v>0</v>
      </c>
      <c r="V363" s="8">
        <v>0</v>
      </c>
      <c r="W363" s="7">
        <v>-1.2</v>
      </c>
      <c r="X363" s="7">
        <v>108</v>
      </c>
      <c r="Y363" s="7">
        <v>114.5</v>
      </c>
      <c r="Z363" s="7">
        <v>-6.5</v>
      </c>
      <c r="AA363" s="7">
        <v>8.3000000000000007</v>
      </c>
      <c r="AB363" s="7">
        <v>1.63</v>
      </c>
      <c r="AC363" s="7">
        <v>11.9</v>
      </c>
      <c r="AD363" s="7">
        <v>8.1999999999999993</v>
      </c>
      <c r="AE363" s="7">
        <v>11.1</v>
      </c>
      <c r="AF363" s="7">
        <v>9.5</v>
      </c>
      <c r="AG363" s="7">
        <v>7.3</v>
      </c>
      <c r="AH363" s="7">
        <v>52.4</v>
      </c>
      <c r="AI363" s="7">
        <v>55.2</v>
      </c>
      <c r="AJ363" s="7">
        <v>16.2</v>
      </c>
      <c r="AK363" s="7">
        <v>102.71</v>
      </c>
      <c r="AL363" s="7">
        <v>7.7</v>
      </c>
      <c r="AM363" s="7">
        <v>1009</v>
      </c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1"/>
    </row>
    <row r="364" spans="1:64" ht="13">
      <c r="A364" s="13" t="s">
        <v>767</v>
      </c>
      <c r="B364" s="6" t="s">
        <v>768</v>
      </c>
      <c r="C364" s="31">
        <v>189</v>
      </c>
      <c r="D364" s="24">
        <v>71</v>
      </c>
      <c r="E364" s="24">
        <v>138</v>
      </c>
      <c r="F364" s="8">
        <v>51.4</v>
      </c>
      <c r="G364" s="9">
        <v>46</v>
      </c>
      <c r="H364" s="8">
        <v>43.8</v>
      </c>
      <c r="I364" s="8">
        <v>26</v>
      </c>
      <c r="J364" s="8">
        <v>31</v>
      </c>
      <c r="K364" s="8">
        <v>71.900000000000006</v>
      </c>
      <c r="L364" s="9">
        <v>20</v>
      </c>
      <c r="M364" s="9">
        <v>46</v>
      </c>
      <c r="N364" s="9">
        <v>66</v>
      </c>
      <c r="O364" s="9">
        <v>71</v>
      </c>
      <c r="P364" s="9">
        <v>36</v>
      </c>
      <c r="Q364" s="9">
        <v>15</v>
      </c>
      <c r="R364" s="9">
        <v>15</v>
      </c>
      <c r="S364" s="9">
        <v>26</v>
      </c>
      <c r="T364" s="8">
        <v>434</v>
      </c>
      <c r="U364" s="8">
        <v>0</v>
      </c>
      <c r="V364" s="8">
        <v>0</v>
      </c>
      <c r="W364" s="7">
        <v>-0.9</v>
      </c>
      <c r="X364" s="7">
        <v>108.3</v>
      </c>
      <c r="Y364" s="7">
        <v>113.5</v>
      </c>
      <c r="Z364" s="7">
        <v>-5.2</v>
      </c>
      <c r="AA364" s="7">
        <v>19.100000000000001</v>
      </c>
      <c r="AB364" s="7">
        <v>1.87</v>
      </c>
      <c r="AC364" s="7">
        <v>27</v>
      </c>
      <c r="AD364" s="7">
        <v>3.7</v>
      </c>
      <c r="AE364" s="7">
        <v>8.5</v>
      </c>
      <c r="AF364" s="7">
        <v>6.3</v>
      </c>
      <c r="AG364" s="7">
        <v>14.4</v>
      </c>
      <c r="AH364" s="7">
        <v>58.9</v>
      </c>
      <c r="AI364" s="7">
        <v>61</v>
      </c>
      <c r="AJ364" s="7">
        <v>15.5</v>
      </c>
      <c r="AK364" s="7">
        <v>100.91</v>
      </c>
      <c r="AL364" s="7">
        <v>9.1</v>
      </c>
      <c r="AM364" s="7">
        <v>1084</v>
      </c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1"/>
    </row>
    <row r="365" spans="1:64" ht="13">
      <c r="A365" s="6" t="s">
        <v>769</v>
      </c>
      <c r="B365" s="6" t="s">
        <v>770</v>
      </c>
      <c r="C365" s="31">
        <v>187</v>
      </c>
      <c r="D365" s="24">
        <v>68</v>
      </c>
      <c r="E365" s="24">
        <v>146</v>
      </c>
      <c r="F365" s="8">
        <v>47.3</v>
      </c>
      <c r="G365" s="9">
        <v>47</v>
      </c>
      <c r="H365" s="8">
        <v>34.799999999999997</v>
      </c>
      <c r="I365" s="8">
        <v>31</v>
      </c>
      <c r="J365" s="8">
        <v>47</v>
      </c>
      <c r="K365" s="8">
        <v>68.099999999999994</v>
      </c>
      <c r="L365" s="9">
        <v>52</v>
      </c>
      <c r="M365" s="9">
        <v>68</v>
      </c>
      <c r="N365" s="9">
        <v>120</v>
      </c>
      <c r="O365" s="9">
        <v>47</v>
      </c>
      <c r="P365" s="9">
        <v>21</v>
      </c>
      <c r="Q365" s="9">
        <v>26</v>
      </c>
      <c r="R365" s="9">
        <v>5</v>
      </c>
      <c r="S365" s="9">
        <v>83</v>
      </c>
      <c r="T365" s="8">
        <v>478</v>
      </c>
      <c r="U365" s="8">
        <v>0</v>
      </c>
      <c r="V365" s="8">
        <v>0</v>
      </c>
      <c r="W365" s="7">
        <v>1</v>
      </c>
      <c r="X365" s="7">
        <v>111</v>
      </c>
      <c r="Y365" s="7">
        <v>104.7</v>
      </c>
      <c r="Z365" s="7">
        <v>6.3</v>
      </c>
      <c r="AA365" s="7">
        <v>10.7</v>
      </c>
      <c r="AB365" s="7">
        <v>2.14</v>
      </c>
      <c r="AC365" s="7">
        <v>19.7</v>
      </c>
      <c r="AD365" s="7">
        <v>7.2</v>
      </c>
      <c r="AE365" s="7">
        <v>10.8</v>
      </c>
      <c r="AF365" s="7">
        <v>8.9</v>
      </c>
      <c r="AG365" s="7">
        <v>9.1999999999999993</v>
      </c>
      <c r="AH365" s="7">
        <v>52.7</v>
      </c>
      <c r="AI365" s="7">
        <v>55.7</v>
      </c>
      <c r="AJ365" s="7">
        <v>12.6</v>
      </c>
      <c r="AK365" s="7">
        <v>103.16</v>
      </c>
      <c r="AL365" s="7">
        <v>7.1</v>
      </c>
      <c r="AM365" s="7">
        <v>1251</v>
      </c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1"/>
    </row>
    <row r="366" spans="1:64" ht="13">
      <c r="A366" s="6" t="s">
        <v>771</v>
      </c>
      <c r="B366" s="6" t="s">
        <v>772</v>
      </c>
      <c r="C366" s="31">
        <v>185</v>
      </c>
      <c r="D366" s="24">
        <v>72</v>
      </c>
      <c r="E366" s="24">
        <v>144</v>
      </c>
      <c r="F366" s="8">
        <v>50.7</v>
      </c>
      <c r="G366" s="9">
        <v>27</v>
      </c>
      <c r="H366" s="8">
        <v>28.6</v>
      </c>
      <c r="I366" s="8">
        <v>32</v>
      </c>
      <c r="J366" s="8">
        <v>41</v>
      </c>
      <c r="K366" s="8">
        <v>76.2</v>
      </c>
      <c r="L366" s="9">
        <v>41</v>
      </c>
      <c r="M366" s="9">
        <v>81</v>
      </c>
      <c r="N366" s="9">
        <v>122</v>
      </c>
      <c r="O366" s="9">
        <v>45</v>
      </c>
      <c r="P366" s="9">
        <v>27</v>
      </c>
      <c r="Q366" s="9">
        <v>41</v>
      </c>
      <c r="R366" s="9">
        <v>27</v>
      </c>
      <c r="S366" s="9">
        <v>77</v>
      </c>
      <c r="T366" s="8">
        <v>563</v>
      </c>
      <c r="U366" s="8">
        <v>0</v>
      </c>
      <c r="V366" s="8">
        <v>0</v>
      </c>
      <c r="W366" s="7">
        <v>1</v>
      </c>
      <c r="X366" s="7">
        <v>111.3</v>
      </c>
      <c r="Y366" s="7">
        <v>105.7</v>
      </c>
      <c r="Z366" s="7">
        <v>5.6</v>
      </c>
      <c r="AA366" s="7">
        <v>14.1</v>
      </c>
      <c r="AB366" s="7">
        <v>1.69</v>
      </c>
      <c r="AC366" s="7">
        <v>19</v>
      </c>
      <c r="AD366" s="7">
        <v>9</v>
      </c>
      <c r="AE366" s="7">
        <v>19.7</v>
      </c>
      <c r="AF366" s="7">
        <v>14.2</v>
      </c>
      <c r="AG366" s="7">
        <v>11.3</v>
      </c>
      <c r="AH366" s="7">
        <v>53.5</v>
      </c>
      <c r="AI366" s="7">
        <v>57.3</v>
      </c>
      <c r="AJ366" s="7">
        <v>17.899999999999999</v>
      </c>
      <c r="AK366" s="7">
        <v>101.81</v>
      </c>
      <c r="AL366" s="7">
        <v>11.5</v>
      </c>
      <c r="AM366" s="7">
        <v>924</v>
      </c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1"/>
    </row>
    <row r="367" spans="1:64" ht="13">
      <c r="A367" s="6" t="s">
        <v>773</v>
      </c>
      <c r="B367" s="6" t="s">
        <v>774</v>
      </c>
      <c r="C367" s="31">
        <v>183</v>
      </c>
      <c r="D367" s="24">
        <v>70</v>
      </c>
      <c r="E367" s="24">
        <v>161</v>
      </c>
      <c r="F367" s="8">
        <v>43.5</v>
      </c>
      <c r="G367" s="9">
        <v>60</v>
      </c>
      <c r="H367" s="8">
        <v>40</v>
      </c>
      <c r="I367" s="8">
        <v>20</v>
      </c>
      <c r="J367" s="8">
        <v>21</v>
      </c>
      <c r="K367" s="8">
        <v>90.5</v>
      </c>
      <c r="L367" s="9">
        <v>12</v>
      </c>
      <c r="M367" s="9">
        <v>26</v>
      </c>
      <c r="N367" s="9">
        <v>38</v>
      </c>
      <c r="O367" s="9">
        <v>39</v>
      </c>
      <c r="P367" s="9">
        <v>25</v>
      </c>
      <c r="Q367" s="9">
        <v>7</v>
      </c>
      <c r="R367" s="9">
        <v>4</v>
      </c>
      <c r="S367" s="9">
        <v>23</v>
      </c>
      <c r="T367" s="8">
        <v>295</v>
      </c>
      <c r="U367" s="8">
        <v>0</v>
      </c>
      <c r="V367" s="8">
        <v>0</v>
      </c>
      <c r="W367" s="7">
        <v>-4.2</v>
      </c>
      <c r="X367" s="7">
        <v>107</v>
      </c>
      <c r="Y367" s="7">
        <v>114.4</v>
      </c>
      <c r="Z367" s="7">
        <v>-7.3</v>
      </c>
      <c r="AA367" s="7">
        <v>21.9</v>
      </c>
      <c r="AB367" s="7">
        <v>1.56</v>
      </c>
      <c r="AC367" s="7">
        <v>16.7</v>
      </c>
      <c r="AD367" s="7">
        <v>3.4</v>
      </c>
      <c r="AE367" s="7">
        <v>7.9</v>
      </c>
      <c r="AF367" s="7">
        <v>5.6</v>
      </c>
      <c r="AG367" s="7">
        <v>10.7</v>
      </c>
      <c r="AH367" s="7">
        <v>50.9</v>
      </c>
      <c r="AI367" s="7">
        <v>53.7</v>
      </c>
      <c r="AJ367" s="7">
        <v>25</v>
      </c>
      <c r="AK367" s="7">
        <v>99</v>
      </c>
      <c r="AL367" s="7">
        <v>9.8000000000000007</v>
      </c>
      <c r="AM367" s="7">
        <v>655</v>
      </c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1"/>
    </row>
    <row r="368" spans="1:64" ht="13">
      <c r="A368" s="6" t="s">
        <v>775</v>
      </c>
      <c r="B368" s="6" t="s">
        <v>776</v>
      </c>
      <c r="C368" s="31">
        <v>182</v>
      </c>
      <c r="D368" s="24">
        <v>68</v>
      </c>
      <c r="E368" s="24">
        <v>143</v>
      </c>
      <c r="F368" s="8">
        <v>49.6</v>
      </c>
      <c r="G368" s="9">
        <v>51</v>
      </c>
      <c r="H368" s="8">
        <v>32.700000000000003</v>
      </c>
      <c r="I368" s="8">
        <v>29</v>
      </c>
      <c r="J368" s="8">
        <v>46</v>
      </c>
      <c r="K368" s="8">
        <v>61.4</v>
      </c>
      <c r="L368" s="9">
        <v>34</v>
      </c>
      <c r="M368" s="9">
        <v>57</v>
      </c>
      <c r="N368" s="9">
        <v>91</v>
      </c>
      <c r="O368" s="9">
        <v>23</v>
      </c>
      <c r="P368" s="9">
        <v>11</v>
      </c>
      <c r="Q368" s="9">
        <v>23</v>
      </c>
      <c r="R368" s="9">
        <v>40</v>
      </c>
      <c r="S368" s="9">
        <v>63</v>
      </c>
      <c r="T368" s="8">
        <v>502</v>
      </c>
      <c r="U368" s="8">
        <v>0</v>
      </c>
      <c r="V368" s="8">
        <v>0</v>
      </c>
      <c r="W368" s="7">
        <v>-0.4</v>
      </c>
      <c r="X368" s="7">
        <v>107.3</v>
      </c>
      <c r="Y368" s="7">
        <v>108.9</v>
      </c>
      <c r="Z368" s="7">
        <v>-1.6</v>
      </c>
      <c r="AA368" s="7">
        <v>5.0999999999999996</v>
      </c>
      <c r="AB368" s="7">
        <v>1.64</v>
      </c>
      <c r="AC368" s="7">
        <v>11.6</v>
      </c>
      <c r="AD368" s="7">
        <v>5.2</v>
      </c>
      <c r="AE368" s="7">
        <v>8.1</v>
      </c>
      <c r="AF368" s="7">
        <v>6.7</v>
      </c>
      <c r="AG368" s="7">
        <v>7</v>
      </c>
      <c r="AH368" s="7">
        <v>55.7</v>
      </c>
      <c r="AI368" s="7">
        <v>57.4</v>
      </c>
      <c r="AJ368" s="7">
        <v>11.9</v>
      </c>
      <c r="AK368" s="7">
        <v>102.16</v>
      </c>
      <c r="AL368" s="7">
        <v>6.3</v>
      </c>
      <c r="AM368" s="7">
        <v>1293</v>
      </c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1"/>
    </row>
    <row r="369" spans="1:64" ht="13">
      <c r="A369" s="13" t="s">
        <v>777</v>
      </c>
      <c r="B369" s="6" t="s">
        <v>778</v>
      </c>
      <c r="C369" s="31">
        <v>178</v>
      </c>
      <c r="D369" s="24">
        <v>68</v>
      </c>
      <c r="E369" s="24">
        <v>167</v>
      </c>
      <c r="F369" s="8">
        <v>40.1</v>
      </c>
      <c r="G369" s="9">
        <v>95</v>
      </c>
      <c r="H369" s="8">
        <v>27.4</v>
      </c>
      <c r="I369" s="8">
        <v>19</v>
      </c>
      <c r="J369" s="8">
        <v>24</v>
      </c>
      <c r="K369" s="8">
        <v>79.2</v>
      </c>
      <c r="L369" s="9">
        <v>22</v>
      </c>
      <c r="M369" s="9">
        <v>76</v>
      </c>
      <c r="N369" s="9">
        <v>97</v>
      </c>
      <c r="O369" s="9">
        <v>54</v>
      </c>
      <c r="P369" s="9">
        <v>32</v>
      </c>
      <c r="Q369" s="9">
        <v>11</v>
      </c>
      <c r="R369" s="9">
        <v>8</v>
      </c>
      <c r="S369" s="9">
        <v>46</v>
      </c>
      <c r="T369" s="8">
        <v>402</v>
      </c>
      <c r="U369" s="8">
        <v>1</v>
      </c>
      <c r="V369" s="8">
        <v>0</v>
      </c>
      <c r="W369" s="7">
        <v>0.2</v>
      </c>
      <c r="X369" s="7">
        <v>117.4</v>
      </c>
      <c r="Y369" s="7">
        <v>116.2</v>
      </c>
      <c r="Z369" s="7">
        <v>1.2</v>
      </c>
      <c r="AA369" s="7">
        <v>14</v>
      </c>
      <c r="AB369" s="7">
        <v>1.67</v>
      </c>
      <c r="AC369" s="7">
        <v>20.8</v>
      </c>
      <c r="AD369" s="7">
        <v>4.2</v>
      </c>
      <c r="AE369" s="7">
        <v>15</v>
      </c>
      <c r="AF369" s="7">
        <v>9.6</v>
      </c>
      <c r="AG369" s="7">
        <v>12.5</v>
      </c>
      <c r="AH369" s="7">
        <v>47.9</v>
      </c>
      <c r="AI369" s="7">
        <v>50.4</v>
      </c>
      <c r="AJ369" s="7">
        <v>16.600000000000001</v>
      </c>
      <c r="AK369" s="7">
        <v>105.23</v>
      </c>
      <c r="AL369" s="7">
        <v>6.5</v>
      </c>
      <c r="AM369" s="7">
        <v>1090</v>
      </c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1"/>
    </row>
    <row r="370" spans="1:64" ht="13">
      <c r="A370" s="6" t="s">
        <v>779</v>
      </c>
      <c r="B370" s="6" t="s">
        <v>780</v>
      </c>
      <c r="C370" s="31">
        <v>175</v>
      </c>
      <c r="D370" s="24">
        <v>60</v>
      </c>
      <c r="E370" s="24">
        <v>155</v>
      </c>
      <c r="F370" s="8">
        <v>40.299999999999997</v>
      </c>
      <c r="G370" s="9">
        <v>105</v>
      </c>
      <c r="H370" s="8">
        <v>36.4</v>
      </c>
      <c r="I370" s="8">
        <v>15</v>
      </c>
      <c r="J370" s="8">
        <v>20</v>
      </c>
      <c r="K370" s="8">
        <v>77.8</v>
      </c>
      <c r="L370" s="9">
        <v>15</v>
      </c>
      <c r="M370" s="9">
        <v>55</v>
      </c>
      <c r="N370" s="9">
        <v>75</v>
      </c>
      <c r="O370" s="9">
        <v>70</v>
      </c>
      <c r="P370" s="9">
        <v>20</v>
      </c>
      <c r="Q370" s="9">
        <v>25</v>
      </c>
      <c r="R370" s="9">
        <v>5</v>
      </c>
      <c r="S370" s="9">
        <v>50</v>
      </c>
      <c r="T370" s="8">
        <v>445</v>
      </c>
      <c r="U370" s="8">
        <v>0</v>
      </c>
      <c r="V370" s="8">
        <v>0</v>
      </c>
      <c r="W370" s="7">
        <v>0.7</v>
      </c>
      <c r="X370" s="7">
        <v>110.5</v>
      </c>
      <c r="Y370" s="7">
        <v>106.9</v>
      </c>
      <c r="Z370" s="7">
        <v>3.6</v>
      </c>
      <c r="AA370" s="7">
        <v>16.600000000000001</v>
      </c>
      <c r="AB370" s="7">
        <v>4</v>
      </c>
      <c r="AC370" s="7">
        <v>28.7</v>
      </c>
      <c r="AD370" s="7">
        <v>2.7</v>
      </c>
      <c r="AE370" s="7">
        <v>9.5</v>
      </c>
      <c r="AF370" s="7">
        <v>6</v>
      </c>
      <c r="AG370" s="7">
        <v>7.2</v>
      </c>
      <c r="AH370" s="7">
        <v>52.9</v>
      </c>
      <c r="AI370" s="7">
        <v>54.7</v>
      </c>
      <c r="AJ370" s="7">
        <v>12.6</v>
      </c>
      <c r="AK370" s="7">
        <v>98.59</v>
      </c>
      <c r="AL370" s="7">
        <v>7.5</v>
      </c>
      <c r="AM370" s="7">
        <v>1252</v>
      </c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1"/>
    </row>
    <row r="371" spans="1:64" ht="13">
      <c r="A371" s="6" t="s">
        <v>781</v>
      </c>
      <c r="B371" s="6" t="s">
        <v>782</v>
      </c>
      <c r="C371" s="31">
        <v>174</v>
      </c>
      <c r="D371" s="24">
        <v>64</v>
      </c>
      <c r="E371" s="24">
        <v>134</v>
      </c>
      <c r="F371" s="8">
        <v>47.8</v>
      </c>
      <c r="G371" s="9">
        <v>54</v>
      </c>
      <c r="H371" s="8">
        <v>43.4</v>
      </c>
      <c r="I371" s="8">
        <v>24</v>
      </c>
      <c r="J371" s="8">
        <v>32</v>
      </c>
      <c r="K371" s="8">
        <v>74.2</v>
      </c>
      <c r="L371" s="9">
        <v>4</v>
      </c>
      <c r="M371" s="9">
        <v>30</v>
      </c>
      <c r="N371" s="9">
        <v>34</v>
      </c>
      <c r="O371" s="9">
        <v>56</v>
      </c>
      <c r="P371" s="9">
        <v>22</v>
      </c>
      <c r="Q371" s="9">
        <v>12</v>
      </c>
      <c r="R371" s="9">
        <v>4</v>
      </c>
      <c r="S371" s="9">
        <v>34</v>
      </c>
      <c r="T371" s="8">
        <v>320</v>
      </c>
      <c r="U371" s="8">
        <v>0</v>
      </c>
      <c r="V371" s="8">
        <v>0</v>
      </c>
      <c r="W371" s="7">
        <v>-2.4</v>
      </c>
      <c r="X371" s="7">
        <v>109.3</v>
      </c>
      <c r="Y371" s="7">
        <v>115.2</v>
      </c>
      <c r="Z371" s="7">
        <v>-6</v>
      </c>
      <c r="AA371" s="7">
        <v>22</v>
      </c>
      <c r="AB371" s="7">
        <v>2.5499999999999998</v>
      </c>
      <c r="AC371" s="7">
        <v>24.8</v>
      </c>
      <c r="AD371" s="7">
        <v>1</v>
      </c>
      <c r="AE371" s="7">
        <v>7.4</v>
      </c>
      <c r="AF371" s="7">
        <v>4.2</v>
      </c>
      <c r="AG371" s="7">
        <v>9.6999999999999993</v>
      </c>
      <c r="AH371" s="7">
        <v>56.3</v>
      </c>
      <c r="AI371" s="7">
        <v>58.9</v>
      </c>
      <c r="AJ371" s="7">
        <v>19.3</v>
      </c>
      <c r="AK371" s="7">
        <v>101.4</v>
      </c>
      <c r="AL371" s="7">
        <v>8.3000000000000007</v>
      </c>
      <c r="AM371" s="7">
        <v>786</v>
      </c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1"/>
    </row>
    <row r="372" spans="1:64" ht="13">
      <c r="A372" s="6" t="s">
        <v>783</v>
      </c>
      <c r="B372" s="6" t="s">
        <v>784</v>
      </c>
      <c r="C372" s="31">
        <v>173</v>
      </c>
      <c r="D372" s="24">
        <v>61</v>
      </c>
      <c r="E372" s="24">
        <v>122</v>
      </c>
      <c r="F372" s="8">
        <v>50.4</v>
      </c>
      <c r="G372" s="9">
        <v>80</v>
      </c>
      <c r="H372" s="8">
        <v>36.700000000000003</v>
      </c>
      <c r="I372" s="8">
        <v>22</v>
      </c>
      <c r="J372" s="8">
        <v>26</v>
      </c>
      <c r="K372" s="8">
        <v>80.8</v>
      </c>
      <c r="L372" s="9">
        <v>10</v>
      </c>
      <c r="M372" s="9">
        <v>48</v>
      </c>
      <c r="N372" s="9">
        <v>58</v>
      </c>
      <c r="O372" s="9">
        <v>19</v>
      </c>
      <c r="P372" s="9">
        <v>10</v>
      </c>
      <c r="Q372" s="9">
        <v>6</v>
      </c>
      <c r="R372" s="9">
        <v>3</v>
      </c>
      <c r="S372" s="9">
        <v>32</v>
      </c>
      <c r="T372" s="8">
        <v>291</v>
      </c>
      <c r="U372" s="8">
        <v>0</v>
      </c>
      <c r="V372" s="8">
        <v>0</v>
      </c>
      <c r="W372" s="7">
        <v>-1.2</v>
      </c>
      <c r="X372" s="7">
        <v>112.2</v>
      </c>
      <c r="Y372" s="7">
        <v>116.1</v>
      </c>
      <c r="Z372" s="7">
        <v>-3.9</v>
      </c>
      <c r="AA372" s="7">
        <v>6.8</v>
      </c>
      <c r="AB372" s="7">
        <v>2.2200000000000002</v>
      </c>
      <c r="AC372" s="7">
        <v>12.4</v>
      </c>
      <c r="AD372" s="7">
        <v>2.4</v>
      </c>
      <c r="AE372" s="7">
        <v>10.8</v>
      </c>
      <c r="AF372" s="7">
        <v>6.5</v>
      </c>
      <c r="AG372" s="7">
        <v>5.6</v>
      </c>
      <c r="AH372" s="7">
        <v>62.4</v>
      </c>
      <c r="AI372" s="7">
        <v>64.900000000000006</v>
      </c>
      <c r="AJ372" s="7">
        <v>14.4</v>
      </c>
      <c r="AK372" s="7">
        <v>100.43</v>
      </c>
      <c r="AL372" s="7">
        <v>8.5</v>
      </c>
      <c r="AM372" s="7">
        <v>827</v>
      </c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1"/>
    </row>
    <row r="373" spans="1:64" ht="13">
      <c r="A373" s="6" t="s">
        <v>785</v>
      </c>
      <c r="B373" s="6" t="s">
        <v>786</v>
      </c>
      <c r="C373" s="31">
        <v>169</v>
      </c>
      <c r="D373" s="24">
        <v>66</v>
      </c>
      <c r="E373" s="24">
        <v>150</v>
      </c>
      <c r="F373" s="8">
        <v>43</v>
      </c>
      <c r="G373" s="9">
        <v>56</v>
      </c>
      <c r="H373" s="8">
        <v>34.5</v>
      </c>
      <c r="I373" s="8">
        <v>19</v>
      </c>
      <c r="J373" s="8">
        <v>24</v>
      </c>
      <c r="K373" s="8">
        <v>79.2</v>
      </c>
      <c r="L373" s="9">
        <v>38</v>
      </c>
      <c r="M373" s="9">
        <v>61</v>
      </c>
      <c r="N373" s="9">
        <v>94</v>
      </c>
      <c r="O373" s="9">
        <v>42</v>
      </c>
      <c r="P373" s="9">
        <v>28</v>
      </c>
      <c r="Q373" s="9">
        <v>14</v>
      </c>
      <c r="R373" s="9">
        <v>5</v>
      </c>
      <c r="S373" s="9">
        <v>52</v>
      </c>
      <c r="T373" s="8">
        <v>371</v>
      </c>
      <c r="U373" s="8">
        <v>1</v>
      </c>
      <c r="V373" s="8">
        <v>0</v>
      </c>
      <c r="W373" s="7">
        <v>0</v>
      </c>
      <c r="X373" s="7">
        <v>108.4</v>
      </c>
      <c r="Y373" s="7">
        <v>108.8</v>
      </c>
      <c r="Z373" s="7">
        <v>-0.4</v>
      </c>
      <c r="AA373" s="7">
        <v>13.5</v>
      </c>
      <c r="AB373" s="7">
        <v>1.69</v>
      </c>
      <c r="AC373" s="7">
        <v>19.100000000000001</v>
      </c>
      <c r="AD373" s="7">
        <v>7.6</v>
      </c>
      <c r="AE373" s="7">
        <v>11.7</v>
      </c>
      <c r="AF373" s="7">
        <v>9.6999999999999993</v>
      </c>
      <c r="AG373" s="7">
        <v>11.3</v>
      </c>
      <c r="AH373" s="7">
        <v>49.7</v>
      </c>
      <c r="AI373" s="7">
        <v>52.3</v>
      </c>
      <c r="AJ373" s="7">
        <v>16.399999999999999</v>
      </c>
      <c r="AK373" s="7">
        <v>101.31</v>
      </c>
      <c r="AL373" s="7">
        <v>7.5</v>
      </c>
      <c r="AM373" s="7">
        <v>957</v>
      </c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1"/>
    </row>
    <row r="374" spans="1:64" ht="13">
      <c r="A374" s="6" t="s">
        <v>787</v>
      </c>
      <c r="B374" s="6" t="s">
        <v>788</v>
      </c>
      <c r="C374" s="31">
        <v>168</v>
      </c>
      <c r="D374" s="24">
        <v>68</v>
      </c>
      <c r="E374" s="24">
        <v>136</v>
      </c>
      <c r="F374" s="8">
        <v>49.6</v>
      </c>
      <c r="G374" s="9">
        <v>56</v>
      </c>
      <c r="H374" s="8">
        <v>40.700000000000003</v>
      </c>
      <c r="I374" s="8">
        <v>12</v>
      </c>
      <c r="J374" s="8">
        <v>12</v>
      </c>
      <c r="K374" s="8">
        <v>92.3</v>
      </c>
      <c r="L374" s="9">
        <v>24</v>
      </c>
      <c r="M374" s="9">
        <v>92</v>
      </c>
      <c r="N374" s="9">
        <v>116</v>
      </c>
      <c r="O374" s="9">
        <v>44</v>
      </c>
      <c r="P374" s="9">
        <v>16</v>
      </c>
      <c r="Q374" s="9">
        <v>20</v>
      </c>
      <c r="R374" s="9">
        <v>20</v>
      </c>
      <c r="S374" s="9">
        <v>64</v>
      </c>
      <c r="T374" s="8">
        <v>472</v>
      </c>
      <c r="U374" s="8">
        <v>1</v>
      </c>
      <c r="V374" s="8">
        <v>0</v>
      </c>
      <c r="W374" s="7">
        <v>-4</v>
      </c>
      <c r="X374" s="7">
        <v>110</v>
      </c>
      <c r="Y374" s="7">
        <v>122.3</v>
      </c>
      <c r="Z374" s="7">
        <v>-12.3</v>
      </c>
      <c r="AA374" s="7">
        <v>9</v>
      </c>
      <c r="AB374" s="7">
        <v>2.63</v>
      </c>
      <c r="AC374" s="7">
        <v>21.1</v>
      </c>
      <c r="AD374" s="7">
        <v>3.7</v>
      </c>
      <c r="AE374" s="7">
        <v>15.4</v>
      </c>
      <c r="AF374" s="7">
        <v>9.6</v>
      </c>
      <c r="AG374" s="7">
        <v>8</v>
      </c>
      <c r="AH374" s="7">
        <v>57.8</v>
      </c>
      <c r="AI374" s="7">
        <v>59.7</v>
      </c>
      <c r="AJ374" s="7">
        <v>11</v>
      </c>
      <c r="AK374" s="7">
        <v>102.71</v>
      </c>
      <c r="AL374" s="7">
        <v>6.7</v>
      </c>
      <c r="AM374" s="7">
        <v>1303</v>
      </c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1"/>
    </row>
    <row r="375" spans="1:64" ht="13">
      <c r="A375" s="6" t="s">
        <v>789</v>
      </c>
      <c r="B375" s="6" t="s">
        <v>790</v>
      </c>
      <c r="C375" s="31">
        <v>167</v>
      </c>
      <c r="D375" s="24">
        <v>65</v>
      </c>
      <c r="E375" s="24">
        <v>161</v>
      </c>
      <c r="F375" s="8">
        <v>40.1</v>
      </c>
      <c r="G375" s="9">
        <v>81</v>
      </c>
      <c r="H375" s="8">
        <v>32.9</v>
      </c>
      <c r="I375" s="8">
        <v>12</v>
      </c>
      <c r="J375" s="8">
        <v>12</v>
      </c>
      <c r="K375" s="8">
        <v>100</v>
      </c>
      <c r="L375" s="9">
        <v>6</v>
      </c>
      <c r="M375" s="9">
        <v>43</v>
      </c>
      <c r="N375" s="9">
        <v>50</v>
      </c>
      <c r="O375" s="9">
        <v>81</v>
      </c>
      <c r="P375" s="9">
        <v>34</v>
      </c>
      <c r="Q375" s="9">
        <v>28</v>
      </c>
      <c r="R375" s="9">
        <v>9</v>
      </c>
      <c r="S375" s="9">
        <v>40</v>
      </c>
      <c r="T375" s="8">
        <v>428</v>
      </c>
      <c r="U375" s="8">
        <v>1</v>
      </c>
      <c r="V375" s="8">
        <v>1</v>
      </c>
      <c r="W375" s="7">
        <v>-0.6</v>
      </c>
      <c r="X375" s="7">
        <v>106.2</v>
      </c>
      <c r="Y375" s="7">
        <v>108.4</v>
      </c>
      <c r="Z375" s="7">
        <v>-2.2000000000000002</v>
      </c>
      <c r="AA375" s="7">
        <v>22.4</v>
      </c>
      <c r="AB375" s="7">
        <v>2.4500000000000002</v>
      </c>
      <c r="AC375" s="7">
        <v>28.8</v>
      </c>
      <c r="AD375" s="7">
        <v>1.3</v>
      </c>
      <c r="AE375" s="7">
        <v>8</v>
      </c>
      <c r="AF375" s="7">
        <v>4.7</v>
      </c>
      <c r="AG375" s="7">
        <v>11.7</v>
      </c>
      <c r="AH375" s="7">
        <v>48.5</v>
      </c>
      <c r="AI375" s="7">
        <v>50.3</v>
      </c>
      <c r="AJ375" s="7">
        <v>16.399999999999999</v>
      </c>
      <c r="AK375" s="7">
        <v>102.77</v>
      </c>
      <c r="AL375" s="7">
        <v>7.4</v>
      </c>
      <c r="AM375" s="7">
        <v>1075</v>
      </c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1"/>
    </row>
    <row r="376" spans="1:64" ht="13">
      <c r="A376" s="6" t="s">
        <v>791</v>
      </c>
      <c r="B376" s="6" t="s">
        <v>792</v>
      </c>
      <c r="C376" s="31">
        <v>166</v>
      </c>
      <c r="D376" s="24">
        <v>54</v>
      </c>
      <c r="E376" s="24">
        <v>123</v>
      </c>
      <c r="F376" s="8">
        <v>43.9</v>
      </c>
      <c r="G376" s="9">
        <v>74</v>
      </c>
      <c r="H376" s="8">
        <v>36.5</v>
      </c>
      <c r="I376" s="8">
        <v>30</v>
      </c>
      <c r="J376" s="8">
        <v>37</v>
      </c>
      <c r="K376" s="8">
        <v>83.8</v>
      </c>
      <c r="L376" s="9">
        <v>18</v>
      </c>
      <c r="M376" s="9">
        <v>64</v>
      </c>
      <c r="N376" s="9">
        <v>82</v>
      </c>
      <c r="O376" s="9">
        <v>37</v>
      </c>
      <c r="P376" s="9">
        <v>29</v>
      </c>
      <c r="Q376" s="9">
        <v>18</v>
      </c>
      <c r="R376" s="9">
        <v>13</v>
      </c>
      <c r="S376" s="9">
        <v>46</v>
      </c>
      <c r="T376" s="8">
        <v>386</v>
      </c>
      <c r="U376" s="8">
        <v>0</v>
      </c>
      <c r="V376" s="8">
        <v>0</v>
      </c>
      <c r="W376" s="7">
        <v>0.6</v>
      </c>
      <c r="X376" s="7">
        <v>114.9</v>
      </c>
      <c r="Y376" s="7">
        <v>113.3</v>
      </c>
      <c r="Z376" s="7">
        <v>1.6</v>
      </c>
      <c r="AA376" s="7">
        <v>10.7</v>
      </c>
      <c r="AB376" s="7">
        <v>1.32</v>
      </c>
      <c r="AC376" s="7">
        <v>18</v>
      </c>
      <c r="AD376" s="7">
        <v>3.5</v>
      </c>
      <c r="AE376" s="7">
        <v>13.4</v>
      </c>
      <c r="AF376" s="7">
        <v>8.3000000000000007</v>
      </c>
      <c r="AG376" s="7">
        <v>13.6</v>
      </c>
      <c r="AH376" s="7">
        <v>54.9</v>
      </c>
      <c r="AI376" s="7">
        <v>59.6</v>
      </c>
      <c r="AJ376" s="7">
        <v>14.6</v>
      </c>
      <c r="AK376" s="7">
        <v>99.95</v>
      </c>
      <c r="AL376" s="7">
        <v>7.6</v>
      </c>
      <c r="AM376" s="7">
        <v>995</v>
      </c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1"/>
    </row>
    <row r="377" spans="1:64" ht="13">
      <c r="A377" s="6" t="s">
        <v>793</v>
      </c>
      <c r="B377" s="6" t="s">
        <v>794</v>
      </c>
      <c r="C377" s="31">
        <v>164</v>
      </c>
      <c r="D377" s="24">
        <v>56</v>
      </c>
      <c r="E377" s="24">
        <v>120</v>
      </c>
      <c r="F377" s="8">
        <v>46.7</v>
      </c>
      <c r="G377" s="9">
        <v>52</v>
      </c>
      <c r="H377" s="8">
        <v>43.1</v>
      </c>
      <c r="I377" s="8">
        <v>28</v>
      </c>
      <c r="J377" s="8">
        <v>36</v>
      </c>
      <c r="K377" s="8">
        <v>78.400000000000006</v>
      </c>
      <c r="L377" s="9">
        <v>28</v>
      </c>
      <c r="M377" s="9">
        <v>28</v>
      </c>
      <c r="N377" s="9">
        <v>52</v>
      </c>
      <c r="O377" s="9">
        <v>28</v>
      </c>
      <c r="P377" s="9">
        <v>8</v>
      </c>
      <c r="Q377" s="9">
        <v>36</v>
      </c>
      <c r="R377" s="9">
        <v>4</v>
      </c>
      <c r="S377" s="9">
        <v>60</v>
      </c>
      <c r="T377" s="8">
        <v>372</v>
      </c>
      <c r="U377" s="8">
        <v>0</v>
      </c>
      <c r="V377" s="8">
        <v>0</v>
      </c>
      <c r="W377" s="7">
        <v>1.1000000000000001</v>
      </c>
      <c r="X377" s="7">
        <v>115.2</v>
      </c>
      <c r="Y377" s="7">
        <v>109.6</v>
      </c>
      <c r="Z377" s="7">
        <v>5.6</v>
      </c>
      <c r="AA377" s="7">
        <v>6.7</v>
      </c>
      <c r="AB377" s="7">
        <v>3.25</v>
      </c>
      <c r="AC377" s="7">
        <v>15.1</v>
      </c>
      <c r="AD377" s="7">
        <v>4.7</v>
      </c>
      <c r="AE377" s="7">
        <v>5.3</v>
      </c>
      <c r="AF377" s="7">
        <v>5</v>
      </c>
      <c r="AG377" s="7">
        <v>4.7</v>
      </c>
      <c r="AH377" s="7">
        <v>55.8</v>
      </c>
      <c r="AI377" s="7">
        <v>59.8</v>
      </c>
      <c r="AJ377" s="7">
        <v>11.5</v>
      </c>
      <c r="AK377" s="7">
        <v>101.98</v>
      </c>
      <c r="AL377" s="7">
        <v>5.7</v>
      </c>
      <c r="AM377" s="7">
        <v>1101</v>
      </c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1"/>
    </row>
    <row r="378" spans="1:64" ht="13">
      <c r="A378" s="6" t="s">
        <v>795</v>
      </c>
      <c r="B378" s="6" t="s">
        <v>796</v>
      </c>
      <c r="C378" s="31">
        <v>163</v>
      </c>
      <c r="D378" s="24">
        <v>61</v>
      </c>
      <c r="E378" s="24">
        <v>129</v>
      </c>
      <c r="F378" s="8">
        <v>47.3</v>
      </c>
      <c r="G378" s="9">
        <v>38</v>
      </c>
      <c r="H378" s="8">
        <v>24.3</v>
      </c>
      <c r="I378" s="8">
        <v>30</v>
      </c>
      <c r="J378" s="8">
        <v>38</v>
      </c>
      <c r="K378" s="8">
        <v>83.8</v>
      </c>
      <c r="L378" s="9">
        <v>46</v>
      </c>
      <c r="M378" s="9">
        <v>122</v>
      </c>
      <c r="N378" s="9">
        <v>163</v>
      </c>
      <c r="O378" s="9">
        <v>61</v>
      </c>
      <c r="P378" s="9">
        <v>27</v>
      </c>
      <c r="Q378" s="9">
        <v>19</v>
      </c>
      <c r="R378" s="9">
        <v>19</v>
      </c>
      <c r="S378" s="9">
        <v>68</v>
      </c>
      <c r="T378" s="8">
        <v>540</v>
      </c>
      <c r="U378" s="8">
        <v>1</v>
      </c>
      <c r="V378" s="8">
        <v>0</v>
      </c>
      <c r="W378" s="7">
        <v>-1.6</v>
      </c>
      <c r="X378" s="7">
        <v>109.3</v>
      </c>
      <c r="Y378" s="7">
        <v>115.2</v>
      </c>
      <c r="Z378" s="7">
        <v>-5.9</v>
      </c>
      <c r="AA378" s="7">
        <v>13.1</v>
      </c>
      <c r="AB378" s="7">
        <v>2.4</v>
      </c>
      <c r="AC378" s="7">
        <v>26</v>
      </c>
      <c r="AD378" s="7">
        <v>6.2</v>
      </c>
      <c r="AE378" s="7">
        <v>19.2</v>
      </c>
      <c r="AF378" s="7">
        <v>12.2</v>
      </c>
      <c r="AG378" s="7">
        <v>10.8</v>
      </c>
      <c r="AH378" s="7">
        <v>50.8</v>
      </c>
      <c r="AI378" s="7">
        <v>55.8</v>
      </c>
      <c r="AJ378" s="7">
        <v>11.1</v>
      </c>
      <c r="AK378" s="7">
        <v>102.26</v>
      </c>
      <c r="AL378" s="7">
        <v>8.1</v>
      </c>
      <c r="AM378" s="7">
        <v>1331</v>
      </c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1"/>
    </row>
    <row r="379" spans="1:64" ht="13">
      <c r="A379" s="6" t="s">
        <v>797</v>
      </c>
      <c r="B379" s="6" t="s">
        <v>798</v>
      </c>
      <c r="C379" s="31">
        <v>163</v>
      </c>
      <c r="D379" s="24">
        <v>57</v>
      </c>
      <c r="E379" s="24">
        <v>137</v>
      </c>
      <c r="F379" s="8">
        <v>42.2</v>
      </c>
      <c r="G379" s="9">
        <v>99</v>
      </c>
      <c r="H379" s="8">
        <v>31.6</v>
      </c>
      <c r="I379" s="8">
        <v>15</v>
      </c>
      <c r="J379" s="8">
        <v>19</v>
      </c>
      <c r="K379" s="8">
        <v>85</v>
      </c>
      <c r="L379" s="9">
        <v>42</v>
      </c>
      <c r="M379" s="9">
        <v>122</v>
      </c>
      <c r="N379" s="9">
        <v>163</v>
      </c>
      <c r="O379" s="9">
        <v>30</v>
      </c>
      <c r="P379" s="9">
        <v>30</v>
      </c>
      <c r="Q379" s="9">
        <v>15</v>
      </c>
      <c r="R379" s="9">
        <v>15</v>
      </c>
      <c r="S379" s="9">
        <v>49</v>
      </c>
      <c r="T379" s="8">
        <v>460</v>
      </c>
      <c r="U379" s="8">
        <v>0</v>
      </c>
      <c r="V379" s="8">
        <v>0</v>
      </c>
      <c r="W379" s="7">
        <v>-2.7</v>
      </c>
      <c r="X379" s="7">
        <v>108.6</v>
      </c>
      <c r="Y379" s="7">
        <v>116.2</v>
      </c>
      <c r="Z379" s="7">
        <v>-7.6</v>
      </c>
      <c r="AA379" s="7">
        <v>5.8</v>
      </c>
      <c r="AB379" s="7">
        <v>1</v>
      </c>
      <c r="AC379" s="7">
        <v>15</v>
      </c>
      <c r="AD379" s="7">
        <v>5.8</v>
      </c>
      <c r="AE379" s="7">
        <v>15.3</v>
      </c>
      <c r="AF379" s="7">
        <v>10.7</v>
      </c>
      <c r="AG379" s="7">
        <v>15</v>
      </c>
      <c r="AH379" s="7">
        <v>53.7</v>
      </c>
      <c r="AI379" s="7">
        <v>56.3</v>
      </c>
      <c r="AJ379" s="7">
        <v>10.199999999999999</v>
      </c>
      <c r="AK379" s="7">
        <v>101.29</v>
      </c>
      <c r="AL379" s="7">
        <v>6.3</v>
      </c>
      <c r="AM379" s="7">
        <v>1492</v>
      </c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1"/>
    </row>
    <row r="380" spans="1:64" ht="13">
      <c r="A380" s="6" t="s">
        <v>799</v>
      </c>
      <c r="B380" s="6" t="s">
        <v>800</v>
      </c>
      <c r="C380" s="31">
        <v>162</v>
      </c>
      <c r="D380" s="24">
        <v>59</v>
      </c>
      <c r="E380" s="24">
        <v>123</v>
      </c>
      <c r="F380" s="8">
        <v>47.5</v>
      </c>
      <c r="G380" s="9">
        <v>39</v>
      </c>
      <c r="H380" s="8">
        <v>37.5</v>
      </c>
      <c r="I380" s="8">
        <v>31</v>
      </c>
      <c r="J380" s="8">
        <v>39</v>
      </c>
      <c r="K380" s="8">
        <v>77.5</v>
      </c>
      <c r="L380" s="9">
        <v>14</v>
      </c>
      <c r="M380" s="9">
        <v>31</v>
      </c>
      <c r="N380" s="9">
        <v>45</v>
      </c>
      <c r="O380" s="9">
        <v>53</v>
      </c>
      <c r="P380" s="9">
        <v>17</v>
      </c>
      <c r="Q380" s="9">
        <v>22</v>
      </c>
      <c r="R380" s="9">
        <v>6</v>
      </c>
      <c r="S380" s="9">
        <v>42</v>
      </c>
      <c r="T380" s="8">
        <v>356</v>
      </c>
      <c r="U380" s="8">
        <v>0</v>
      </c>
      <c r="V380" s="8">
        <v>0</v>
      </c>
      <c r="W380" s="7">
        <v>0</v>
      </c>
      <c r="X380" s="7">
        <v>110.9</v>
      </c>
      <c r="Y380" s="7">
        <v>110.1</v>
      </c>
      <c r="Z380" s="7">
        <v>0.8</v>
      </c>
      <c r="AA380" s="7">
        <v>19.3</v>
      </c>
      <c r="AB380" s="7">
        <v>3.31</v>
      </c>
      <c r="AC380" s="7">
        <v>25.4</v>
      </c>
      <c r="AD380" s="7">
        <v>3.5</v>
      </c>
      <c r="AE380" s="7">
        <v>7.9</v>
      </c>
      <c r="AF380" s="7">
        <v>5.7</v>
      </c>
      <c r="AG380" s="7">
        <v>7.7</v>
      </c>
      <c r="AH380" s="7">
        <v>53.7</v>
      </c>
      <c r="AI380" s="7">
        <v>58</v>
      </c>
      <c r="AJ380" s="7">
        <v>16.7</v>
      </c>
      <c r="AK380" s="7">
        <v>104.12</v>
      </c>
      <c r="AL380" s="7">
        <v>8.9</v>
      </c>
      <c r="AM380" s="7">
        <v>823</v>
      </c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1"/>
    </row>
    <row r="381" spans="1:64" ht="13">
      <c r="A381" s="6" t="s">
        <v>801</v>
      </c>
      <c r="B381" s="6" t="s">
        <v>802</v>
      </c>
      <c r="C381" s="31">
        <v>162</v>
      </c>
      <c r="D381" s="24">
        <v>64</v>
      </c>
      <c r="E381" s="24">
        <v>145</v>
      </c>
      <c r="F381" s="8">
        <v>43.8</v>
      </c>
      <c r="G381" s="9">
        <v>67</v>
      </c>
      <c r="H381" s="8">
        <v>38.200000000000003</v>
      </c>
      <c r="I381" s="8">
        <v>9</v>
      </c>
      <c r="J381" s="8">
        <v>12</v>
      </c>
      <c r="K381" s="8">
        <v>81.8</v>
      </c>
      <c r="L381" s="9">
        <v>38</v>
      </c>
      <c r="M381" s="9">
        <v>75</v>
      </c>
      <c r="N381" s="9">
        <v>113</v>
      </c>
      <c r="O381" s="9">
        <v>41</v>
      </c>
      <c r="P381" s="9">
        <v>26</v>
      </c>
      <c r="Q381" s="9">
        <v>29</v>
      </c>
      <c r="R381" s="9">
        <v>12</v>
      </c>
      <c r="S381" s="9">
        <v>44</v>
      </c>
      <c r="T381" s="8">
        <v>455</v>
      </c>
      <c r="U381" s="8">
        <v>0</v>
      </c>
      <c r="V381" s="8">
        <v>0</v>
      </c>
      <c r="W381" s="7">
        <v>-0.4</v>
      </c>
      <c r="X381" s="7">
        <v>111.2</v>
      </c>
      <c r="Y381" s="7">
        <v>112.4</v>
      </c>
      <c r="Z381" s="7">
        <v>-1.2</v>
      </c>
      <c r="AA381" s="7">
        <v>10.8</v>
      </c>
      <c r="AB381" s="7">
        <v>1.62</v>
      </c>
      <c r="AC381" s="7">
        <v>19.399999999999999</v>
      </c>
      <c r="AD381" s="7">
        <v>6.8</v>
      </c>
      <c r="AE381" s="7">
        <v>13.5</v>
      </c>
      <c r="AF381" s="7">
        <v>10.1</v>
      </c>
      <c r="AG381" s="7">
        <v>12</v>
      </c>
      <c r="AH381" s="7">
        <v>52.8</v>
      </c>
      <c r="AI381" s="7">
        <v>54.1</v>
      </c>
      <c r="AJ381" s="7">
        <v>13.4</v>
      </c>
      <c r="AK381" s="7">
        <v>99.53</v>
      </c>
      <c r="AL381" s="7">
        <v>8</v>
      </c>
      <c r="AM381" s="7">
        <v>1126</v>
      </c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1"/>
    </row>
    <row r="382" spans="1:64" ht="13">
      <c r="A382" s="6" t="s">
        <v>803</v>
      </c>
      <c r="B382" s="6" t="s">
        <v>804</v>
      </c>
      <c r="C382" s="31">
        <v>158</v>
      </c>
      <c r="D382" s="24">
        <v>68</v>
      </c>
      <c r="E382" s="24">
        <v>119</v>
      </c>
      <c r="F382" s="8">
        <v>58.1</v>
      </c>
      <c r="G382" s="8">
        <v>0</v>
      </c>
      <c r="H382" s="8">
        <v>0</v>
      </c>
      <c r="I382" s="8">
        <v>22</v>
      </c>
      <c r="J382" s="8">
        <v>32</v>
      </c>
      <c r="K382" s="8">
        <v>63.6</v>
      </c>
      <c r="L382" s="9">
        <v>58</v>
      </c>
      <c r="M382" s="9">
        <v>97</v>
      </c>
      <c r="N382" s="9">
        <v>151</v>
      </c>
      <c r="O382" s="9">
        <v>18</v>
      </c>
      <c r="P382" s="9">
        <v>22</v>
      </c>
      <c r="Q382" s="9">
        <v>14</v>
      </c>
      <c r="R382" s="9">
        <v>29</v>
      </c>
      <c r="S382" s="9">
        <v>50</v>
      </c>
      <c r="T382" s="8">
        <v>475</v>
      </c>
      <c r="U382" s="8">
        <v>2</v>
      </c>
      <c r="V382" s="8">
        <v>0</v>
      </c>
      <c r="W382" s="7">
        <v>-3.6</v>
      </c>
      <c r="X382" s="7">
        <v>101.6</v>
      </c>
      <c r="Y382" s="7">
        <v>117.5</v>
      </c>
      <c r="Z382" s="7">
        <v>-15.9</v>
      </c>
      <c r="AA382" s="7">
        <v>7.2</v>
      </c>
      <c r="AB382" s="7">
        <v>0.74</v>
      </c>
      <c r="AC382" s="7">
        <v>9.9</v>
      </c>
      <c r="AD382" s="7">
        <v>13.3</v>
      </c>
      <c r="AE382" s="7">
        <v>24</v>
      </c>
      <c r="AF382" s="7">
        <v>18.5</v>
      </c>
      <c r="AG382" s="7">
        <v>13.5</v>
      </c>
      <c r="AH382" s="7">
        <v>58.1</v>
      </c>
      <c r="AI382" s="7">
        <v>59.7</v>
      </c>
      <c r="AJ382" s="7">
        <v>16.399999999999999</v>
      </c>
      <c r="AK382" s="7">
        <v>105.46</v>
      </c>
      <c r="AL382" s="7">
        <v>11.3</v>
      </c>
      <c r="AM382" s="7">
        <v>826</v>
      </c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1"/>
    </row>
    <row r="383" spans="1:64" ht="13">
      <c r="A383" s="6" t="s">
        <v>805</v>
      </c>
      <c r="B383" s="6" t="s">
        <v>806</v>
      </c>
      <c r="C383" s="31">
        <v>156</v>
      </c>
      <c r="D383" s="24">
        <v>57</v>
      </c>
      <c r="E383" s="24">
        <v>140</v>
      </c>
      <c r="F383" s="8">
        <v>40.799999999999997</v>
      </c>
      <c r="G383" s="9">
        <v>57</v>
      </c>
      <c r="H383" s="8">
        <v>27.1</v>
      </c>
      <c r="I383" s="8">
        <v>21</v>
      </c>
      <c r="J383" s="8">
        <v>31</v>
      </c>
      <c r="K383" s="8">
        <v>76.7</v>
      </c>
      <c r="L383" s="9">
        <v>26</v>
      </c>
      <c r="M383" s="9">
        <v>42</v>
      </c>
      <c r="N383" s="9">
        <v>68</v>
      </c>
      <c r="O383" s="9">
        <v>26</v>
      </c>
      <c r="P383" s="9">
        <v>31</v>
      </c>
      <c r="Q383" s="9">
        <v>16</v>
      </c>
      <c r="R383" s="9">
        <v>5</v>
      </c>
      <c r="S383" s="9">
        <v>36</v>
      </c>
      <c r="T383" s="8">
        <v>307</v>
      </c>
      <c r="U383" s="8">
        <v>1</v>
      </c>
      <c r="V383" s="8">
        <v>0</v>
      </c>
      <c r="W383" s="7">
        <v>-1.7</v>
      </c>
      <c r="X383" s="7">
        <v>100.6</v>
      </c>
      <c r="Y383" s="7">
        <v>109.8</v>
      </c>
      <c r="Z383" s="7">
        <v>-9.1999999999999993</v>
      </c>
      <c r="AA383" s="7">
        <v>8.3000000000000007</v>
      </c>
      <c r="AB383" s="7">
        <v>0.83</v>
      </c>
      <c r="AC383" s="7">
        <v>11.9</v>
      </c>
      <c r="AD383" s="7">
        <v>4.9000000000000004</v>
      </c>
      <c r="AE383" s="7">
        <v>9.6999999999999993</v>
      </c>
      <c r="AF383" s="7">
        <v>7.1</v>
      </c>
      <c r="AG383" s="7">
        <v>14.3</v>
      </c>
      <c r="AH383" s="7">
        <v>46.5</v>
      </c>
      <c r="AI383" s="7">
        <v>49.9</v>
      </c>
      <c r="AJ383" s="7">
        <v>15.6</v>
      </c>
      <c r="AK383" s="7">
        <v>104.66</v>
      </c>
      <c r="AL383" s="7">
        <v>5.5</v>
      </c>
      <c r="AM383" s="7">
        <v>1005</v>
      </c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1"/>
    </row>
    <row r="384" spans="1:64" ht="13">
      <c r="A384" s="6" t="s">
        <v>807</v>
      </c>
      <c r="B384" s="6" t="s">
        <v>808</v>
      </c>
      <c r="C384" s="31">
        <v>156</v>
      </c>
      <c r="D384" s="24">
        <v>59</v>
      </c>
      <c r="E384" s="24">
        <v>129</v>
      </c>
      <c r="F384" s="8">
        <v>45.7</v>
      </c>
      <c r="G384" s="9">
        <v>51</v>
      </c>
      <c r="H384" s="8">
        <v>32.700000000000003</v>
      </c>
      <c r="I384" s="8">
        <v>23</v>
      </c>
      <c r="J384" s="8">
        <v>35</v>
      </c>
      <c r="K384" s="8">
        <v>65.7</v>
      </c>
      <c r="L384" s="9">
        <v>20</v>
      </c>
      <c r="M384" s="9">
        <v>66</v>
      </c>
      <c r="N384" s="9">
        <v>86</v>
      </c>
      <c r="O384" s="9">
        <v>43</v>
      </c>
      <c r="P384" s="9">
        <v>23</v>
      </c>
      <c r="Q384" s="9">
        <v>27</v>
      </c>
      <c r="R384" s="9">
        <v>12</v>
      </c>
      <c r="S384" s="9">
        <v>35</v>
      </c>
      <c r="T384" s="8">
        <v>421</v>
      </c>
      <c r="U384" s="8">
        <v>1</v>
      </c>
      <c r="V384" s="8">
        <v>0</v>
      </c>
      <c r="W384" s="7">
        <v>-2.9</v>
      </c>
      <c r="X384" s="7">
        <v>104.4</v>
      </c>
      <c r="Y384" s="7">
        <v>114.8</v>
      </c>
      <c r="Z384" s="7">
        <v>-10.4</v>
      </c>
      <c r="AA384" s="7">
        <v>12.3</v>
      </c>
      <c r="AB384" s="7">
        <v>1.91</v>
      </c>
      <c r="AC384" s="7">
        <v>20.8</v>
      </c>
      <c r="AD384" s="7">
        <v>3.8</v>
      </c>
      <c r="AE384" s="7">
        <v>12.3</v>
      </c>
      <c r="AF384" s="7">
        <v>8</v>
      </c>
      <c r="AG384" s="7">
        <v>10.8</v>
      </c>
      <c r="AH384" s="7">
        <v>51.9</v>
      </c>
      <c r="AI384" s="7">
        <v>54.4</v>
      </c>
      <c r="AJ384" s="7">
        <v>13.8</v>
      </c>
      <c r="AK384" s="7">
        <v>99.47</v>
      </c>
      <c r="AL384" s="7">
        <v>7.8</v>
      </c>
      <c r="AM384" s="7">
        <v>1066</v>
      </c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1"/>
    </row>
    <row r="385" spans="1:64" ht="13">
      <c r="A385" s="6" t="s">
        <v>809</v>
      </c>
      <c r="B385" s="6" t="s">
        <v>810</v>
      </c>
      <c r="C385" s="31">
        <v>155</v>
      </c>
      <c r="D385" s="24">
        <v>54</v>
      </c>
      <c r="E385" s="24">
        <v>148</v>
      </c>
      <c r="F385" s="8">
        <v>37.700000000000003</v>
      </c>
      <c r="G385" s="9">
        <v>104</v>
      </c>
      <c r="H385" s="8">
        <v>33.299999999999997</v>
      </c>
      <c r="I385" s="8">
        <v>7</v>
      </c>
      <c r="J385" s="8">
        <v>11</v>
      </c>
      <c r="K385" s="8">
        <v>80</v>
      </c>
      <c r="L385" s="9">
        <v>4</v>
      </c>
      <c r="M385" s="9">
        <v>36</v>
      </c>
      <c r="N385" s="9">
        <v>40</v>
      </c>
      <c r="O385" s="9">
        <v>40</v>
      </c>
      <c r="P385" s="9">
        <v>11</v>
      </c>
      <c r="Q385" s="9">
        <v>14</v>
      </c>
      <c r="R385" s="9">
        <v>4</v>
      </c>
      <c r="S385" s="9">
        <v>14</v>
      </c>
      <c r="T385" s="8">
        <v>295</v>
      </c>
      <c r="U385" s="8">
        <v>0</v>
      </c>
      <c r="V385" s="8">
        <v>0</v>
      </c>
      <c r="W385" s="7">
        <v>1</v>
      </c>
      <c r="X385" s="7">
        <v>114.8</v>
      </c>
      <c r="Y385" s="7">
        <v>111.5</v>
      </c>
      <c r="Z385" s="7">
        <v>3.3</v>
      </c>
      <c r="AA385" s="7">
        <v>16.600000000000001</v>
      </c>
      <c r="AB385" s="7">
        <v>3.64</v>
      </c>
      <c r="AC385" s="7">
        <v>19.899999999999999</v>
      </c>
      <c r="AD385" s="7">
        <v>1.2</v>
      </c>
      <c r="AE385" s="7">
        <v>9.4</v>
      </c>
      <c r="AF385" s="7">
        <v>5.4</v>
      </c>
      <c r="AG385" s="7">
        <v>5.5</v>
      </c>
      <c r="AH385" s="7">
        <v>49.7</v>
      </c>
      <c r="AI385" s="7">
        <v>50.9</v>
      </c>
      <c r="AJ385" s="7">
        <v>20</v>
      </c>
      <c r="AK385" s="7">
        <v>106.46</v>
      </c>
      <c r="AL385" s="7">
        <v>8.1999999999999993</v>
      </c>
      <c r="AM385" s="7">
        <v>717</v>
      </c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1"/>
    </row>
    <row r="386" spans="1:64" ht="13">
      <c r="A386" s="6" t="s">
        <v>811</v>
      </c>
      <c r="B386" s="6" t="s">
        <v>812</v>
      </c>
      <c r="C386" s="31">
        <v>152</v>
      </c>
      <c r="D386" s="24">
        <v>56</v>
      </c>
      <c r="E386" s="24">
        <v>125</v>
      </c>
      <c r="F386" s="8">
        <v>45.6</v>
      </c>
      <c r="G386" s="9">
        <v>59</v>
      </c>
      <c r="H386" s="8">
        <v>31.1</v>
      </c>
      <c r="I386" s="8">
        <v>20</v>
      </c>
      <c r="J386" s="8">
        <v>26</v>
      </c>
      <c r="K386" s="8">
        <v>76.900000000000006</v>
      </c>
      <c r="L386" s="9">
        <v>13</v>
      </c>
      <c r="M386" s="9">
        <v>73</v>
      </c>
      <c r="N386" s="9">
        <v>83</v>
      </c>
      <c r="O386" s="9">
        <v>36</v>
      </c>
      <c r="P386" s="9">
        <v>23</v>
      </c>
      <c r="Q386" s="9">
        <v>13</v>
      </c>
      <c r="R386" s="9">
        <v>10</v>
      </c>
      <c r="S386" s="9">
        <v>20</v>
      </c>
      <c r="T386" s="8">
        <v>353</v>
      </c>
      <c r="U386" s="8">
        <v>0</v>
      </c>
      <c r="V386" s="8">
        <v>0</v>
      </c>
      <c r="W386" s="7">
        <v>-2.2999999999999998</v>
      </c>
      <c r="X386" s="7">
        <v>106.4</v>
      </c>
      <c r="Y386" s="7">
        <v>114.6</v>
      </c>
      <c r="Z386" s="7">
        <v>-8.1999999999999993</v>
      </c>
      <c r="AA386" s="7">
        <v>12.1</v>
      </c>
      <c r="AB386" s="7">
        <v>1.59</v>
      </c>
      <c r="AC386" s="7">
        <v>18</v>
      </c>
      <c r="AD386" s="7">
        <v>3</v>
      </c>
      <c r="AE386" s="7">
        <v>17.7</v>
      </c>
      <c r="AF386" s="7">
        <v>10.1</v>
      </c>
      <c r="AG386" s="7">
        <v>11.3</v>
      </c>
      <c r="AH386" s="7">
        <v>53.2</v>
      </c>
      <c r="AI386" s="7">
        <v>56.1</v>
      </c>
      <c r="AJ386" s="7">
        <v>15.9</v>
      </c>
      <c r="AK386" s="7">
        <v>104.43</v>
      </c>
      <c r="AL386" s="7">
        <v>8.9</v>
      </c>
      <c r="AM386" s="7">
        <v>890</v>
      </c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1"/>
    </row>
    <row r="387" spans="1:64" ht="13">
      <c r="A387" s="6" t="s">
        <v>813</v>
      </c>
      <c r="B387" s="6" t="s">
        <v>814</v>
      </c>
      <c r="C387" s="31">
        <v>152</v>
      </c>
      <c r="D387" s="24">
        <v>59</v>
      </c>
      <c r="E387" s="24">
        <v>133</v>
      </c>
      <c r="F387" s="8">
        <v>43.3</v>
      </c>
      <c r="G387" s="9">
        <v>37</v>
      </c>
      <c r="H387" s="8">
        <v>21.1</v>
      </c>
      <c r="I387" s="8">
        <v>30</v>
      </c>
      <c r="J387" s="8">
        <v>33</v>
      </c>
      <c r="K387" s="8">
        <v>80</v>
      </c>
      <c r="L387" s="9">
        <v>22</v>
      </c>
      <c r="M387" s="9">
        <v>33</v>
      </c>
      <c r="N387" s="9">
        <v>59</v>
      </c>
      <c r="O387" s="9">
        <v>33</v>
      </c>
      <c r="P387" s="9">
        <v>26</v>
      </c>
      <c r="Q387" s="9">
        <v>19</v>
      </c>
      <c r="R387" s="9">
        <v>4</v>
      </c>
      <c r="S387" s="9">
        <v>26</v>
      </c>
      <c r="T387" s="8">
        <v>311</v>
      </c>
      <c r="U387" s="8">
        <v>0</v>
      </c>
      <c r="V387" s="8">
        <v>0</v>
      </c>
      <c r="W387" s="7">
        <v>-1.7</v>
      </c>
      <c r="X387" s="7">
        <v>103.8</v>
      </c>
      <c r="Y387" s="7">
        <v>109.8</v>
      </c>
      <c r="Z387" s="7">
        <v>-6</v>
      </c>
      <c r="AA387" s="7">
        <v>12.4</v>
      </c>
      <c r="AB387" s="7">
        <v>1.31</v>
      </c>
      <c r="AC387" s="7">
        <v>16.2</v>
      </c>
      <c r="AD387" s="7">
        <v>5.3</v>
      </c>
      <c r="AE387" s="7">
        <v>8.4</v>
      </c>
      <c r="AF387" s="7">
        <v>6.8</v>
      </c>
      <c r="AG387" s="7">
        <v>12.4</v>
      </c>
      <c r="AH387" s="7">
        <v>46.3</v>
      </c>
      <c r="AI387" s="7">
        <v>50.9</v>
      </c>
      <c r="AJ387" s="7">
        <v>17.5</v>
      </c>
      <c r="AK387" s="7">
        <v>100.15</v>
      </c>
      <c r="AL387" s="7">
        <v>7</v>
      </c>
      <c r="AM387" s="7">
        <v>872</v>
      </c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1"/>
    </row>
    <row r="388" spans="1:64" ht="13">
      <c r="A388" s="6" t="s">
        <v>815</v>
      </c>
      <c r="B388" s="6" t="s">
        <v>816</v>
      </c>
      <c r="C388" s="31">
        <v>152</v>
      </c>
      <c r="D388" s="24">
        <v>56</v>
      </c>
      <c r="E388" s="24">
        <v>146</v>
      </c>
      <c r="F388" s="8">
        <v>38.1</v>
      </c>
      <c r="G388" s="9">
        <v>78</v>
      </c>
      <c r="H388" s="8">
        <v>28.6</v>
      </c>
      <c r="I388" s="8">
        <v>19</v>
      </c>
      <c r="J388" s="8">
        <v>22</v>
      </c>
      <c r="K388" s="8">
        <v>85.7</v>
      </c>
      <c r="L388" s="9">
        <v>25</v>
      </c>
      <c r="M388" s="9">
        <v>28</v>
      </c>
      <c r="N388" s="9">
        <v>53</v>
      </c>
      <c r="O388" s="9">
        <v>37</v>
      </c>
      <c r="P388" s="9">
        <v>22</v>
      </c>
      <c r="Q388" s="9">
        <v>31</v>
      </c>
      <c r="R388" s="9">
        <v>9</v>
      </c>
      <c r="S388" s="9">
        <v>37</v>
      </c>
      <c r="T388" s="8">
        <v>375</v>
      </c>
      <c r="U388" s="8">
        <v>0</v>
      </c>
      <c r="V388" s="8">
        <v>0</v>
      </c>
      <c r="W388" s="7">
        <v>-2.8</v>
      </c>
      <c r="X388" s="7">
        <v>101.9</v>
      </c>
      <c r="Y388" s="7">
        <v>111.1</v>
      </c>
      <c r="Z388" s="7">
        <v>-9.1999999999999993</v>
      </c>
      <c r="AA388" s="7">
        <v>14.1</v>
      </c>
      <c r="AB388" s="7">
        <v>1.73</v>
      </c>
      <c r="AC388" s="7">
        <v>17.5</v>
      </c>
      <c r="AD388" s="7">
        <v>5.6</v>
      </c>
      <c r="AE388" s="7">
        <v>7.1</v>
      </c>
      <c r="AF388" s="7">
        <v>6.3</v>
      </c>
      <c r="AG388" s="7">
        <v>10.1</v>
      </c>
      <c r="AH388" s="7">
        <v>45.6</v>
      </c>
      <c r="AI388" s="7">
        <v>48.6</v>
      </c>
      <c r="AJ388" s="7">
        <v>17.600000000000001</v>
      </c>
      <c r="AK388" s="7">
        <v>98.95</v>
      </c>
      <c r="AL388" s="7">
        <v>7.1</v>
      </c>
      <c r="AM388" s="7">
        <v>885</v>
      </c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1"/>
    </row>
    <row r="389" spans="1:64" ht="13">
      <c r="A389" s="13" t="s">
        <v>817</v>
      </c>
      <c r="B389" s="6" t="s">
        <v>818</v>
      </c>
      <c r="C389" s="31">
        <v>151</v>
      </c>
      <c r="D389" s="24">
        <v>58</v>
      </c>
      <c r="E389" s="24">
        <v>126</v>
      </c>
      <c r="F389" s="8">
        <v>46.8</v>
      </c>
      <c r="G389" s="9">
        <v>40</v>
      </c>
      <c r="H389" s="8">
        <v>34.1</v>
      </c>
      <c r="I389" s="8">
        <v>18</v>
      </c>
      <c r="J389" s="8">
        <v>22</v>
      </c>
      <c r="K389" s="8">
        <v>81.8</v>
      </c>
      <c r="L389" s="9">
        <v>29</v>
      </c>
      <c r="M389" s="9">
        <v>65</v>
      </c>
      <c r="N389" s="9">
        <v>94</v>
      </c>
      <c r="O389" s="9">
        <v>43</v>
      </c>
      <c r="P389" s="9">
        <v>29</v>
      </c>
      <c r="Q389" s="9">
        <v>22</v>
      </c>
      <c r="R389" s="9">
        <v>4</v>
      </c>
      <c r="S389" s="9">
        <v>32</v>
      </c>
      <c r="T389" s="8">
        <v>374</v>
      </c>
      <c r="U389" s="8">
        <v>1</v>
      </c>
      <c r="V389" s="8">
        <v>0</v>
      </c>
      <c r="W389" s="7">
        <v>-3.7</v>
      </c>
      <c r="X389" s="7">
        <v>99.6</v>
      </c>
      <c r="Y389" s="7">
        <v>112</v>
      </c>
      <c r="Z389" s="7">
        <v>-12.4</v>
      </c>
      <c r="AA389" s="7">
        <v>13</v>
      </c>
      <c r="AB389" s="7">
        <v>1.56</v>
      </c>
      <c r="AC389" s="7">
        <v>20.6</v>
      </c>
      <c r="AD389" s="7">
        <v>5.3</v>
      </c>
      <c r="AE389" s="7">
        <v>13.2</v>
      </c>
      <c r="AF389" s="7">
        <v>9</v>
      </c>
      <c r="AG389" s="7">
        <v>13.2</v>
      </c>
      <c r="AH389" s="7">
        <v>52.4</v>
      </c>
      <c r="AI389" s="7">
        <v>55.3</v>
      </c>
      <c r="AJ389" s="7">
        <v>13.3</v>
      </c>
      <c r="AK389" s="7">
        <v>100.73</v>
      </c>
      <c r="AL389" s="7">
        <v>8.3000000000000007</v>
      </c>
      <c r="AM389" s="7">
        <v>1045</v>
      </c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1"/>
    </row>
    <row r="390" spans="1:64" ht="13">
      <c r="A390" s="6" t="s">
        <v>819</v>
      </c>
      <c r="B390" s="6" t="s">
        <v>820</v>
      </c>
      <c r="C390" s="31">
        <v>149</v>
      </c>
      <c r="D390" s="24">
        <v>48</v>
      </c>
      <c r="E390" s="24">
        <v>118</v>
      </c>
      <c r="F390" s="8">
        <v>39.799999999999997</v>
      </c>
      <c r="G390" s="9">
        <v>82</v>
      </c>
      <c r="H390" s="8">
        <v>39</v>
      </c>
      <c r="I390" s="8">
        <v>24</v>
      </c>
      <c r="J390" s="8">
        <v>26</v>
      </c>
      <c r="K390" s="8">
        <v>88.5</v>
      </c>
      <c r="L390" s="9">
        <v>5</v>
      </c>
      <c r="M390" s="9">
        <v>19</v>
      </c>
      <c r="N390" s="9">
        <v>24</v>
      </c>
      <c r="O390" s="9">
        <v>31</v>
      </c>
      <c r="P390" s="9">
        <v>24</v>
      </c>
      <c r="Q390" s="9">
        <v>19</v>
      </c>
      <c r="R390" s="9">
        <v>5</v>
      </c>
      <c r="S390" s="9">
        <v>29</v>
      </c>
      <c r="T390" s="8">
        <v>269</v>
      </c>
      <c r="U390" s="8">
        <v>0</v>
      </c>
      <c r="V390" s="8">
        <v>0</v>
      </c>
      <c r="W390" s="7">
        <v>-1.3</v>
      </c>
      <c r="X390" s="7">
        <v>102</v>
      </c>
      <c r="Y390" s="7">
        <v>108.1</v>
      </c>
      <c r="Z390" s="7">
        <v>-6.1</v>
      </c>
      <c r="AA390" s="7">
        <v>24.6</v>
      </c>
      <c r="AB390" s="7">
        <v>1.28</v>
      </c>
      <c r="AC390" s="7">
        <v>17.3</v>
      </c>
      <c r="AD390" s="7">
        <v>2</v>
      </c>
      <c r="AE390" s="7">
        <v>8.3000000000000007</v>
      </c>
      <c r="AF390" s="7">
        <v>5.0999999999999996</v>
      </c>
      <c r="AG390" s="7">
        <v>13.5</v>
      </c>
      <c r="AH390" s="7">
        <v>53.4</v>
      </c>
      <c r="AI390" s="7">
        <v>57.6</v>
      </c>
      <c r="AJ390" s="7">
        <v>27.4</v>
      </c>
      <c r="AK390" s="7">
        <v>98.61</v>
      </c>
      <c r="AL390" s="7">
        <v>10.8</v>
      </c>
      <c r="AM390" s="7">
        <v>490</v>
      </c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1"/>
    </row>
    <row r="391" spans="1:64" ht="13">
      <c r="A391" s="6" t="s">
        <v>821</v>
      </c>
      <c r="B391" s="6" t="s">
        <v>822</v>
      </c>
      <c r="C391" s="31">
        <v>148</v>
      </c>
      <c r="D391" s="24">
        <v>58</v>
      </c>
      <c r="E391" s="24">
        <v>122</v>
      </c>
      <c r="F391" s="8">
        <v>48.8</v>
      </c>
      <c r="G391" s="9">
        <v>32</v>
      </c>
      <c r="H391" s="8">
        <v>28.1</v>
      </c>
      <c r="I391" s="8">
        <v>22</v>
      </c>
      <c r="J391" s="8">
        <v>36</v>
      </c>
      <c r="K391" s="8">
        <v>55.6</v>
      </c>
      <c r="L391" s="9">
        <v>68</v>
      </c>
      <c r="M391" s="9">
        <v>115</v>
      </c>
      <c r="N391" s="9">
        <v>184</v>
      </c>
      <c r="O391" s="9">
        <v>40</v>
      </c>
      <c r="P391" s="9">
        <v>29</v>
      </c>
      <c r="Q391" s="9">
        <v>36</v>
      </c>
      <c r="R391" s="9">
        <v>11</v>
      </c>
      <c r="S391" s="9">
        <v>68</v>
      </c>
      <c r="T391" s="8">
        <v>533</v>
      </c>
      <c r="U391" s="8">
        <v>0</v>
      </c>
      <c r="V391" s="8">
        <v>0</v>
      </c>
      <c r="W391" s="7">
        <v>1</v>
      </c>
      <c r="X391" s="7">
        <v>115.6</v>
      </c>
      <c r="Y391" s="7">
        <v>112.2</v>
      </c>
      <c r="Z391" s="7">
        <v>3.3</v>
      </c>
      <c r="AA391" s="7">
        <v>9.4</v>
      </c>
      <c r="AB391" s="7">
        <v>1.41</v>
      </c>
      <c r="AC391" s="7">
        <v>19.899999999999999</v>
      </c>
      <c r="AD391" s="7">
        <v>11.4</v>
      </c>
      <c r="AE391" s="7">
        <v>19.399999999999999</v>
      </c>
      <c r="AF391" s="7">
        <v>15.4</v>
      </c>
      <c r="AG391" s="7">
        <v>14.1</v>
      </c>
      <c r="AH391" s="7">
        <v>52.5</v>
      </c>
      <c r="AI391" s="7">
        <v>53.7</v>
      </c>
      <c r="AJ391" s="7">
        <v>11.6</v>
      </c>
      <c r="AK391" s="7">
        <v>100.61</v>
      </c>
      <c r="AL391" s="7">
        <v>8.1999999999999993</v>
      </c>
      <c r="AM391" s="7">
        <v>1215</v>
      </c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1"/>
    </row>
    <row r="392" spans="1:64" ht="13">
      <c r="A392" s="6" t="s">
        <v>823</v>
      </c>
      <c r="B392" s="6" t="s">
        <v>824</v>
      </c>
      <c r="C392" s="31">
        <v>147</v>
      </c>
      <c r="D392" s="24">
        <v>60</v>
      </c>
      <c r="E392" s="24">
        <v>112</v>
      </c>
      <c r="F392" s="8">
        <v>53.1</v>
      </c>
      <c r="G392" s="9">
        <v>28</v>
      </c>
      <c r="H392" s="8">
        <v>25.9</v>
      </c>
      <c r="I392" s="8">
        <v>21</v>
      </c>
      <c r="J392" s="8">
        <v>32</v>
      </c>
      <c r="K392" s="8">
        <v>63.6</v>
      </c>
      <c r="L392" s="9">
        <v>35</v>
      </c>
      <c r="M392" s="9">
        <v>49</v>
      </c>
      <c r="N392" s="9">
        <v>84</v>
      </c>
      <c r="O392" s="9">
        <v>18</v>
      </c>
      <c r="P392" s="9">
        <v>4</v>
      </c>
      <c r="Q392" s="9">
        <v>11</v>
      </c>
      <c r="R392" s="9">
        <v>18</v>
      </c>
      <c r="S392" s="9">
        <v>46</v>
      </c>
      <c r="T392" s="8">
        <v>350</v>
      </c>
      <c r="U392" s="8">
        <v>1</v>
      </c>
      <c r="V392" s="8">
        <v>0</v>
      </c>
      <c r="W392" s="7">
        <v>-0.1</v>
      </c>
      <c r="X392" s="7">
        <v>110.2</v>
      </c>
      <c r="Y392" s="7">
        <v>111.8</v>
      </c>
      <c r="Z392" s="7">
        <v>-1.6</v>
      </c>
      <c r="AA392" s="7">
        <v>7</v>
      </c>
      <c r="AB392" s="7">
        <v>3.8</v>
      </c>
      <c r="AC392" s="7">
        <v>12.7</v>
      </c>
      <c r="AD392" s="7">
        <v>9.1</v>
      </c>
      <c r="AE392" s="7">
        <v>13.9</v>
      </c>
      <c r="AF392" s="7">
        <v>11.4</v>
      </c>
      <c r="AG392" s="7">
        <v>3.3</v>
      </c>
      <c r="AH392" s="7">
        <v>56.2</v>
      </c>
      <c r="AI392" s="7">
        <v>58</v>
      </c>
      <c r="AJ392" s="7">
        <v>14.1</v>
      </c>
      <c r="AK392" s="7">
        <v>104.7</v>
      </c>
      <c r="AL392" s="7">
        <v>8.1999999999999993</v>
      </c>
      <c r="AM392" s="7">
        <v>823</v>
      </c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1"/>
    </row>
    <row r="393" spans="1:64" ht="13">
      <c r="A393" s="6" t="s">
        <v>825</v>
      </c>
      <c r="B393" s="6" t="s">
        <v>826</v>
      </c>
      <c r="C393" s="31">
        <v>147</v>
      </c>
      <c r="D393" s="24">
        <v>50</v>
      </c>
      <c r="E393" s="24">
        <v>118</v>
      </c>
      <c r="F393" s="8">
        <v>42.7</v>
      </c>
      <c r="G393" s="9">
        <v>101</v>
      </c>
      <c r="H393" s="8">
        <v>43.6</v>
      </c>
      <c r="I393" s="8">
        <v>4</v>
      </c>
      <c r="J393" s="8">
        <v>4</v>
      </c>
      <c r="K393" s="8">
        <v>60</v>
      </c>
      <c r="L393" s="9">
        <v>4</v>
      </c>
      <c r="M393" s="9">
        <v>21</v>
      </c>
      <c r="N393" s="9">
        <v>21</v>
      </c>
      <c r="O393" s="9">
        <v>8</v>
      </c>
      <c r="P393" s="9">
        <v>4</v>
      </c>
      <c r="Q393" s="9">
        <v>4</v>
      </c>
      <c r="R393" s="8">
        <v>0</v>
      </c>
      <c r="S393" s="9">
        <v>29</v>
      </c>
      <c r="T393" s="8">
        <v>197</v>
      </c>
      <c r="U393" s="8">
        <v>0</v>
      </c>
      <c r="V393" s="8">
        <v>0</v>
      </c>
      <c r="W393" s="7">
        <v>0.6</v>
      </c>
      <c r="X393" s="7">
        <v>111.5</v>
      </c>
      <c r="Y393" s="7">
        <v>109.9</v>
      </c>
      <c r="Z393" s="7">
        <v>1.6</v>
      </c>
      <c r="AA393" s="7">
        <v>2.8</v>
      </c>
      <c r="AB393" s="7">
        <v>1.17</v>
      </c>
      <c r="AC393" s="7">
        <v>5.3</v>
      </c>
      <c r="AD393" s="7">
        <v>0.9</v>
      </c>
      <c r="AE393" s="7">
        <v>5.4</v>
      </c>
      <c r="AF393" s="7">
        <v>3.1</v>
      </c>
      <c r="AG393" s="7">
        <v>4.5</v>
      </c>
      <c r="AH393" s="7">
        <v>61.5</v>
      </c>
      <c r="AI393" s="7">
        <v>61.7</v>
      </c>
      <c r="AJ393" s="7">
        <v>15</v>
      </c>
      <c r="AK393" s="7">
        <v>101.3</v>
      </c>
      <c r="AL393" s="7">
        <v>5.0999999999999996</v>
      </c>
      <c r="AM393" s="7">
        <v>728</v>
      </c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1"/>
    </row>
    <row r="394" spans="1:64" ht="13">
      <c r="A394" s="6" t="s">
        <v>827</v>
      </c>
      <c r="B394" s="6" t="s">
        <v>828</v>
      </c>
      <c r="C394" s="31">
        <v>144</v>
      </c>
      <c r="D394" s="24">
        <v>53</v>
      </c>
      <c r="E394" s="24">
        <v>134</v>
      </c>
      <c r="F394" s="8">
        <v>38.299999999999997</v>
      </c>
      <c r="G394" s="9">
        <v>101</v>
      </c>
      <c r="H394" s="8">
        <v>35.6</v>
      </c>
      <c r="I394" s="8">
        <v>5</v>
      </c>
      <c r="J394" s="8">
        <v>14</v>
      </c>
      <c r="K394" s="8">
        <v>58.3</v>
      </c>
      <c r="L394" s="9">
        <v>19</v>
      </c>
      <c r="M394" s="9">
        <v>43</v>
      </c>
      <c r="N394" s="9">
        <v>62</v>
      </c>
      <c r="O394" s="9">
        <v>29</v>
      </c>
      <c r="P394" s="9">
        <v>19</v>
      </c>
      <c r="Q394" s="9">
        <v>24</v>
      </c>
      <c r="R394" s="9">
        <v>14</v>
      </c>
      <c r="S394" s="9">
        <v>43</v>
      </c>
      <c r="T394" s="8">
        <v>365</v>
      </c>
      <c r="U394" s="8">
        <v>0</v>
      </c>
      <c r="V394" s="8">
        <v>0</v>
      </c>
      <c r="W394" s="7">
        <v>1.8</v>
      </c>
      <c r="X394" s="7">
        <v>110.4</v>
      </c>
      <c r="Y394" s="7">
        <v>103.2</v>
      </c>
      <c r="Z394" s="7">
        <v>7.2</v>
      </c>
      <c r="AA394" s="7">
        <v>5.8</v>
      </c>
      <c r="AB394" s="7">
        <v>1.76</v>
      </c>
      <c r="AC394" s="7">
        <v>16.3</v>
      </c>
      <c r="AD394" s="7">
        <v>2.6</v>
      </c>
      <c r="AE394" s="7">
        <v>6.3</v>
      </c>
      <c r="AF394" s="7">
        <v>4.4000000000000004</v>
      </c>
      <c r="AG394" s="7">
        <v>9.1999999999999993</v>
      </c>
      <c r="AH394" s="7">
        <v>51.9</v>
      </c>
      <c r="AI394" s="7">
        <v>52.4</v>
      </c>
      <c r="AJ394" s="7">
        <v>9</v>
      </c>
      <c r="AK394" s="7">
        <v>99.58</v>
      </c>
      <c r="AL394" s="7">
        <v>4.3</v>
      </c>
      <c r="AM394" s="7">
        <v>1465</v>
      </c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1"/>
    </row>
    <row r="395" spans="1:64" ht="13">
      <c r="A395" s="6" t="s">
        <v>829</v>
      </c>
      <c r="B395" s="6" t="s">
        <v>830</v>
      </c>
      <c r="C395" s="31">
        <v>143</v>
      </c>
      <c r="D395" s="24">
        <v>67</v>
      </c>
      <c r="E395" s="24">
        <v>115</v>
      </c>
      <c r="F395" s="8">
        <v>58.8</v>
      </c>
      <c r="G395" s="8">
        <v>0</v>
      </c>
      <c r="H395" s="8">
        <v>0</v>
      </c>
      <c r="I395" s="8">
        <v>11</v>
      </c>
      <c r="J395" s="8">
        <v>25</v>
      </c>
      <c r="K395" s="8">
        <v>40</v>
      </c>
      <c r="L395" s="9">
        <v>42</v>
      </c>
      <c r="M395" s="9">
        <v>115</v>
      </c>
      <c r="N395" s="9">
        <v>157</v>
      </c>
      <c r="O395" s="9">
        <v>31</v>
      </c>
      <c r="P395" s="9">
        <v>28</v>
      </c>
      <c r="Q395" s="9">
        <v>17</v>
      </c>
      <c r="R395" s="9">
        <v>22</v>
      </c>
      <c r="S395" s="9">
        <v>53</v>
      </c>
      <c r="T395" s="8">
        <v>470</v>
      </c>
      <c r="U395" s="8">
        <v>3</v>
      </c>
      <c r="V395" s="8">
        <v>0</v>
      </c>
      <c r="W395" s="7">
        <v>-3.6</v>
      </c>
      <c r="X395" s="7">
        <v>108.7</v>
      </c>
      <c r="Y395" s="7">
        <v>117.9</v>
      </c>
      <c r="Z395" s="7">
        <v>-9.1999999999999993</v>
      </c>
      <c r="AA395" s="7">
        <v>7.9</v>
      </c>
      <c r="AB395" s="7">
        <v>1.1499999999999999</v>
      </c>
      <c r="AC395" s="7">
        <v>16.899999999999999</v>
      </c>
      <c r="AD395" s="7">
        <v>8</v>
      </c>
      <c r="AE395" s="7">
        <v>20.7</v>
      </c>
      <c r="AF395" s="7">
        <v>14.4</v>
      </c>
      <c r="AG395" s="7">
        <v>14.8</v>
      </c>
      <c r="AH395" s="7">
        <v>58.8</v>
      </c>
      <c r="AI395" s="7">
        <v>57.6</v>
      </c>
      <c r="AJ395" s="7">
        <v>12.4</v>
      </c>
      <c r="AK395" s="7">
        <v>100.23</v>
      </c>
      <c r="AL395" s="7">
        <v>8</v>
      </c>
      <c r="AM395" s="7">
        <v>1102</v>
      </c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1"/>
    </row>
    <row r="396" spans="1:64" ht="13">
      <c r="A396" s="13" t="s">
        <v>831</v>
      </c>
      <c r="B396" s="6" t="s">
        <v>832</v>
      </c>
      <c r="C396" s="31">
        <v>141</v>
      </c>
      <c r="D396" s="24">
        <v>53</v>
      </c>
      <c r="E396" s="24">
        <v>109</v>
      </c>
      <c r="F396" s="8">
        <v>48.6</v>
      </c>
      <c r="G396" s="9">
        <v>43</v>
      </c>
      <c r="H396" s="8">
        <v>32.6</v>
      </c>
      <c r="I396" s="8">
        <v>22</v>
      </c>
      <c r="J396" s="8">
        <v>29</v>
      </c>
      <c r="K396" s="8">
        <v>73.3</v>
      </c>
      <c r="L396" s="9">
        <v>13</v>
      </c>
      <c r="M396" s="9">
        <v>46</v>
      </c>
      <c r="N396" s="9">
        <v>57</v>
      </c>
      <c r="O396" s="9">
        <v>13</v>
      </c>
      <c r="P396" s="9">
        <v>13</v>
      </c>
      <c r="Q396" s="9">
        <v>10</v>
      </c>
      <c r="R396" s="9">
        <v>10</v>
      </c>
      <c r="S396" s="9">
        <v>29</v>
      </c>
      <c r="T396" s="8">
        <v>279</v>
      </c>
      <c r="U396" s="8">
        <v>1</v>
      </c>
      <c r="V396" s="8">
        <v>0</v>
      </c>
      <c r="W396" s="7">
        <v>-10.4</v>
      </c>
      <c r="X396" s="7">
        <v>100.7</v>
      </c>
      <c r="Y396" s="7">
        <v>121.2</v>
      </c>
      <c r="Z396" s="7">
        <v>-20.5</v>
      </c>
      <c r="AA396" s="7">
        <v>6.2</v>
      </c>
      <c r="AB396" s="7">
        <v>1.08</v>
      </c>
      <c r="AC396" s="7">
        <v>8.8000000000000007</v>
      </c>
      <c r="AD396" s="7">
        <v>3.4</v>
      </c>
      <c r="AE396" s="7">
        <v>13.6</v>
      </c>
      <c r="AF396" s="7">
        <v>8.4</v>
      </c>
      <c r="AG396" s="7">
        <v>8.1999999999999993</v>
      </c>
      <c r="AH396" s="7">
        <v>55</v>
      </c>
      <c r="AI396" s="7">
        <v>58.1</v>
      </c>
      <c r="AJ396" s="7">
        <v>16.899999999999999</v>
      </c>
      <c r="AK396" s="7">
        <v>101.63</v>
      </c>
      <c r="AL396" s="7">
        <v>7.9</v>
      </c>
      <c r="AM396" s="7">
        <v>702</v>
      </c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1"/>
    </row>
    <row r="397" spans="1:64" ht="13">
      <c r="A397" s="6" t="s">
        <v>833</v>
      </c>
      <c r="B397" s="6" t="s">
        <v>834</v>
      </c>
      <c r="C397" s="31">
        <v>141</v>
      </c>
      <c r="D397" s="24">
        <v>56</v>
      </c>
      <c r="E397" s="24">
        <v>126</v>
      </c>
      <c r="F397" s="8">
        <v>43.2</v>
      </c>
      <c r="G397" s="9">
        <v>70</v>
      </c>
      <c r="H397" s="8">
        <v>32.4</v>
      </c>
      <c r="I397" s="8">
        <v>11</v>
      </c>
      <c r="J397" s="8">
        <v>15</v>
      </c>
      <c r="K397" s="8">
        <v>68.8</v>
      </c>
      <c r="L397" s="9">
        <v>19</v>
      </c>
      <c r="M397" s="9">
        <v>63</v>
      </c>
      <c r="N397" s="9">
        <v>81</v>
      </c>
      <c r="O397" s="9">
        <v>30</v>
      </c>
      <c r="P397" s="9">
        <v>19</v>
      </c>
      <c r="Q397" s="9">
        <v>19</v>
      </c>
      <c r="R397" s="9">
        <v>7</v>
      </c>
      <c r="S397" s="9">
        <v>33</v>
      </c>
      <c r="T397" s="8">
        <v>340</v>
      </c>
      <c r="U397" s="8">
        <v>0</v>
      </c>
      <c r="V397" s="8">
        <v>0</v>
      </c>
      <c r="W397" s="7">
        <v>1.2</v>
      </c>
      <c r="X397" s="7">
        <v>104.3</v>
      </c>
      <c r="Y397" s="7">
        <v>99.2</v>
      </c>
      <c r="Z397" s="7">
        <v>5.0999999999999996</v>
      </c>
      <c r="AA397" s="7">
        <v>10.7</v>
      </c>
      <c r="AB397" s="7">
        <v>1.72</v>
      </c>
      <c r="AC397" s="7">
        <v>17.100000000000001</v>
      </c>
      <c r="AD397" s="7">
        <v>4</v>
      </c>
      <c r="AE397" s="7">
        <v>14.2</v>
      </c>
      <c r="AF397" s="7">
        <v>9.1</v>
      </c>
      <c r="AG397" s="7">
        <v>9.9</v>
      </c>
      <c r="AH397" s="7">
        <v>52.4</v>
      </c>
      <c r="AI397" s="7">
        <v>53.8</v>
      </c>
      <c r="AJ397" s="7">
        <v>15.2</v>
      </c>
      <c r="AK397" s="7">
        <v>102.86</v>
      </c>
      <c r="AL397" s="7">
        <v>8.8000000000000007</v>
      </c>
      <c r="AM397" s="7">
        <v>868</v>
      </c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1"/>
    </row>
    <row r="398" spans="1:64" ht="13">
      <c r="A398" s="13" t="s">
        <v>835</v>
      </c>
      <c r="B398" s="6" t="s">
        <v>836</v>
      </c>
      <c r="C398" s="31">
        <v>138</v>
      </c>
      <c r="D398" s="24">
        <v>54</v>
      </c>
      <c r="E398" s="24">
        <v>115</v>
      </c>
      <c r="F398" s="8">
        <v>48.2</v>
      </c>
      <c r="G398" s="9">
        <v>32</v>
      </c>
      <c r="H398" s="8">
        <v>35.5</v>
      </c>
      <c r="I398" s="8">
        <v>16</v>
      </c>
      <c r="J398" s="8">
        <v>22</v>
      </c>
      <c r="K398" s="8">
        <v>81</v>
      </c>
      <c r="L398" s="9">
        <v>10</v>
      </c>
      <c r="M398" s="9">
        <v>38</v>
      </c>
      <c r="N398" s="9">
        <v>48</v>
      </c>
      <c r="O398" s="9">
        <v>32</v>
      </c>
      <c r="P398" s="9">
        <v>16</v>
      </c>
      <c r="Q398" s="9">
        <v>6</v>
      </c>
      <c r="R398" s="9">
        <v>6</v>
      </c>
      <c r="S398" s="9">
        <v>26</v>
      </c>
      <c r="T398" s="8">
        <v>262</v>
      </c>
      <c r="U398" s="8">
        <v>1</v>
      </c>
      <c r="V398" s="8">
        <v>0</v>
      </c>
      <c r="W398" s="7">
        <v>0.3</v>
      </c>
      <c r="X398" s="7">
        <v>107.8</v>
      </c>
      <c r="Y398" s="7">
        <v>107</v>
      </c>
      <c r="Z398" s="7">
        <v>0.8</v>
      </c>
      <c r="AA398" s="7">
        <v>13.9</v>
      </c>
      <c r="AB398" s="7">
        <v>2.13</v>
      </c>
      <c r="AC398" s="7">
        <v>18.8</v>
      </c>
      <c r="AD398" s="7">
        <v>2.9</v>
      </c>
      <c r="AE398" s="7">
        <v>10</v>
      </c>
      <c r="AF398" s="7">
        <v>6.5</v>
      </c>
      <c r="AG398" s="7">
        <v>8.8000000000000007</v>
      </c>
      <c r="AH398" s="7">
        <v>53.1</v>
      </c>
      <c r="AI398" s="7">
        <v>56</v>
      </c>
      <c r="AJ398" s="7">
        <v>16.600000000000001</v>
      </c>
      <c r="AK398" s="7">
        <v>103.77</v>
      </c>
      <c r="AL398" s="7">
        <v>8.1999999999999993</v>
      </c>
      <c r="AM398" s="7">
        <v>735</v>
      </c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1"/>
    </row>
    <row r="399" spans="1:64" ht="13">
      <c r="A399" s="6" t="s">
        <v>837</v>
      </c>
      <c r="B399" s="6" t="s">
        <v>838</v>
      </c>
      <c r="C399" s="31">
        <v>138</v>
      </c>
      <c r="D399" s="24">
        <v>51</v>
      </c>
      <c r="E399" s="24">
        <v>112</v>
      </c>
      <c r="F399" s="8">
        <v>46.4</v>
      </c>
      <c r="G399" s="9">
        <v>54</v>
      </c>
      <c r="H399" s="8">
        <v>27.8</v>
      </c>
      <c r="I399" s="8">
        <v>19</v>
      </c>
      <c r="J399" s="8">
        <v>26</v>
      </c>
      <c r="K399" s="8">
        <v>70.400000000000006</v>
      </c>
      <c r="L399" s="9">
        <v>32</v>
      </c>
      <c r="M399" s="9">
        <v>112</v>
      </c>
      <c r="N399" s="9">
        <v>144</v>
      </c>
      <c r="O399" s="9">
        <v>19</v>
      </c>
      <c r="P399" s="9">
        <v>19</v>
      </c>
      <c r="Q399" s="9">
        <v>10</v>
      </c>
      <c r="R399" s="9">
        <v>32</v>
      </c>
      <c r="S399" s="9">
        <v>58</v>
      </c>
      <c r="T399" s="8">
        <v>438</v>
      </c>
      <c r="U399" s="8">
        <v>0</v>
      </c>
      <c r="V399" s="8">
        <v>0</v>
      </c>
      <c r="W399" s="7">
        <v>-2.2999999999999998</v>
      </c>
      <c r="X399" s="7">
        <v>103.5</v>
      </c>
      <c r="Y399" s="7">
        <v>112.5</v>
      </c>
      <c r="Z399" s="7">
        <v>-9</v>
      </c>
      <c r="AA399" s="7">
        <v>6.8</v>
      </c>
      <c r="AB399" s="7">
        <v>0.9</v>
      </c>
      <c r="AC399" s="7">
        <v>11.1</v>
      </c>
      <c r="AD399" s="7">
        <v>7.9</v>
      </c>
      <c r="AE399" s="7">
        <v>26.8</v>
      </c>
      <c r="AF399" s="7">
        <v>17.5</v>
      </c>
      <c r="AG399" s="7">
        <v>12.3</v>
      </c>
      <c r="AH399" s="7">
        <v>53.1</v>
      </c>
      <c r="AI399" s="7">
        <v>55.7</v>
      </c>
      <c r="AJ399" s="7">
        <v>15</v>
      </c>
      <c r="AK399" s="7">
        <v>98.15</v>
      </c>
      <c r="AL399" s="7">
        <v>10</v>
      </c>
      <c r="AM399" s="7">
        <v>846</v>
      </c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1"/>
    </row>
    <row r="400" spans="1:64" ht="13">
      <c r="A400" s="6" t="s">
        <v>839</v>
      </c>
      <c r="B400" s="6" t="s">
        <v>840</v>
      </c>
      <c r="C400" s="31">
        <v>137</v>
      </c>
      <c r="D400" s="24">
        <v>51</v>
      </c>
      <c r="E400" s="24">
        <v>105</v>
      </c>
      <c r="F400" s="8">
        <v>49.5</v>
      </c>
      <c r="G400" s="9">
        <v>35</v>
      </c>
      <c r="H400" s="8">
        <v>27.8</v>
      </c>
      <c r="I400" s="8">
        <v>23</v>
      </c>
      <c r="J400" s="8">
        <v>35</v>
      </c>
      <c r="K400" s="8">
        <v>68.599999999999994</v>
      </c>
      <c r="L400" s="9">
        <v>31</v>
      </c>
      <c r="M400" s="9">
        <v>23</v>
      </c>
      <c r="N400" s="9">
        <v>55</v>
      </c>
      <c r="O400" s="9">
        <v>12</v>
      </c>
      <c r="P400" s="9">
        <v>12</v>
      </c>
      <c r="Q400" s="9">
        <v>8</v>
      </c>
      <c r="R400" s="9">
        <v>4</v>
      </c>
      <c r="S400" s="9">
        <v>27</v>
      </c>
      <c r="T400" s="8">
        <v>234</v>
      </c>
      <c r="U400" s="8">
        <v>0</v>
      </c>
      <c r="V400" s="8">
        <v>0</v>
      </c>
      <c r="W400" s="7">
        <v>0</v>
      </c>
      <c r="X400" s="7">
        <v>107.9</v>
      </c>
      <c r="Y400" s="7">
        <v>107.5</v>
      </c>
      <c r="Z400" s="7">
        <v>0.4</v>
      </c>
      <c r="AA400" s="7">
        <v>8.1999999999999993</v>
      </c>
      <c r="AB400" s="7">
        <v>0.92</v>
      </c>
      <c r="AC400" s="7">
        <v>7.6</v>
      </c>
      <c r="AD400" s="7">
        <v>13.8</v>
      </c>
      <c r="AE400" s="7">
        <v>10.3</v>
      </c>
      <c r="AF400" s="7">
        <v>12.1</v>
      </c>
      <c r="AG400" s="7">
        <v>8.3000000000000007</v>
      </c>
      <c r="AH400" s="7">
        <v>54.3</v>
      </c>
      <c r="AI400" s="7">
        <v>57.3</v>
      </c>
      <c r="AJ400" s="7">
        <v>24.1</v>
      </c>
      <c r="AK400" s="7">
        <v>105.17</v>
      </c>
      <c r="AL400" s="7">
        <v>10.1</v>
      </c>
      <c r="AM400" s="7">
        <v>480</v>
      </c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1"/>
    </row>
    <row r="401" spans="1:64" ht="13">
      <c r="A401" s="6" t="s">
        <v>841</v>
      </c>
      <c r="B401" s="6" t="s">
        <v>842</v>
      </c>
      <c r="C401" s="31">
        <v>137</v>
      </c>
      <c r="D401" s="24">
        <v>42</v>
      </c>
      <c r="E401" s="24">
        <v>116</v>
      </c>
      <c r="F401" s="8">
        <v>35</v>
      </c>
      <c r="G401" s="9">
        <v>88</v>
      </c>
      <c r="H401" s="8">
        <v>33</v>
      </c>
      <c r="I401" s="8">
        <v>28</v>
      </c>
      <c r="J401" s="8">
        <v>32</v>
      </c>
      <c r="K401" s="8">
        <v>81.8</v>
      </c>
      <c r="L401" s="9">
        <v>11</v>
      </c>
      <c r="M401" s="9">
        <v>56</v>
      </c>
      <c r="N401" s="9">
        <v>67</v>
      </c>
      <c r="O401" s="9">
        <v>95</v>
      </c>
      <c r="P401" s="9">
        <v>21</v>
      </c>
      <c r="Q401" s="9">
        <v>32</v>
      </c>
      <c r="R401" s="9">
        <v>11</v>
      </c>
      <c r="S401" s="9">
        <v>63</v>
      </c>
      <c r="T401" s="8">
        <v>473</v>
      </c>
      <c r="U401" s="8">
        <v>0</v>
      </c>
      <c r="V401" s="8">
        <v>0</v>
      </c>
      <c r="W401" s="7">
        <v>-2</v>
      </c>
      <c r="X401" s="7">
        <v>103.8</v>
      </c>
      <c r="Y401" s="7">
        <v>109.6</v>
      </c>
      <c r="Z401" s="7">
        <v>-5.8</v>
      </c>
      <c r="AA401" s="7">
        <v>20.6</v>
      </c>
      <c r="AB401" s="7">
        <v>4.57</v>
      </c>
      <c r="AC401" s="7">
        <v>38.4</v>
      </c>
      <c r="AD401" s="7">
        <v>1.6</v>
      </c>
      <c r="AE401" s="7">
        <v>8.6</v>
      </c>
      <c r="AF401" s="7">
        <v>5</v>
      </c>
      <c r="AG401" s="7">
        <v>8.4</v>
      </c>
      <c r="AH401" s="7">
        <v>47.4</v>
      </c>
      <c r="AI401" s="7">
        <v>52.5</v>
      </c>
      <c r="AJ401" s="7">
        <v>10</v>
      </c>
      <c r="AK401" s="7">
        <v>99.28</v>
      </c>
      <c r="AL401" s="7">
        <v>6.7</v>
      </c>
      <c r="AM401" s="7">
        <v>1368</v>
      </c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1"/>
    </row>
    <row r="402" spans="1:64" ht="13">
      <c r="A402" s="6" t="s">
        <v>843</v>
      </c>
      <c r="B402" s="6" t="s">
        <v>844</v>
      </c>
      <c r="C402" s="31">
        <v>137</v>
      </c>
      <c r="D402" s="24">
        <v>47</v>
      </c>
      <c r="E402" s="24">
        <v>126</v>
      </c>
      <c r="F402" s="8">
        <v>37</v>
      </c>
      <c r="G402" s="9">
        <v>61</v>
      </c>
      <c r="H402" s="8">
        <v>29.5</v>
      </c>
      <c r="I402" s="8">
        <v>25</v>
      </c>
      <c r="J402" s="8">
        <v>43</v>
      </c>
      <c r="K402" s="8">
        <v>59.1</v>
      </c>
      <c r="L402" s="9">
        <v>18</v>
      </c>
      <c r="M402" s="9">
        <v>58</v>
      </c>
      <c r="N402" s="9">
        <v>76</v>
      </c>
      <c r="O402" s="9">
        <v>40</v>
      </c>
      <c r="P402" s="9">
        <v>18</v>
      </c>
      <c r="Q402" s="9">
        <v>22</v>
      </c>
      <c r="R402" s="9">
        <v>4</v>
      </c>
      <c r="S402" s="9">
        <v>40</v>
      </c>
      <c r="T402" s="8">
        <v>349</v>
      </c>
      <c r="U402" s="8">
        <v>0</v>
      </c>
      <c r="V402" s="8">
        <v>0</v>
      </c>
      <c r="W402" s="7">
        <v>1.2</v>
      </c>
      <c r="X402" s="7">
        <v>113.1</v>
      </c>
      <c r="Y402" s="7">
        <v>109.3</v>
      </c>
      <c r="Z402" s="7">
        <v>3.9</v>
      </c>
      <c r="AA402" s="7">
        <v>13.9</v>
      </c>
      <c r="AB402" s="7">
        <v>2.2799999999999998</v>
      </c>
      <c r="AC402" s="7">
        <v>19.899999999999999</v>
      </c>
      <c r="AD402" s="7">
        <v>4.4000000000000004</v>
      </c>
      <c r="AE402" s="7">
        <v>14.7</v>
      </c>
      <c r="AF402" s="7">
        <v>9.3000000000000007</v>
      </c>
      <c r="AG402" s="7">
        <v>8.6999999999999993</v>
      </c>
      <c r="AH402" s="7">
        <v>44.1</v>
      </c>
      <c r="AI402" s="7">
        <v>47.1</v>
      </c>
      <c r="AJ402" s="7">
        <v>16.899999999999999</v>
      </c>
      <c r="AK402" s="7">
        <v>100.14</v>
      </c>
      <c r="AL402" s="7">
        <v>7</v>
      </c>
      <c r="AM402" s="7">
        <v>831</v>
      </c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1"/>
    </row>
    <row r="403" spans="1:64" ht="13">
      <c r="A403" s="6" t="s">
        <v>845</v>
      </c>
      <c r="B403" s="6" t="s">
        <v>846</v>
      </c>
      <c r="C403" s="31">
        <v>136</v>
      </c>
      <c r="D403" s="24">
        <v>56</v>
      </c>
      <c r="E403" s="24">
        <v>105</v>
      </c>
      <c r="F403" s="8">
        <v>51.9</v>
      </c>
      <c r="G403" s="9">
        <v>19</v>
      </c>
      <c r="H403" s="8">
        <v>15.8</v>
      </c>
      <c r="I403" s="8">
        <v>22</v>
      </c>
      <c r="J403" s="8">
        <v>34</v>
      </c>
      <c r="K403" s="8">
        <v>65.7</v>
      </c>
      <c r="L403" s="9">
        <v>37</v>
      </c>
      <c r="M403" s="9">
        <v>47</v>
      </c>
      <c r="N403" s="9">
        <v>84</v>
      </c>
      <c r="O403" s="9">
        <v>12</v>
      </c>
      <c r="P403" s="9">
        <v>12</v>
      </c>
      <c r="Q403" s="9">
        <v>9</v>
      </c>
      <c r="R403" s="9">
        <v>9</v>
      </c>
      <c r="S403" s="9">
        <v>19</v>
      </c>
      <c r="T403" s="8">
        <v>291</v>
      </c>
      <c r="U403" s="8">
        <v>1</v>
      </c>
      <c r="V403" s="8">
        <v>0</v>
      </c>
      <c r="W403" s="7">
        <v>-0.3</v>
      </c>
      <c r="X403" s="7">
        <v>108.2</v>
      </c>
      <c r="Y403" s="7">
        <v>108.8</v>
      </c>
      <c r="Z403" s="7">
        <v>-0.6</v>
      </c>
      <c r="AA403" s="7">
        <v>6.3</v>
      </c>
      <c r="AB403" s="7">
        <v>0.92</v>
      </c>
      <c r="AC403" s="7">
        <v>7.6</v>
      </c>
      <c r="AD403" s="7">
        <v>12.8</v>
      </c>
      <c r="AE403" s="7">
        <v>15.9</v>
      </c>
      <c r="AF403" s="7">
        <v>14.3</v>
      </c>
      <c r="AG403" s="7">
        <v>8.3000000000000007</v>
      </c>
      <c r="AH403" s="7">
        <v>53.3</v>
      </c>
      <c r="AI403" s="7">
        <v>56</v>
      </c>
      <c r="AJ403" s="7">
        <v>20</v>
      </c>
      <c r="AK403" s="7">
        <v>103.88</v>
      </c>
      <c r="AL403" s="7">
        <v>12.3</v>
      </c>
      <c r="AM403" s="7">
        <v>571</v>
      </c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1"/>
    </row>
    <row r="404" spans="1:64" ht="13">
      <c r="A404" s="6" t="s">
        <v>847</v>
      </c>
      <c r="B404" s="6" t="s">
        <v>848</v>
      </c>
      <c r="C404" s="31">
        <v>136</v>
      </c>
      <c r="D404" s="24">
        <v>53</v>
      </c>
      <c r="E404" s="24">
        <v>133</v>
      </c>
      <c r="F404" s="8">
        <v>39.1</v>
      </c>
      <c r="G404" s="9">
        <v>74</v>
      </c>
      <c r="H404" s="8">
        <v>33.799999999999997</v>
      </c>
      <c r="I404" s="8">
        <v>6</v>
      </c>
      <c r="J404" s="8">
        <v>9</v>
      </c>
      <c r="K404" s="8">
        <v>77.8</v>
      </c>
      <c r="L404" s="9">
        <v>9</v>
      </c>
      <c r="M404" s="9">
        <v>34</v>
      </c>
      <c r="N404" s="9">
        <v>43</v>
      </c>
      <c r="O404" s="9">
        <v>47</v>
      </c>
      <c r="P404" s="9">
        <v>16</v>
      </c>
      <c r="Q404" s="9">
        <v>16</v>
      </c>
      <c r="R404" s="9">
        <v>3</v>
      </c>
      <c r="S404" s="9">
        <v>34</v>
      </c>
      <c r="T404" s="8">
        <v>295</v>
      </c>
      <c r="U404" s="8">
        <v>0</v>
      </c>
      <c r="V404" s="8">
        <v>0</v>
      </c>
      <c r="W404" s="7">
        <v>-0.6</v>
      </c>
      <c r="X404" s="7">
        <v>108.3</v>
      </c>
      <c r="Y404" s="7">
        <v>111.8</v>
      </c>
      <c r="Z404" s="7">
        <v>-3.5</v>
      </c>
      <c r="AA404" s="7">
        <v>17.2</v>
      </c>
      <c r="AB404" s="7">
        <v>2.65</v>
      </c>
      <c r="AC404" s="7">
        <v>22.6</v>
      </c>
      <c r="AD404" s="7">
        <v>2</v>
      </c>
      <c r="AE404" s="7">
        <v>9.3000000000000007</v>
      </c>
      <c r="AF404" s="7">
        <v>5.5</v>
      </c>
      <c r="AG404" s="7">
        <v>8.5</v>
      </c>
      <c r="AH404" s="7">
        <v>48.5</v>
      </c>
      <c r="AI404" s="7">
        <v>49.6</v>
      </c>
      <c r="AJ404" s="7">
        <v>17</v>
      </c>
      <c r="AK404" s="7">
        <v>98.88</v>
      </c>
      <c r="AL404" s="7">
        <v>6.7</v>
      </c>
      <c r="AM404" s="7">
        <v>795</v>
      </c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1"/>
    </row>
    <row r="405" spans="1:64" ht="13">
      <c r="A405" s="6" t="s">
        <v>849</v>
      </c>
      <c r="B405" s="6" t="s">
        <v>850</v>
      </c>
      <c r="C405" s="31">
        <v>136</v>
      </c>
      <c r="D405" s="24">
        <v>56</v>
      </c>
      <c r="E405" s="24">
        <v>84</v>
      </c>
      <c r="F405" s="8">
        <v>65.099999999999994</v>
      </c>
      <c r="G405" s="9">
        <v>8</v>
      </c>
      <c r="H405" s="8">
        <v>37.5</v>
      </c>
      <c r="I405" s="8">
        <v>24</v>
      </c>
      <c r="J405" s="8">
        <v>36</v>
      </c>
      <c r="K405" s="8">
        <v>63.9</v>
      </c>
      <c r="L405" s="9">
        <v>24</v>
      </c>
      <c r="M405" s="9">
        <v>36</v>
      </c>
      <c r="N405" s="9">
        <v>56</v>
      </c>
      <c r="O405" s="9">
        <v>12</v>
      </c>
      <c r="P405" s="9">
        <v>16</v>
      </c>
      <c r="Q405" s="9">
        <v>4</v>
      </c>
      <c r="R405" s="9">
        <v>12</v>
      </c>
      <c r="S405" s="9">
        <v>32</v>
      </c>
      <c r="T405" s="8">
        <v>248</v>
      </c>
      <c r="U405" s="8">
        <v>0</v>
      </c>
      <c r="V405" s="8">
        <v>0</v>
      </c>
      <c r="W405" s="7">
        <v>-1.6</v>
      </c>
      <c r="X405" s="7">
        <v>104.6</v>
      </c>
      <c r="Y405" s="7">
        <v>115.1</v>
      </c>
      <c r="Z405" s="7">
        <v>-10.5</v>
      </c>
      <c r="AA405" s="7">
        <v>5.7</v>
      </c>
      <c r="AB405" s="7">
        <v>0.75</v>
      </c>
      <c r="AC405" s="7">
        <v>9.5</v>
      </c>
      <c r="AD405" s="7">
        <v>7.1</v>
      </c>
      <c r="AE405" s="7">
        <v>12</v>
      </c>
      <c r="AF405" s="7">
        <v>9.5</v>
      </c>
      <c r="AG405" s="7">
        <v>12.7</v>
      </c>
      <c r="AH405" s="7">
        <v>66.900000000000006</v>
      </c>
      <c r="AI405" s="7">
        <v>67.8</v>
      </c>
      <c r="AJ405" s="7">
        <v>15.2</v>
      </c>
      <c r="AK405" s="7">
        <v>102.68</v>
      </c>
      <c r="AL405" s="7">
        <v>8.6999999999999993</v>
      </c>
      <c r="AM405" s="7">
        <v>652</v>
      </c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1"/>
    </row>
    <row r="406" spans="1:64" ht="13">
      <c r="A406" s="6" t="s">
        <v>851</v>
      </c>
      <c r="B406" s="6" t="s">
        <v>852</v>
      </c>
      <c r="C406" s="31">
        <v>135</v>
      </c>
      <c r="D406" s="24">
        <v>49</v>
      </c>
      <c r="E406" s="24">
        <v>135</v>
      </c>
      <c r="F406" s="8">
        <v>38.299999999999997</v>
      </c>
      <c r="G406" s="9">
        <v>65</v>
      </c>
      <c r="H406" s="8">
        <v>25.4</v>
      </c>
      <c r="I406" s="8">
        <v>16</v>
      </c>
      <c r="J406" s="8">
        <v>27</v>
      </c>
      <c r="K406" s="8">
        <v>60.7</v>
      </c>
      <c r="L406" s="9">
        <v>32</v>
      </c>
      <c r="M406" s="9">
        <v>92</v>
      </c>
      <c r="N406" s="9">
        <v>119</v>
      </c>
      <c r="O406" s="9">
        <v>59</v>
      </c>
      <c r="P406" s="9">
        <v>27</v>
      </c>
      <c r="Q406" s="9">
        <v>16</v>
      </c>
      <c r="R406" s="9">
        <v>5</v>
      </c>
      <c r="S406" s="9">
        <v>54</v>
      </c>
      <c r="T406" s="8">
        <v>400</v>
      </c>
      <c r="U406" s="8">
        <v>1</v>
      </c>
      <c r="V406" s="8">
        <v>0</v>
      </c>
      <c r="W406" s="7">
        <v>1.4</v>
      </c>
      <c r="X406" s="7">
        <v>108.9</v>
      </c>
      <c r="Y406" s="7">
        <v>102.9</v>
      </c>
      <c r="Z406" s="7">
        <v>6</v>
      </c>
      <c r="AA406" s="7">
        <v>14.3</v>
      </c>
      <c r="AB406" s="7">
        <v>2.0699999999999998</v>
      </c>
      <c r="AC406" s="7">
        <v>25</v>
      </c>
      <c r="AD406" s="7">
        <v>5</v>
      </c>
      <c r="AE406" s="7">
        <v>15.3</v>
      </c>
      <c r="AF406" s="7">
        <v>10.199999999999999</v>
      </c>
      <c r="AG406" s="7">
        <v>12.1</v>
      </c>
      <c r="AH406" s="7">
        <v>44.4</v>
      </c>
      <c r="AI406" s="7">
        <v>46.4</v>
      </c>
      <c r="AJ406" s="7">
        <v>13.1</v>
      </c>
      <c r="AK406" s="7">
        <v>101.09</v>
      </c>
      <c r="AL406" s="7">
        <v>6.6</v>
      </c>
      <c r="AM406" s="7">
        <v>1164</v>
      </c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1"/>
    </row>
    <row r="407" spans="1:64" ht="13">
      <c r="A407" s="6" t="s">
        <v>853</v>
      </c>
      <c r="B407" s="6" t="s">
        <v>854</v>
      </c>
      <c r="C407" s="31">
        <v>133</v>
      </c>
      <c r="D407" s="24">
        <v>46</v>
      </c>
      <c r="E407" s="24">
        <v>122</v>
      </c>
      <c r="F407" s="8">
        <v>37.5</v>
      </c>
      <c r="G407" s="9">
        <v>77</v>
      </c>
      <c r="H407" s="8">
        <v>31.1</v>
      </c>
      <c r="I407" s="8">
        <v>20</v>
      </c>
      <c r="J407" s="8">
        <v>26</v>
      </c>
      <c r="K407" s="8">
        <v>75</v>
      </c>
      <c r="L407" s="9">
        <v>26</v>
      </c>
      <c r="M407" s="9">
        <v>51</v>
      </c>
      <c r="N407" s="9">
        <v>77</v>
      </c>
      <c r="O407" s="9">
        <v>20</v>
      </c>
      <c r="P407" s="9">
        <v>15</v>
      </c>
      <c r="Q407" s="9">
        <v>10</v>
      </c>
      <c r="R407" s="9">
        <v>5</v>
      </c>
      <c r="S407" s="9">
        <v>46</v>
      </c>
      <c r="T407" s="8">
        <v>291</v>
      </c>
      <c r="U407" s="8">
        <v>0</v>
      </c>
      <c r="V407" s="8">
        <v>0</v>
      </c>
      <c r="W407" s="7">
        <v>-1.9</v>
      </c>
      <c r="X407" s="7">
        <v>98.5</v>
      </c>
      <c r="Y407" s="7">
        <v>108.7</v>
      </c>
      <c r="Z407" s="7">
        <v>-10.199999999999999</v>
      </c>
      <c r="AA407" s="7">
        <v>7.4</v>
      </c>
      <c r="AB407" s="7">
        <v>1.43</v>
      </c>
      <c r="AC407" s="7">
        <v>12</v>
      </c>
      <c r="AD407" s="7">
        <v>5.5</v>
      </c>
      <c r="AE407" s="7">
        <v>12.4</v>
      </c>
      <c r="AF407" s="7">
        <v>8.8000000000000007</v>
      </c>
      <c r="AG407" s="7">
        <v>8.4</v>
      </c>
      <c r="AH407" s="7">
        <v>47.1</v>
      </c>
      <c r="AI407" s="7">
        <v>50.6</v>
      </c>
      <c r="AJ407" s="7">
        <v>14.6</v>
      </c>
      <c r="AK407" s="7">
        <v>104.6</v>
      </c>
      <c r="AL407" s="7">
        <v>5.7</v>
      </c>
      <c r="AM407" s="7">
        <v>867</v>
      </c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1"/>
    </row>
    <row r="408" spans="1:64" ht="13">
      <c r="A408" s="6" t="s">
        <v>855</v>
      </c>
      <c r="B408" s="6" t="s">
        <v>856</v>
      </c>
      <c r="C408" s="31">
        <v>128</v>
      </c>
      <c r="D408" s="24">
        <v>41</v>
      </c>
      <c r="E408" s="24">
        <v>87</v>
      </c>
      <c r="F408" s="8">
        <v>48.9</v>
      </c>
      <c r="G408" s="9">
        <v>31</v>
      </c>
      <c r="H408" s="8">
        <v>32.299999999999997</v>
      </c>
      <c r="I408" s="8">
        <v>31</v>
      </c>
      <c r="J408" s="8">
        <v>51</v>
      </c>
      <c r="K408" s="8">
        <v>66</v>
      </c>
      <c r="L408" s="9">
        <v>20</v>
      </c>
      <c r="M408" s="9">
        <v>46</v>
      </c>
      <c r="N408" s="9">
        <v>66</v>
      </c>
      <c r="O408" s="9">
        <v>15</v>
      </c>
      <c r="P408" s="9">
        <v>10</v>
      </c>
      <c r="Q408" s="9">
        <v>10</v>
      </c>
      <c r="R408" s="8">
        <v>0</v>
      </c>
      <c r="S408" s="9">
        <v>31</v>
      </c>
      <c r="T408" s="8">
        <v>255</v>
      </c>
      <c r="U408" s="8">
        <v>0</v>
      </c>
      <c r="V408" s="8">
        <v>0</v>
      </c>
      <c r="W408" s="7">
        <v>-1.4</v>
      </c>
      <c r="X408" s="7">
        <v>101.9</v>
      </c>
      <c r="Y408" s="7">
        <v>109.7</v>
      </c>
      <c r="Z408" s="7">
        <v>-7.8</v>
      </c>
      <c r="AA408" s="7">
        <v>5.9</v>
      </c>
      <c r="AB408" s="7">
        <v>1.6</v>
      </c>
      <c r="AC408" s="7">
        <v>11.9</v>
      </c>
      <c r="AD408" s="7">
        <v>4.2</v>
      </c>
      <c r="AE408" s="7">
        <v>11.1</v>
      </c>
      <c r="AF408" s="7">
        <v>7.7</v>
      </c>
      <c r="AG408" s="7">
        <v>7.4</v>
      </c>
      <c r="AH408" s="7">
        <v>54.5</v>
      </c>
      <c r="AI408" s="7">
        <v>58.6</v>
      </c>
      <c r="AJ408" s="7">
        <v>12.4</v>
      </c>
      <c r="AK408" s="7">
        <v>101.23</v>
      </c>
      <c r="AL408" s="7">
        <v>7.1</v>
      </c>
      <c r="AM408" s="7">
        <v>835</v>
      </c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1"/>
    </row>
    <row r="409" spans="1:64" ht="13">
      <c r="A409" s="6" t="s">
        <v>857</v>
      </c>
      <c r="B409" s="6" t="s">
        <v>858</v>
      </c>
      <c r="C409" s="31">
        <v>124</v>
      </c>
      <c r="D409" s="24">
        <v>44</v>
      </c>
      <c r="E409" s="24">
        <v>132</v>
      </c>
      <c r="F409" s="8">
        <v>34.4</v>
      </c>
      <c r="G409" s="9">
        <v>72</v>
      </c>
      <c r="H409" s="8">
        <v>27.4</v>
      </c>
      <c r="I409" s="8">
        <v>16</v>
      </c>
      <c r="J409" s="8">
        <v>24</v>
      </c>
      <c r="K409" s="8">
        <v>60</v>
      </c>
      <c r="L409" s="9">
        <v>28</v>
      </c>
      <c r="M409" s="9">
        <v>40</v>
      </c>
      <c r="N409" s="9">
        <v>68</v>
      </c>
      <c r="O409" s="9">
        <v>76</v>
      </c>
      <c r="P409" s="9">
        <v>24</v>
      </c>
      <c r="Q409" s="9">
        <v>36</v>
      </c>
      <c r="R409" s="9">
        <v>12</v>
      </c>
      <c r="S409" s="9">
        <v>24</v>
      </c>
      <c r="T409" s="8">
        <v>440</v>
      </c>
      <c r="U409" s="8">
        <v>0</v>
      </c>
      <c r="V409" s="8">
        <v>0</v>
      </c>
      <c r="W409" s="7">
        <v>0</v>
      </c>
      <c r="X409" s="7">
        <v>106.1</v>
      </c>
      <c r="Y409" s="7">
        <v>106.3</v>
      </c>
      <c r="Z409" s="7">
        <v>-0.2</v>
      </c>
      <c r="AA409" s="7">
        <v>16.2</v>
      </c>
      <c r="AB409" s="7">
        <v>3.5</v>
      </c>
      <c r="AC409" s="7">
        <v>31.8</v>
      </c>
      <c r="AD409" s="7">
        <v>4.2</v>
      </c>
      <c r="AE409" s="7">
        <v>6.1</v>
      </c>
      <c r="AF409" s="7">
        <v>5.0999999999999996</v>
      </c>
      <c r="AG409" s="7">
        <v>9.1</v>
      </c>
      <c r="AH409" s="7">
        <v>42</v>
      </c>
      <c r="AI409" s="7">
        <v>44</v>
      </c>
      <c r="AJ409" s="7">
        <v>11.1</v>
      </c>
      <c r="AK409" s="7">
        <v>98.84</v>
      </c>
      <c r="AL409" s="7">
        <v>6.1</v>
      </c>
      <c r="AM409" s="7">
        <v>1308</v>
      </c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1"/>
    </row>
    <row r="410" spans="1:64" ht="13">
      <c r="A410" s="6" t="s">
        <v>859</v>
      </c>
      <c r="B410" s="6" t="s">
        <v>860</v>
      </c>
      <c r="C410" s="31">
        <v>122</v>
      </c>
      <c r="D410" s="24">
        <v>41</v>
      </c>
      <c r="E410" s="24">
        <v>115</v>
      </c>
      <c r="F410" s="8">
        <v>35.700000000000003</v>
      </c>
      <c r="G410" s="9">
        <v>67</v>
      </c>
      <c r="H410" s="8">
        <v>35.799999999999997</v>
      </c>
      <c r="I410" s="8">
        <v>16</v>
      </c>
      <c r="J410" s="8">
        <v>23</v>
      </c>
      <c r="K410" s="8">
        <v>69.599999999999994</v>
      </c>
      <c r="L410" s="9">
        <v>23</v>
      </c>
      <c r="M410" s="9">
        <v>71</v>
      </c>
      <c r="N410" s="9">
        <v>94</v>
      </c>
      <c r="O410" s="9">
        <v>23</v>
      </c>
      <c r="P410" s="9">
        <v>14</v>
      </c>
      <c r="Q410" s="9">
        <v>16</v>
      </c>
      <c r="R410" s="9">
        <v>5</v>
      </c>
      <c r="S410" s="9">
        <v>21</v>
      </c>
      <c r="T410" s="8">
        <v>311</v>
      </c>
      <c r="U410" s="8">
        <v>0</v>
      </c>
      <c r="V410" s="8">
        <v>0</v>
      </c>
      <c r="W410" s="7">
        <v>-1.1000000000000001</v>
      </c>
      <c r="X410" s="7">
        <v>108.7</v>
      </c>
      <c r="Y410" s="7">
        <v>112.3</v>
      </c>
      <c r="Z410" s="7">
        <v>-3.6</v>
      </c>
      <c r="AA410" s="7">
        <v>13.4</v>
      </c>
      <c r="AB410" s="7">
        <v>1.57</v>
      </c>
      <c r="AC410" s="7">
        <v>13.6</v>
      </c>
      <c r="AD410" s="7">
        <v>8</v>
      </c>
      <c r="AE410" s="7">
        <v>28.2</v>
      </c>
      <c r="AF410" s="7">
        <v>17.7</v>
      </c>
      <c r="AG410" s="7">
        <v>8.6</v>
      </c>
      <c r="AH410" s="7">
        <v>46.1</v>
      </c>
      <c r="AI410" s="7">
        <v>48.8</v>
      </c>
      <c r="AJ410" s="7">
        <v>23</v>
      </c>
      <c r="AK410" s="7">
        <v>103.56</v>
      </c>
      <c r="AL410" s="7">
        <v>10.9</v>
      </c>
      <c r="AM410" s="7">
        <v>540</v>
      </c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1"/>
    </row>
    <row r="411" spans="1:64" ht="13">
      <c r="A411" s="6" t="s">
        <v>861</v>
      </c>
      <c r="B411" s="6" t="s">
        <v>862</v>
      </c>
      <c r="C411" s="31">
        <v>122</v>
      </c>
      <c r="D411" s="24">
        <v>42</v>
      </c>
      <c r="E411" s="24">
        <v>96</v>
      </c>
      <c r="F411" s="8">
        <v>44.3</v>
      </c>
      <c r="G411" s="9">
        <v>67</v>
      </c>
      <c r="H411" s="8">
        <v>33.299999999999997</v>
      </c>
      <c r="I411" s="8">
        <v>13</v>
      </c>
      <c r="J411" s="8">
        <v>19</v>
      </c>
      <c r="K411" s="8">
        <v>77.8</v>
      </c>
      <c r="L411" s="9">
        <v>16</v>
      </c>
      <c r="M411" s="9">
        <v>38</v>
      </c>
      <c r="N411" s="9">
        <v>54</v>
      </c>
      <c r="O411" s="9">
        <v>13</v>
      </c>
      <c r="P411" s="9">
        <v>6</v>
      </c>
      <c r="Q411" s="9">
        <v>6</v>
      </c>
      <c r="R411" s="9">
        <v>22</v>
      </c>
      <c r="S411" s="9">
        <v>22</v>
      </c>
      <c r="T411" s="8">
        <v>278</v>
      </c>
      <c r="U411" s="8">
        <v>1</v>
      </c>
      <c r="V411" s="8">
        <v>0</v>
      </c>
      <c r="W411" s="7">
        <v>1.3</v>
      </c>
      <c r="X411" s="7">
        <v>115.1</v>
      </c>
      <c r="Y411" s="7">
        <v>105.8</v>
      </c>
      <c r="Z411" s="7">
        <v>9.4</v>
      </c>
      <c r="AA411" s="7">
        <v>7.7</v>
      </c>
      <c r="AB411" s="7">
        <v>2</v>
      </c>
      <c r="AC411" s="7">
        <v>11.1</v>
      </c>
      <c r="AD411" s="7">
        <v>6.4</v>
      </c>
      <c r="AE411" s="7">
        <v>13.1</v>
      </c>
      <c r="AF411" s="7">
        <v>9.9</v>
      </c>
      <c r="AG411" s="7">
        <v>5.6</v>
      </c>
      <c r="AH411" s="7">
        <v>55.7</v>
      </c>
      <c r="AI411" s="7">
        <v>58.1</v>
      </c>
      <c r="AJ411" s="7">
        <v>18.5</v>
      </c>
      <c r="AK411" s="7">
        <v>103.83</v>
      </c>
      <c r="AL411" s="7">
        <v>10.1</v>
      </c>
      <c r="AM411" s="7">
        <v>529</v>
      </c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1"/>
    </row>
    <row r="412" spans="1:64" ht="13">
      <c r="A412" s="6" t="s">
        <v>863</v>
      </c>
      <c r="B412" s="6" t="s">
        <v>864</v>
      </c>
      <c r="C412" s="31">
        <v>122</v>
      </c>
      <c r="D412" s="24">
        <v>47</v>
      </c>
      <c r="E412" s="24">
        <v>99</v>
      </c>
      <c r="F412" s="8">
        <v>46.9</v>
      </c>
      <c r="G412" s="9">
        <v>16</v>
      </c>
      <c r="H412" s="8">
        <v>12.5</v>
      </c>
      <c r="I412" s="8">
        <v>29</v>
      </c>
      <c r="J412" s="8">
        <v>39</v>
      </c>
      <c r="K412" s="8">
        <v>76.3</v>
      </c>
      <c r="L412" s="9">
        <v>52</v>
      </c>
      <c r="M412" s="9">
        <v>70</v>
      </c>
      <c r="N412" s="9">
        <v>122</v>
      </c>
      <c r="O412" s="9">
        <v>29</v>
      </c>
      <c r="P412" s="9">
        <v>23</v>
      </c>
      <c r="Q412" s="9">
        <v>8</v>
      </c>
      <c r="R412" s="9">
        <v>10</v>
      </c>
      <c r="S412" s="9">
        <v>52</v>
      </c>
      <c r="T412" s="8">
        <v>343</v>
      </c>
      <c r="U412" s="8">
        <v>0</v>
      </c>
      <c r="V412" s="8">
        <v>0</v>
      </c>
      <c r="W412" s="7">
        <v>-1.2</v>
      </c>
      <c r="X412" s="7">
        <v>106.1</v>
      </c>
      <c r="Y412" s="7">
        <v>108.2</v>
      </c>
      <c r="Z412" s="7">
        <v>-2.1</v>
      </c>
      <c r="AA412" s="7">
        <v>9.1999999999999993</v>
      </c>
      <c r="AB412" s="7">
        <v>1.22</v>
      </c>
      <c r="AC412" s="7">
        <v>16.899999999999999</v>
      </c>
      <c r="AD412" s="7">
        <v>10.4</v>
      </c>
      <c r="AE412" s="7">
        <v>14.3</v>
      </c>
      <c r="AF412" s="7">
        <v>12.3</v>
      </c>
      <c r="AG412" s="7">
        <v>13.9</v>
      </c>
      <c r="AH412" s="7">
        <v>48</v>
      </c>
      <c r="AI412" s="7">
        <v>53.6</v>
      </c>
      <c r="AJ412" s="7">
        <v>12.5</v>
      </c>
      <c r="AK412" s="7">
        <v>102.22</v>
      </c>
      <c r="AL412" s="7">
        <v>7.4</v>
      </c>
      <c r="AM412" s="7">
        <v>915</v>
      </c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1"/>
    </row>
    <row r="413" spans="1:64" ht="13">
      <c r="A413" s="6" t="s">
        <v>865</v>
      </c>
      <c r="B413" s="6" t="s">
        <v>866</v>
      </c>
      <c r="C413" s="31">
        <v>120</v>
      </c>
      <c r="D413" s="24">
        <v>42</v>
      </c>
      <c r="E413" s="24">
        <v>106</v>
      </c>
      <c r="F413" s="8">
        <v>39</v>
      </c>
      <c r="G413" s="9">
        <v>34</v>
      </c>
      <c r="H413" s="8">
        <v>39.4</v>
      </c>
      <c r="I413" s="8">
        <v>26</v>
      </c>
      <c r="J413" s="8">
        <v>34</v>
      </c>
      <c r="K413" s="8">
        <v>73.5</v>
      </c>
      <c r="L413" s="9">
        <v>14</v>
      </c>
      <c r="M413" s="9">
        <v>18</v>
      </c>
      <c r="N413" s="9">
        <v>32</v>
      </c>
      <c r="O413" s="9">
        <v>28</v>
      </c>
      <c r="P413" s="9">
        <v>18</v>
      </c>
      <c r="Q413" s="9">
        <v>12</v>
      </c>
      <c r="R413" s="8">
        <v>0</v>
      </c>
      <c r="S413" s="9">
        <v>22</v>
      </c>
      <c r="T413" s="8">
        <v>216</v>
      </c>
      <c r="U413" s="8">
        <v>0</v>
      </c>
      <c r="V413" s="8">
        <v>0</v>
      </c>
      <c r="W413" s="7">
        <v>-0.3</v>
      </c>
      <c r="X413" s="7">
        <v>100</v>
      </c>
      <c r="Y413" s="7">
        <v>102.6</v>
      </c>
      <c r="Z413" s="7">
        <v>-2.6</v>
      </c>
      <c r="AA413" s="7">
        <v>18.7</v>
      </c>
      <c r="AB413" s="7">
        <v>1.56</v>
      </c>
      <c r="AC413" s="7">
        <v>16.8</v>
      </c>
      <c r="AD413" s="7">
        <v>5.0999999999999996</v>
      </c>
      <c r="AE413" s="7">
        <v>7.1</v>
      </c>
      <c r="AF413" s="7">
        <v>6</v>
      </c>
      <c r="AG413" s="7">
        <v>10.8</v>
      </c>
      <c r="AH413" s="7">
        <v>45.2</v>
      </c>
      <c r="AI413" s="7">
        <v>50</v>
      </c>
      <c r="AJ413" s="7">
        <v>22</v>
      </c>
      <c r="AK413" s="7">
        <v>98.35</v>
      </c>
      <c r="AL413" s="7">
        <v>7.7</v>
      </c>
      <c r="AM413" s="7">
        <v>548</v>
      </c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1"/>
    </row>
    <row r="414" spans="1:64" ht="13">
      <c r="A414" s="6" t="s">
        <v>867</v>
      </c>
      <c r="B414" s="6" t="s">
        <v>868</v>
      </c>
      <c r="C414" s="31">
        <v>120</v>
      </c>
      <c r="D414" s="24">
        <v>46</v>
      </c>
      <c r="E414" s="24">
        <v>92</v>
      </c>
      <c r="F414" s="8">
        <v>48.9</v>
      </c>
      <c r="G414" s="9">
        <v>41</v>
      </c>
      <c r="H414" s="8">
        <v>32.6</v>
      </c>
      <c r="I414" s="8">
        <v>18</v>
      </c>
      <c r="J414" s="8">
        <v>18</v>
      </c>
      <c r="K414" s="8">
        <v>89.5</v>
      </c>
      <c r="L414" s="9">
        <v>14</v>
      </c>
      <c r="M414" s="9">
        <v>37</v>
      </c>
      <c r="N414" s="9">
        <v>46</v>
      </c>
      <c r="O414" s="9">
        <v>18</v>
      </c>
      <c r="P414" s="9">
        <v>9</v>
      </c>
      <c r="Q414" s="9">
        <v>14</v>
      </c>
      <c r="R414" s="9">
        <v>14</v>
      </c>
      <c r="S414" s="9">
        <v>32</v>
      </c>
      <c r="T414" s="8">
        <v>271</v>
      </c>
      <c r="U414" s="8">
        <v>0</v>
      </c>
      <c r="V414" s="8">
        <v>0</v>
      </c>
      <c r="W414" s="7">
        <v>-0.3</v>
      </c>
      <c r="X414" s="7">
        <v>104</v>
      </c>
      <c r="Y414" s="7">
        <v>107</v>
      </c>
      <c r="Z414" s="7">
        <v>-3</v>
      </c>
      <c r="AA414" s="7">
        <v>9.6</v>
      </c>
      <c r="AB414" s="7">
        <v>1.64</v>
      </c>
      <c r="AC414" s="7">
        <v>14.2</v>
      </c>
      <c r="AD414" s="7">
        <v>4.4000000000000004</v>
      </c>
      <c r="AE414" s="7">
        <v>11.5</v>
      </c>
      <c r="AF414" s="7">
        <v>8.1</v>
      </c>
      <c r="AG414" s="7">
        <v>8.6999999999999993</v>
      </c>
      <c r="AH414" s="7">
        <v>56.7</v>
      </c>
      <c r="AI414" s="7">
        <v>60.5</v>
      </c>
      <c r="AJ414" s="7">
        <v>16</v>
      </c>
      <c r="AK414" s="7">
        <v>104.77</v>
      </c>
      <c r="AL414" s="7">
        <v>9.5</v>
      </c>
      <c r="AM414" s="7">
        <v>604</v>
      </c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1"/>
    </row>
    <row r="415" spans="1:64" ht="13">
      <c r="A415" s="6" t="s">
        <v>869</v>
      </c>
      <c r="B415" s="6" t="s">
        <v>870</v>
      </c>
      <c r="C415" s="31">
        <v>118</v>
      </c>
      <c r="D415" s="24">
        <v>42</v>
      </c>
      <c r="E415" s="24">
        <v>87</v>
      </c>
      <c r="F415" s="8">
        <v>48.3</v>
      </c>
      <c r="G415" s="9">
        <v>39</v>
      </c>
      <c r="H415" s="8">
        <v>30.8</v>
      </c>
      <c r="I415" s="8">
        <v>22</v>
      </c>
      <c r="J415" s="8">
        <v>25</v>
      </c>
      <c r="K415" s="8">
        <v>88</v>
      </c>
      <c r="L415" s="9">
        <v>14</v>
      </c>
      <c r="M415" s="9">
        <v>28</v>
      </c>
      <c r="N415" s="9">
        <v>42</v>
      </c>
      <c r="O415" s="9">
        <v>15</v>
      </c>
      <c r="P415" s="9">
        <v>8</v>
      </c>
      <c r="Q415" s="9">
        <v>10</v>
      </c>
      <c r="R415" s="9">
        <v>1</v>
      </c>
      <c r="S415" s="9">
        <v>20</v>
      </c>
      <c r="T415" s="8">
        <v>220</v>
      </c>
      <c r="U415" s="8">
        <v>1</v>
      </c>
      <c r="V415" s="8">
        <v>0</v>
      </c>
      <c r="W415" s="7">
        <v>4.5999999999999996</v>
      </c>
      <c r="X415" s="7">
        <v>118.1</v>
      </c>
      <c r="Y415" s="7">
        <v>103.4</v>
      </c>
      <c r="Z415" s="7">
        <v>14.7</v>
      </c>
      <c r="AA415" s="7">
        <v>9.8000000000000007</v>
      </c>
      <c r="AB415" s="7">
        <v>1.78</v>
      </c>
      <c r="AC415" s="7">
        <v>12.9</v>
      </c>
      <c r="AD415" s="7">
        <v>5.2</v>
      </c>
      <c r="AE415" s="7">
        <v>11.3</v>
      </c>
      <c r="AF415" s="7">
        <v>8.1999999999999993</v>
      </c>
      <c r="AG415" s="7">
        <v>7.3</v>
      </c>
      <c r="AH415" s="7">
        <v>55.2</v>
      </c>
      <c r="AI415" s="7">
        <v>60.2</v>
      </c>
      <c r="AJ415" s="7">
        <v>18.3</v>
      </c>
      <c r="AK415" s="7">
        <v>103.89</v>
      </c>
      <c r="AL415" s="7">
        <v>10.6</v>
      </c>
      <c r="AM415" s="7">
        <v>486</v>
      </c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1"/>
    </row>
    <row r="416" spans="1:64" ht="13">
      <c r="A416" s="6" t="s">
        <v>871</v>
      </c>
      <c r="B416" s="6" t="s">
        <v>872</v>
      </c>
      <c r="C416" s="31">
        <v>116</v>
      </c>
      <c r="D416" s="24">
        <v>44</v>
      </c>
      <c r="E416" s="24">
        <v>61</v>
      </c>
      <c r="F416" s="8">
        <v>68.900000000000006</v>
      </c>
      <c r="G416" s="9">
        <v>6</v>
      </c>
      <c r="H416" s="8">
        <v>40</v>
      </c>
      <c r="I416" s="8">
        <v>28</v>
      </c>
      <c r="J416" s="8">
        <v>44</v>
      </c>
      <c r="K416" s="8">
        <v>65.099999999999994</v>
      </c>
      <c r="L416" s="9">
        <v>50</v>
      </c>
      <c r="M416" s="9">
        <v>72</v>
      </c>
      <c r="N416" s="9">
        <v>116</v>
      </c>
      <c r="O416" s="9">
        <v>55</v>
      </c>
      <c r="P416" s="9">
        <v>17</v>
      </c>
      <c r="Q416" s="9">
        <v>17</v>
      </c>
      <c r="R416" s="9">
        <v>22</v>
      </c>
      <c r="S416" s="9">
        <v>77</v>
      </c>
      <c r="T416" s="8">
        <v>435</v>
      </c>
      <c r="U416" s="8">
        <v>0</v>
      </c>
      <c r="V416" s="8">
        <v>0</v>
      </c>
      <c r="W416" s="7">
        <v>-0.3</v>
      </c>
      <c r="X416" s="7">
        <v>108.6</v>
      </c>
      <c r="Y416" s="7">
        <v>109.7</v>
      </c>
      <c r="Z416" s="7">
        <v>-1.1000000000000001</v>
      </c>
      <c r="AA416" s="7">
        <v>13</v>
      </c>
      <c r="AB416" s="7">
        <v>3.06</v>
      </c>
      <c r="AC416" s="7">
        <v>36.200000000000003</v>
      </c>
      <c r="AD416" s="7">
        <v>8.4</v>
      </c>
      <c r="AE416" s="7">
        <v>13.1</v>
      </c>
      <c r="AF416" s="7">
        <v>10.7</v>
      </c>
      <c r="AG416" s="7">
        <v>11.8</v>
      </c>
      <c r="AH416" s="7">
        <v>70.5</v>
      </c>
      <c r="AI416" s="7">
        <v>71.3</v>
      </c>
      <c r="AJ416" s="7">
        <v>7.3</v>
      </c>
      <c r="AK416" s="7">
        <v>102.17</v>
      </c>
      <c r="AL416" s="7">
        <v>7.3</v>
      </c>
      <c r="AM416" s="7">
        <v>1172</v>
      </c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1"/>
    </row>
    <row r="417" spans="1:64" ht="13">
      <c r="A417" s="6" t="s">
        <v>873</v>
      </c>
      <c r="B417" s="6" t="s">
        <v>874</v>
      </c>
      <c r="C417" s="31">
        <v>116</v>
      </c>
      <c r="D417" s="24">
        <v>50</v>
      </c>
      <c r="E417" s="24">
        <v>78</v>
      </c>
      <c r="F417" s="8">
        <v>64.099999999999994</v>
      </c>
      <c r="G417" s="9">
        <v>4</v>
      </c>
      <c r="H417" s="8">
        <v>33.299999999999997</v>
      </c>
      <c r="I417" s="8">
        <v>16</v>
      </c>
      <c r="J417" s="8">
        <v>18</v>
      </c>
      <c r="K417" s="8">
        <v>88.2</v>
      </c>
      <c r="L417" s="9">
        <v>36</v>
      </c>
      <c r="M417" s="9">
        <v>84</v>
      </c>
      <c r="N417" s="9">
        <v>118</v>
      </c>
      <c r="O417" s="9">
        <v>22</v>
      </c>
      <c r="P417" s="9">
        <v>18</v>
      </c>
      <c r="Q417" s="9">
        <v>14</v>
      </c>
      <c r="R417" s="9">
        <v>34</v>
      </c>
      <c r="S417" s="9">
        <v>32</v>
      </c>
      <c r="T417" s="8">
        <v>410</v>
      </c>
      <c r="U417" s="8">
        <v>0</v>
      </c>
      <c r="V417" s="8">
        <v>0</v>
      </c>
      <c r="W417" s="7">
        <v>-0.9</v>
      </c>
      <c r="X417" s="7">
        <v>106.3</v>
      </c>
      <c r="Y417" s="7">
        <v>108.3</v>
      </c>
      <c r="Z417" s="7">
        <v>-2</v>
      </c>
      <c r="AA417" s="7">
        <v>9</v>
      </c>
      <c r="AB417" s="7">
        <v>1.24</v>
      </c>
      <c r="AC417" s="7">
        <v>17.100000000000001</v>
      </c>
      <c r="AD417" s="7">
        <v>9.6999999999999993</v>
      </c>
      <c r="AE417" s="7">
        <v>21.7</v>
      </c>
      <c r="AF417" s="7">
        <v>15.9</v>
      </c>
      <c r="AG417" s="7">
        <v>13.8</v>
      </c>
      <c r="AH417" s="7">
        <v>64.7</v>
      </c>
      <c r="AI417" s="7">
        <v>67.900000000000006</v>
      </c>
      <c r="AJ417" s="7">
        <v>12</v>
      </c>
      <c r="AK417" s="7">
        <v>100.69</v>
      </c>
      <c r="AL417" s="7">
        <v>13.7</v>
      </c>
      <c r="AM417" s="7">
        <v>736</v>
      </c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1"/>
    </row>
    <row r="418" spans="1:64" ht="13">
      <c r="A418" s="6" t="s">
        <v>875</v>
      </c>
      <c r="B418" s="6" t="s">
        <v>876</v>
      </c>
      <c r="C418" s="31">
        <v>115</v>
      </c>
      <c r="D418" s="24">
        <v>45</v>
      </c>
      <c r="E418" s="24">
        <v>109</v>
      </c>
      <c r="F418" s="8">
        <v>41.7</v>
      </c>
      <c r="G418" s="9">
        <v>50</v>
      </c>
      <c r="H418" s="8">
        <v>38</v>
      </c>
      <c r="I418" s="8">
        <v>8</v>
      </c>
      <c r="J418" s="8">
        <v>11</v>
      </c>
      <c r="K418" s="8">
        <v>70</v>
      </c>
      <c r="L418" s="9">
        <v>17</v>
      </c>
      <c r="M418" s="9">
        <v>36</v>
      </c>
      <c r="N418" s="9">
        <v>56</v>
      </c>
      <c r="O418" s="9">
        <v>20</v>
      </c>
      <c r="P418" s="9">
        <v>14</v>
      </c>
      <c r="Q418" s="9">
        <v>8</v>
      </c>
      <c r="R418" s="9">
        <v>8</v>
      </c>
      <c r="S418" s="9">
        <v>28</v>
      </c>
      <c r="T418" s="8">
        <v>244</v>
      </c>
      <c r="U418" s="8">
        <v>0</v>
      </c>
      <c r="V418" s="8">
        <v>0</v>
      </c>
      <c r="W418" s="7">
        <v>-2.4</v>
      </c>
      <c r="X418" s="7">
        <v>101.2</v>
      </c>
      <c r="Y418" s="7">
        <v>110.7</v>
      </c>
      <c r="Z418" s="7">
        <v>-9.6</v>
      </c>
      <c r="AA418" s="7">
        <v>9.1</v>
      </c>
      <c r="AB418" s="7">
        <v>1.36</v>
      </c>
      <c r="AC418" s="7">
        <v>13</v>
      </c>
      <c r="AD418" s="7">
        <v>5.0999999999999996</v>
      </c>
      <c r="AE418" s="7">
        <v>11.8</v>
      </c>
      <c r="AF418" s="7">
        <v>8.1999999999999993</v>
      </c>
      <c r="AG418" s="7">
        <v>9.6</v>
      </c>
      <c r="AH418" s="7">
        <v>50.5</v>
      </c>
      <c r="AI418" s="7">
        <v>51.6</v>
      </c>
      <c r="AJ418" s="7">
        <v>16.399999999999999</v>
      </c>
      <c r="AK418" s="7">
        <v>99.39</v>
      </c>
      <c r="AL418" s="7">
        <v>6.6</v>
      </c>
      <c r="AM418" s="7">
        <v>677</v>
      </c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1"/>
    </row>
    <row r="419" spans="1:64" ht="13">
      <c r="A419" s="6" t="s">
        <v>877</v>
      </c>
      <c r="B419" s="6" t="s">
        <v>878</v>
      </c>
      <c r="C419" s="31">
        <v>114</v>
      </c>
      <c r="D419" s="24">
        <v>40</v>
      </c>
      <c r="E419" s="24">
        <v>96</v>
      </c>
      <c r="F419" s="8">
        <v>40.6</v>
      </c>
      <c r="G419" s="9">
        <v>74</v>
      </c>
      <c r="H419" s="8">
        <v>44.6</v>
      </c>
      <c r="I419" s="8">
        <v>4</v>
      </c>
      <c r="J419" s="8">
        <v>6</v>
      </c>
      <c r="K419" s="8">
        <v>60</v>
      </c>
      <c r="L419" s="9">
        <v>4</v>
      </c>
      <c r="M419" s="9">
        <v>26</v>
      </c>
      <c r="N419" s="9">
        <v>30</v>
      </c>
      <c r="O419" s="9">
        <v>12</v>
      </c>
      <c r="P419" s="9">
        <v>16</v>
      </c>
      <c r="Q419" s="9">
        <v>6</v>
      </c>
      <c r="R419" s="9">
        <v>2</v>
      </c>
      <c r="S419" s="9">
        <v>22</v>
      </c>
      <c r="T419" s="8">
        <v>172</v>
      </c>
      <c r="U419" s="8">
        <v>0</v>
      </c>
      <c r="V419" s="8">
        <v>0</v>
      </c>
      <c r="W419" s="7">
        <v>-3.2</v>
      </c>
      <c r="X419" s="7">
        <v>98.7</v>
      </c>
      <c r="Y419" s="7">
        <v>109.7</v>
      </c>
      <c r="Z419" s="7">
        <v>-11.1</v>
      </c>
      <c r="AA419" s="7">
        <v>7.8</v>
      </c>
      <c r="AB419" s="7">
        <v>0.8</v>
      </c>
      <c r="AC419" s="7">
        <v>9.6</v>
      </c>
      <c r="AD419" s="7">
        <v>1.5</v>
      </c>
      <c r="AE419" s="7">
        <v>10.5</v>
      </c>
      <c r="AF419" s="7">
        <v>5.6</v>
      </c>
      <c r="AG419" s="7">
        <v>12</v>
      </c>
      <c r="AH419" s="7">
        <v>57.8</v>
      </c>
      <c r="AI419" s="7">
        <v>58</v>
      </c>
      <c r="AJ419" s="7">
        <v>18.899999999999999</v>
      </c>
      <c r="AK419" s="7">
        <v>103.67</v>
      </c>
      <c r="AL419" s="7">
        <v>6.5</v>
      </c>
      <c r="AM419" s="7">
        <v>529</v>
      </c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1"/>
    </row>
    <row r="420" spans="1:64" ht="13">
      <c r="A420" s="6" t="s">
        <v>879</v>
      </c>
      <c r="B420" s="6" t="s">
        <v>880</v>
      </c>
      <c r="C420" s="31">
        <v>113</v>
      </c>
      <c r="D420" s="24">
        <v>42</v>
      </c>
      <c r="E420" s="24">
        <v>89</v>
      </c>
      <c r="F420" s="8">
        <v>47.7</v>
      </c>
      <c r="G420" s="9">
        <v>48</v>
      </c>
      <c r="H420" s="8">
        <v>43.8</v>
      </c>
      <c r="I420" s="8">
        <v>8</v>
      </c>
      <c r="J420" s="8">
        <v>15</v>
      </c>
      <c r="K420" s="8">
        <v>46.7</v>
      </c>
      <c r="L420" s="9">
        <v>14</v>
      </c>
      <c r="M420" s="9">
        <v>38</v>
      </c>
      <c r="N420" s="9">
        <v>53</v>
      </c>
      <c r="O420" s="9">
        <v>29</v>
      </c>
      <c r="P420" s="9">
        <v>14</v>
      </c>
      <c r="Q420" s="9">
        <v>33</v>
      </c>
      <c r="R420" s="9">
        <v>9</v>
      </c>
      <c r="S420" s="9">
        <v>14</v>
      </c>
      <c r="T420" s="8">
        <v>330</v>
      </c>
      <c r="U420" s="8">
        <v>0</v>
      </c>
      <c r="V420" s="8">
        <v>0</v>
      </c>
      <c r="W420" s="7">
        <v>0.1</v>
      </c>
      <c r="X420" s="7">
        <v>105.3</v>
      </c>
      <c r="Y420" s="7">
        <v>105.1</v>
      </c>
      <c r="Z420" s="7">
        <v>0.2</v>
      </c>
      <c r="AA420" s="7">
        <v>12.6</v>
      </c>
      <c r="AB420" s="7">
        <v>2.15</v>
      </c>
      <c r="AC420" s="7">
        <v>20.7</v>
      </c>
      <c r="AD420" s="7">
        <v>3.8</v>
      </c>
      <c r="AE420" s="7">
        <v>12.2</v>
      </c>
      <c r="AF420" s="7">
        <v>7.6</v>
      </c>
      <c r="AG420" s="7">
        <v>9.6</v>
      </c>
      <c r="AH420" s="7">
        <v>59.7</v>
      </c>
      <c r="AI420" s="7">
        <v>59.2</v>
      </c>
      <c r="AJ420" s="7">
        <v>13.5</v>
      </c>
      <c r="AK420" s="7">
        <v>102.37</v>
      </c>
      <c r="AL420" s="7">
        <v>11.4</v>
      </c>
      <c r="AM420" s="7">
        <v>666</v>
      </c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1"/>
    </row>
    <row r="421" spans="1:64" ht="13">
      <c r="A421" s="6" t="s">
        <v>881</v>
      </c>
      <c r="B421" s="6" t="s">
        <v>882</v>
      </c>
      <c r="C421" s="31">
        <v>112</v>
      </c>
      <c r="D421" s="24">
        <v>40</v>
      </c>
      <c r="E421" s="24">
        <v>109</v>
      </c>
      <c r="F421" s="8">
        <v>35.5</v>
      </c>
      <c r="G421" s="9">
        <v>81</v>
      </c>
      <c r="H421" s="8">
        <v>31.7</v>
      </c>
      <c r="I421" s="8">
        <v>9</v>
      </c>
      <c r="J421" s="8">
        <v>12</v>
      </c>
      <c r="K421" s="8">
        <v>75</v>
      </c>
      <c r="L421" s="9">
        <v>19</v>
      </c>
      <c r="M421" s="9">
        <v>47</v>
      </c>
      <c r="N421" s="9">
        <v>65</v>
      </c>
      <c r="O421" s="9">
        <v>34</v>
      </c>
      <c r="P421" s="9">
        <v>12</v>
      </c>
      <c r="Q421" s="9">
        <v>16</v>
      </c>
      <c r="R421" s="9">
        <v>3</v>
      </c>
      <c r="S421" s="9">
        <v>22</v>
      </c>
      <c r="T421" s="8">
        <v>285</v>
      </c>
      <c r="U421" s="8">
        <v>0</v>
      </c>
      <c r="V421" s="8">
        <v>0</v>
      </c>
      <c r="W421" s="7">
        <v>0.9</v>
      </c>
      <c r="X421" s="7">
        <v>109.9</v>
      </c>
      <c r="Y421" s="7">
        <v>105.8</v>
      </c>
      <c r="Z421" s="7">
        <v>4.0999999999999996</v>
      </c>
      <c r="AA421" s="7">
        <v>12</v>
      </c>
      <c r="AB421" s="7">
        <v>2.75</v>
      </c>
      <c r="AC421" s="7">
        <v>20.5</v>
      </c>
      <c r="AD421" s="7">
        <v>4.8</v>
      </c>
      <c r="AE421" s="7">
        <v>11.7</v>
      </c>
      <c r="AF421" s="7">
        <v>8.3000000000000007</v>
      </c>
      <c r="AG421" s="7">
        <v>7.5</v>
      </c>
      <c r="AH421" s="7">
        <v>47.3</v>
      </c>
      <c r="AI421" s="7">
        <v>49</v>
      </c>
      <c r="AJ421" s="7">
        <v>14.3</v>
      </c>
      <c r="AK421" s="7">
        <v>95.28</v>
      </c>
      <c r="AL421" s="7">
        <v>7.4</v>
      </c>
      <c r="AM421" s="7">
        <v>761</v>
      </c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1"/>
    </row>
    <row r="422" spans="1:64" ht="13">
      <c r="A422" s="6" t="s">
        <v>883</v>
      </c>
      <c r="B422" s="6" t="s">
        <v>884</v>
      </c>
      <c r="C422" s="31">
        <v>110</v>
      </c>
      <c r="D422" s="24">
        <v>42</v>
      </c>
      <c r="E422" s="24">
        <v>131</v>
      </c>
      <c r="F422" s="8">
        <v>32.299999999999997</v>
      </c>
      <c r="G422" s="9">
        <v>56</v>
      </c>
      <c r="H422" s="8">
        <v>21.4</v>
      </c>
      <c r="I422" s="8">
        <v>14</v>
      </c>
      <c r="J422" s="8">
        <v>15</v>
      </c>
      <c r="K422" s="8">
        <v>86.7</v>
      </c>
      <c r="L422" s="9">
        <v>14</v>
      </c>
      <c r="M422" s="9">
        <v>36</v>
      </c>
      <c r="N422" s="9">
        <v>50</v>
      </c>
      <c r="O422" s="9">
        <v>56</v>
      </c>
      <c r="P422" s="9">
        <v>32</v>
      </c>
      <c r="Q422" s="9">
        <v>15</v>
      </c>
      <c r="R422" s="9">
        <v>2</v>
      </c>
      <c r="S422" s="9">
        <v>23</v>
      </c>
      <c r="T422" s="8">
        <v>273</v>
      </c>
      <c r="U422" s="8">
        <v>0</v>
      </c>
      <c r="V422" s="8">
        <v>0</v>
      </c>
      <c r="W422" s="7">
        <v>-11.3</v>
      </c>
      <c r="X422" s="7">
        <v>99.5</v>
      </c>
      <c r="Y422" s="7">
        <v>121.8</v>
      </c>
      <c r="Z422" s="7">
        <v>-22.3</v>
      </c>
      <c r="AA422" s="7">
        <v>23.5</v>
      </c>
      <c r="AB422" s="7">
        <v>1.81</v>
      </c>
      <c r="AC422" s="7">
        <v>25</v>
      </c>
      <c r="AD422" s="7">
        <v>3.3</v>
      </c>
      <c r="AE422" s="7">
        <v>9.8000000000000007</v>
      </c>
      <c r="AF422" s="7">
        <v>6.4</v>
      </c>
      <c r="AG422" s="7">
        <v>13.8</v>
      </c>
      <c r="AH422" s="7">
        <v>36.9</v>
      </c>
      <c r="AI422" s="7">
        <v>39.9</v>
      </c>
      <c r="AJ422" s="7">
        <v>18.600000000000001</v>
      </c>
      <c r="AK422" s="7">
        <v>99.5</v>
      </c>
      <c r="AL422" s="7">
        <v>5.0999999999999996</v>
      </c>
      <c r="AM422" s="7">
        <v>769</v>
      </c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1"/>
    </row>
    <row r="423" spans="1:64" ht="13">
      <c r="A423" s="6" t="s">
        <v>885</v>
      </c>
      <c r="B423" s="6" t="s">
        <v>886</v>
      </c>
      <c r="C423" s="31">
        <v>110</v>
      </c>
      <c r="D423" s="24">
        <v>35</v>
      </c>
      <c r="E423" s="24">
        <v>96</v>
      </c>
      <c r="F423" s="8">
        <v>37.5</v>
      </c>
      <c r="G423" s="9">
        <v>75</v>
      </c>
      <c r="H423" s="8">
        <v>34.700000000000003</v>
      </c>
      <c r="I423" s="8">
        <v>12</v>
      </c>
      <c r="J423" s="8">
        <v>15</v>
      </c>
      <c r="K423" s="8">
        <v>92.9</v>
      </c>
      <c r="L423" s="9">
        <v>3</v>
      </c>
      <c r="M423" s="9">
        <v>17</v>
      </c>
      <c r="N423" s="9">
        <v>23</v>
      </c>
      <c r="O423" s="9">
        <v>26</v>
      </c>
      <c r="P423" s="9">
        <v>17</v>
      </c>
      <c r="Q423" s="9">
        <v>12</v>
      </c>
      <c r="R423" s="9">
        <v>3</v>
      </c>
      <c r="S423" s="9">
        <v>23</v>
      </c>
      <c r="T423" s="8">
        <v>209</v>
      </c>
      <c r="U423" s="8">
        <v>0</v>
      </c>
      <c r="V423" s="8">
        <v>0</v>
      </c>
      <c r="W423" s="7">
        <v>-0.5</v>
      </c>
      <c r="X423" s="7">
        <v>104.6</v>
      </c>
      <c r="Y423" s="7">
        <v>108</v>
      </c>
      <c r="Z423" s="7">
        <v>-3.4</v>
      </c>
      <c r="AA423" s="7">
        <v>12.3</v>
      </c>
      <c r="AB423" s="7">
        <v>1.53</v>
      </c>
      <c r="AC423" s="7">
        <v>18.100000000000001</v>
      </c>
      <c r="AD423" s="7">
        <v>1.2</v>
      </c>
      <c r="AE423" s="7">
        <v>5.0999999999999996</v>
      </c>
      <c r="AF423" s="7">
        <v>3.2</v>
      </c>
      <c r="AG423" s="7">
        <v>11.8</v>
      </c>
      <c r="AH423" s="7">
        <v>51</v>
      </c>
      <c r="AI423" s="7">
        <v>54.3</v>
      </c>
      <c r="AJ423" s="7">
        <v>15</v>
      </c>
      <c r="AK423" s="7">
        <v>103.29</v>
      </c>
      <c r="AL423" s="7">
        <v>5.5</v>
      </c>
      <c r="AM423" s="7">
        <v>694</v>
      </c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1"/>
    </row>
    <row r="424" spans="1:64" ht="13">
      <c r="A424" s="6" t="s">
        <v>887</v>
      </c>
      <c r="B424" s="6" t="s">
        <v>888</v>
      </c>
      <c r="C424" s="31">
        <v>110</v>
      </c>
      <c r="D424" s="24">
        <v>41</v>
      </c>
      <c r="E424" s="24">
        <v>92</v>
      </c>
      <c r="F424" s="8">
        <v>45.1</v>
      </c>
      <c r="G424" s="9">
        <v>60</v>
      </c>
      <c r="H424" s="8">
        <v>37.1</v>
      </c>
      <c r="I424" s="8">
        <v>9</v>
      </c>
      <c r="J424" s="8">
        <v>9</v>
      </c>
      <c r="K424" s="8">
        <v>87.5</v>
      </c>
      <c r="L424" s="9">
        <v>37</v>
      </c>
      <c r="M424" s="9">
        <v>115</v>
      </c>
      <c r="N424" s="9">
        <v>152</v>
      </c>
      <c r="O424" s="9">
        <v>41</v>
      </c>
      <c r="P424" s="9">
        <v>14</v>
      </c>
      <c r="Q424" s="9">
        <v>32</v>
      </c>
      <c r="R424" s="9">
        <v>14</v>
      </c>
      <c r="S424" s="9">
        <v>32</v>
      </c>
      <c r="T424" s="8">
        <v>474</v>
      </c>
      <c r="U424" s="8">
        <v>0</v>
      </c>
      <c r="V424" s="8">
        <v>0</v>
      </c>
      <c r="W424" s="7">
        <v>1.3</v>
      </c>
      <c r="X424" s="7">
        <v>113.2</v>
      </c>
      <c r="Y424" s="7">
        <v>107.8</v>
      </c>
      <c r="Z424" s="7">
        <v>5.4</v>
      </c>
      <c r="AA424" s="7">
        <v>9.5</v>
      </c>
      <c r="AB424" s="7">
        <v>2.63</v>
      </c>
      <c r="AC424" s="7">
        <v>27.6</v>
      </c>
      <c r="AD424" s="7">
        <v>6</v>
      </c>
      <c r="AE424" s="7">
        <v>18.7</v>
      </c>
      <c r="AF424" s="7">
        <v>12.3</v>
      </c>
      <c r="AG424" s="7">
        <v>10.5</v>
      </c>
      <c r="AH424" s="7">
        <v>57.7</v>
      </c>
      <c r="AI424" s="7">
        <v>59.2</v>
      </c>
      <c r="AJ424" s="7">
        <v>7.7</v>
      </c>
      <c r="AK424" s="7">
        <v>105.46</v>
      </c>
      <c r="AL424" s="7">
        <v>9.4</v>
      </c>
      <c r="AM424" s="7">
        <v>1223</v>
      </c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1"/>
    </row>
    <row r="425" spans="1:64" ht="13">
      <c r="A425" s="6" t="s">
        <v>889</v>
      </c>
      <c r="B425" s="6" t="s">
        <v>890</v>
      </c>
      <c r="C425" s="31">
        <v>109</v>
      </c>
      <c r="D425" s="24">
        <v>45</v>
      </c>
      <c r="E425" s="24">
        <v>102</v>
      </c>
      <c r="F425" s="8">
        <v>44.1</v>
      </c>
      <c r="G425" s="9">
        <v>35</v>
      </c>
      <c r="H425" s="8">
        <v>25.7</v>
      </c>
      <c r="I425" s="8">
        <v>10</v>
      </c>
      <c r="J425" s="8">
        <v>16</v>
      </c>
      <c r="K425" s="8">
        <v>62.5</v>
      </c>
      <c r="L425" s="9">
        <v>17</v>
      </c>
      <c r="M425" s="9">
        <v>48</v>
      </c>
      <c r="N425" s="9">
        <v>65</v>
      </c>
      <c r="O425" s="9">
        <v>20</v>
      </c>
      <c r="P425" s="9">
        <v>15</v>
      </c>
      <c r="Q425" s="9">
        <v>4</v>
      </c>
      <c r="R425" s="9">
        <v>1</v>
      </c>
      <c r="S425" s="9">
        <v>21</v>
      </c>
      <c r="T425" s="8">
        <v>217</v>
      </c>
      <c r="U425" s="8">
        <v>3</v>
      </c>
      <c r="V425" s="8">
        <v>0</v>
      </c>
      <c r="W425" s="7">
        <v>-7.3</v>
      </c>
      <c r="X425" s="7">
        <v>102.8</v>
      </c>
      <c r="Y425" s="7">
        <v>115.5</v>
      </c>
      <c r="Z425" s="7">
        <v>-12.6</v>
      </c>
      <c r="AA425" s="7">
        <v>13.7</v>
      </c>
      <c r="AB425" s="7">
        <v>1.33</v>
      </c>
      <c r="AC425" s="7">
        <v>14</v>
      </c>
      <c r="AD425" s="7">
        <v>6</v>
      </c>
      <c r="AE425" s="7">
        <v>19.399999999999999</v>
      </c>
      <c r="AF425" s="7">
        <v>12.3</v>
      </c>
      <c r="AG425" s="7">
        <v>10.5</v>
      </c>
      <c r="AH425" s="7">
        <v>48.5</v>
      </c>
      <c r="AI425" s="7">
        <v>50</v>
      </c>
      <c r="AJ425" s="7">
        <v>20.5</v>
      </c>
      <c r="AK425" s="7">
        <v>100.3</v>
      </c>
      <c r="AL425" s="7">
        <v>8.6</v>
      </c>
      <c r="AM425" s="7">
        <v>531</v>
      </c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1"/>
    </row>
    <row r="426" spans="1:64" ht="13">
      <c r="A426" s="6" t="s">
        <v>891</v>
      </c>
      <c r="B426" s="6" t="s">
        <v>892</v>
      </c>
      <c r="C426" s="31">
        <v>109</v>
      </c>
      <c r="D426" s="24">
        <v>39</v>
      </c>
      <c r="E426" s="24">
        <v>91</v>
      </c>
      <c r="F426" s="8">
        <v>42.2</v>
      </c>
      <c r="G426" s="9">
        <v>65</v>
      </c>
      <c r="H426" s="8">
        <v>36.4</v>
      </c>
      <c r="I426" s="8">
        <v>8</v>
      </c>
      <c r="J426" s="8">
        <v>13</v>
      </c>
      <c r="K426" s="8">
        <v>66.7</v>
      </c>
      <c r="L426" s="9">
        <v>26</v>
      </c>
      <c r="M426" s="9">
        <v>47</v>
      </c>
      <c r="N426" s="9">
        <v>73</v>
      </c>
      <c r="O426" s="9">
        <v>18</v>
      </c>
      <c r="P426" s="9">
        <v>8</v>
      </c>
      <c r="Q426" s="9">
        <v>8</v>
      </c>
      <c r="R426" s="9">
        <v>13</v>
      </c>
      <c r="S426" s="9">
        <v>34</v>
      </c>
      <c r="T426" s="8">
        <v>273</v>
      </c>
      <c r="U426" s="8">
        <v>0</v>
      </c>
      <c r="V426" s="8">
        <v>0</v>
      </c>
      <c r="W426" s="7">
        <v>-1.9</v>
      </c>
      <c r="X426" s="7">
        <v>104.9</v>
      </c>
      <c r="Y426" s="7">
        <v>109.8</v>
      </c>
      <c r="Z426" s="7">
        <v>-5</v>
      </c>
      <c r="AA426" s="7">
        <v>7.8</v>
      </c>
      <c r="AB426" s="7">
        <v>2.13</v>
      </c>
      <c r="AC426" s="7">
        <v>14</v>
      </c>
      <c r="AD426" s="7">
        <v>7.6</v>
      </c>
      <c r="AE426" s="7">
        <v>13.8</v>
      </c>
      <c r="AF426" s="7">
        <v>10.6</v>
      </c>
      <c r="AG426" s="7">
        <v>6.6</v>
      </c>
      <c r="AH426" s="7">
        <v>55.6</v>
      </c>
      <c r="AI426" s="7">
        <v>56.7</v>
      </c>
      <c r="AJ426" s="7">
        <v>13.9</v>
      </c>
      <c r="AK426" s="7">
        <v>98.16</v>
      </c>
      <c r="AL426" s="7">
        <v>8</v>
      </c>
      <c r="AM426" s="7">
        <v>634</v>
      </c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1"/>
    </row>
    <row r="427" spans="1:64" ht="13">
      <c r="A427" s="6" t="s">
        <v>893</v>
      </c>
      <c r="B427" s="6" t="s">
        <v>894</v>
      </c>
      <c r="C427" s="31">
        <v>108</v>
      </c>
      <c r="D427" s="24">
        <v>34</v>
      </c>
      <c r="E427" s="24">
        <v>90</v>
      </c>
      <c r="F427" s="8">
        <v>38.9</v>
      </c>
      <c r="G427" s="9">
        <v>47</v>
      </c>
      <c r="H427" s="8">
        <v>25</v>
      </c>
      <c r="I427" s="8">
        <v>26</v>
      </c>
      <c r="J427" s="8">
        <v>39</v>
      </c>
      <c r="K427" s="8">
        <v>71.099999999999994</v>
      </c>
      <c r="L427" s="9">
        <v>17</v>
      </c>
      <c r="M427" s="9">
        <v>43</v>
      </c>
      <c r="N427" s="9">
        <v>56</v>
      </c>
      <c r="O427" s="9">
        <v>34</v>
      </c>
      <c r="P427" s="9">
        <v>17</v>
      </c>
      <c r="Q427" s="9">
        <v>26</v>
      </c>
      <c r="R427" s="9">
        <v>4</v>
      </c>
      <c r="S427" s="9">
        <v>43</v>
      </c>
      <c r="T427" s="8">
        <v>297</v>
      </c>
      <c r="U427" s="8">
        <v>0</v>
      </c>
      <c r="V427" s="8">
        <v>0</v>
      </c>
      <c r="W427" s="7">
        <v>-0.7</v>
      </c>
      <c r="X427" s="7">
        <v>105.6</v>
      </c>
      <c r="Y427" s="7">
        <v>108.9</v>
      </c>
      <c r="Z427" s="7">
        <v>-3.3</v>
      </c>
      <c r="AA427" s="7">
        <v>13</v>
      </c>
      <c r="AB427" s="7">
        <v>2.06</v>
      </c>
      <c r="AC427" s="7">
        <v>21</v>
      </c>
      <c r="AD427" s="7">
        <v>4.4000000000000004</v>
      </c>
      <c r="AE427" s="7">
        <v>10.7</v>
      </c>
      <c r="AF427" s="7">
        <v>7.6</v>
      </c>
      <c r="AG427" s="7">
        <v>10.199999999999999</v>
      </c>
      <c r="AH427" s="7">
        <v>45.6</v>
      </c>
      <c r="AI427" s="7">
        <v>51.1</v>
      </c>
      <c r="AJ427" s="7">
        <v>13.9</v>
      </c>
      <c r="AK427" s="7">
        <v>102.79</v>
      </c>
      <c r="AL427" s="7">
        <v>6.3</v>
      </c>
      <c r="AM427" s="7">
        <v>779</v>
      </c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1"/>
    </row>
    <row r="428" spans="1:64" ht="13">
      <c r="A428" s="6" t="s">
        <v>895</v>
      </c>
      <c r="B428" s="6" t="s">
        <v>896</v>
      </c>
      <c r="C428" s="31">
        <v>107</v>
      </c>
      <c r="D428" s="24">
        <v>48</v>
      </c>
      <c r="E428" s="24">
        <v>96</v>
      </c>
      <c r="F428" s="8">
        <v>49.5</v>
      </c>
      <c r="G428" s="9">
        <v>4</v>
      </c>
      <c r="H428" s="8">
        <v>50</v>
      </c>
      <c r="I428" s="8">
        <v>11</v>
      </c>
      <c r="J428" s="8">
        <v>19</v>
      </c>
      <c r="K428" s="8">
        <v>60</v>
      </c>
      <c r="L428" s="9">
        <v>52</v>
      </c>
      <c r="M428" s="9">
        <v>70</v>
      </c>
      <c r="N428" s="9">
        <v>118</v>
      </c>
      <c r="O428" s="9">
        <v>22</v>
      </c>
      <c r="P428" s="9">
        <v>26</v>
      </c>
      <c r="Q428" s="9">
        <v>7</v>
      </c>
      <c r="R428" s="9">
        <v>19</v>
      </c>
      <c r="S428" s="9">
        <v>56</v>
      </c>
      <c r="T428" s="8">
        <v>337</v>
      </c>
      <c r="U428" s="8">
        <v>1</v>
      </c>
      <c r="V428" s="8">
        <v>0</v>
      </c>
      <c r="W428" s="7">
        <v>-3.4</v>
      </c>
      <c r="X428" s="7">
        <v>96.6</v>
      </c>
      <c r="Y428" s="7">
        <v>110.4</v>
      </c>
      <c r="Z428" s="7">
        <v>-13.8</v>
      </c>
      <c r="AA428" s="7">
        <v>8.1</v>
      </c>
      <c r="AB428" s="7">
        <v>0.84</v>
      </c>
      <c r="AC428" s="7">
        <v>14</v>
      </c>
      <c r="AD428" s="7">
        <v>11.4</v>
      </c>
      <c r="AE428" s="7">
        <v>15.1</v>
      </c>
      <c r="AF428" s="7">
        <v>13.3</v>
      </c>
      <c r="AG428" s="7">
        <v>16.7</v>
      </c>
      <c r="AH428" s="7">
        <v>50</v>
      </c>
      <c r="AI428" s="7">
        <v>51.5</v>
      </c>
      <c r="AJ428" s="7">
        <v>13.2</v>
      </c>
      <c r="AK428" s="7">
        <v>99.38</v>
      </c>
      <c r="AL428" s="7">
        <v>6.8</v>
      </c>
      <c r="AM428" s="7">
        <v>843</v>
      </c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1"/>
    </row>
    <row r="429" spans="1:64" ht="13">
      <c r="A429" s="6" t="s">
        <v>897</v>
      </c>
      <c r="B429" s="6" t="s">
        <v>898</v>
      </c>
      <c r="C429" s="31">
        <v>107</v>
      </c>
      <c r="D429" s="24">
        <v>38</v>
      </c>
      <c r="E429" s="24">
        <v>98</v>
      </c>
      <c r="F429" s="8">
        <v>37.799999999999997</v>
      </c>
      <c r="G429" s="9">
        <v>47</v>
      </c>
      <c r="H429" s="8">
        <v>30.4</v>
      </c>
      <c r="I429" s="8">
        <v>18</v>
      </c>
      <c r="J429" s="8">
        <v>21</v>
      </c>
      <c r="K429" s="8">
        <v>85.7</v>
      </c>
      <c r="L429" s="9">
        <v>3</v>
      </c>
      <c r="M429" s="9">
        <v>24</v>
      </c>
      <c r="N429" s="9">
        <v>27</v>
      </c>
      <c r="O429" s="9">
        <v>38</v>
      </c>
      <c r="P429" s="9">
        <v>18</v>
      </c>
      <c r="Q429" s="9">
        <v>5</v>
      </c>
      <c r="R429" s="9">
        <v>8</v>
      </c>
      <c r="S429" s="9">
        <v>26</v>
      </c>
      <c r="T429" s="8">
        <v>212</v>
      </c>
      <c r="U429" s="8">
        <v>0</v>
      </c>
      <c r="V429" s="8">
        <v>0</v>
      </c>
      <c r="W429" s="7">
        <v>-6.4</v>
      </c>
      <c r="X429" s="7">
        <v>107.2</v>
      </c>
      <c r="Y429" s="7">
        <v>123.5</v>
      </c>
      <c r="Z429" s="7">
        <v>-16.399999999999999</v>
      </c>
      <c r="AA429" s="7">
        <v>16.5</v>
      </c>
      <c r="AB429" s="7">
        <v>2.06</v>
      </c>
      <c r="AC429" s="7">
        <v>22.7</v>
      </c>
      <c r="AD429" s="7">
        <v>0.9</v>
      </c>
      <c r="AE429" s="7">
        <v>7.7</v>
      </c>
      <c r="AF429" s="7">
        <v>4.0999999999999996</v>
      </c>
      <c r="AG429" s="7">
        <v>11</v>
      </c>
      <c r="AH429" s="7">
        <v>44.9</v>
      </c>
      <c r="AI429" s="7">
        <v>49.4</v>
      </c>
      <c r="AJ429" s="7">
        <v>16.399999999999999</v>
      </c>
      <c r="AK429" s="7">
        <v>101.36</v>
      </c>
      <c r="AL429" s="7">
        <v>4.9000000000000004</v>
      </c>
      <c r="AM429" s="7">
        <v>670</v>
      </c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1"/>
    </row>
    <row r="430" spans="1:64" ht="13">
      <c r="A430" s="6" t="s">
        <v>899</v>
      </c>
      <c r="B430" s="6" t="s">
        <v>900</v>
      </c>
      <c r="C430" s="31">
        <v>106</v>
      </c>
      <c r="D430" s="24">
        <v>40</v>
      </c>
      <c r="E430" s="24">
        <v>92</v>
      </c>
      <c r="F430" s="8">
        <v>40.4</v>
      </c>
      <c r="G430" s="9">
        <v>46</v>
      </c>
      <c r="H430" s="8">
        <v>27.7</v>
      </c>
      <c r="I430" s="8">
        <v>17</v>
      </c>
      <c r="J430" s="8">
        <v>26</v>
      </c>
      <c r="K430" s="8">
        <v>61.5</v>
      </c>
      <c r="L430" s="9">
        <v>17</v>
      </c>
      <c r="M430" s="9">
        <v>50</v>
      </c>
      <c r="N430" s="9">
        <v>66</v>
      </c>
      <c r="O430" s="9">
        <v>23</v>
      </c>
      <c r="P430" s="9">
        <v>13</v>
      </c>
      <c r="Q430" s="9">
        <v>33</v>
      </c>
      <c r="R430" s="9">
        <v>10</v>
      </c>
      <c r="S430" s="9">
        <v>43</v>
      </c>
      <c r="T430" s="8">
        <v>333</v>
      </c>
      <c r="U430" s="8">
        <v>0</v>
      </c>
      <c r="V430" s="8">
        <v>0</v>
      </c>
      <c r="W430" s="7">
        <v>-2.8</v>
      </c>
      <c r="X430" s="7">
        <v>107.6</v>
      </c>
      <c r="Y430" s="7">
        <v>115.9</v>
      </c>
      <c r="Z430" s="7">
        <v>-8.4</v>
      </c>
      <c r="AA430" s="7">
        <v>4.9000000000000004</v>
      </c>
      <c r="AB430" s="7">
        <v>1.83</v>
      </c>
      <c r="AC430" s="7">
        <v>15.8</v>
      </c>
      <c r="AD430" s="7">
        <v>2.9</v>
      </c>
      <c r="AE430" s="7">
        <v>8.1</v>
      </c>
      <c r="AF430" s="7">
        <v>5.6</v>
      </c>
      <c r="AG430" s="7">
        <v>8.6</v>
      </c>
      <c r="AH430" s="7">
        <v>47.3</v>
      </c>
      <c r="AI430" s="7">
        <v>49.8</v>
      </c>
      <c r="AJ430" s="7">
        <v>8.4</v>
      </c>
      <c r="AK430" s="7">
        <v>100.53</v>
      </c>
      <c r="AL430" s="7">
        <v>4</v>
      </c>
      <c r="AM430" s="7">
        <v>1240</v>
      </c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1"/>
    </row>
    <row r="431" spans="1:64" ht="13">
      <c r="A431" s="6" t="s">
        <v>901</v>
      </c>
      <c r="B431" s="6" t="s">
        <v>902</v>
      </c>
      <c r="C431" s="31">
        <v>106</v>
      </c>
      <c r="D431" s="24">
        <v>42</v>
      </c>
      <c r="E431" s="24">
        <v>70</v>
      </c>
      <c r="F431" s="8">
        <v>60</v>
      </c>
      <c r="G431" s="8">
        <v>0</v>
      </c>
      <c r="H431" s="8">
        <v>0</v>
      </c>
      <c r="I431" s="8">
        <v>22</v>
      </c>
      <c r="J431" s="8">
        <v>31</v>
      </c>
      <c r="K431" s="8">
        <v>74.2</v>
      </c>
      <c r="L431" s="9">
        <v>46</v>
      </c>
      <c r="M431" s="9">
        <v>76</v>
      </c>
      <c r="N431" s="9">
        <v>122</v>
      </c>
      <c r="O431" s="9">
        <v>8</v>
      </c>
      <c r="P431" s="9">
        <v>10</v>
      </c>
      <c r="Q431" s="9">
        <v>13</v>
      </c>
      <c r="R431" s="9">
        <v>1</v>
      </c>
      <c r="S431" s="9">
        <v>24</v>
      </c>
      <c r="T431" s="8">
        <v>300</v>
      </c>
      <c r="U431" s="8">
        <v>4</v>
      </c>
      <c r="V431" s="8">
        <v>0</v>
      </c>
      <c r="W431" s="7">
        <v>-0.8</v>
      </c>
      <c r="X431" s="7">
        <v>113.4</v>
      </c>
      <c r="Y431" s="7">
        <v>115.8</v>
      </c>
      <c r="Z431" s="7">
        <v>-2.5</v>
      </c>
      <c r="AA431" s="7">
        <v>5.0999999999999996</v>
      </c>
      <c r="AB431" s="7">
        <v>0.9</v>
      </c>
      <c r="AC431" s="7">
        <v>8.9</v>
      </c>
      <c r="AD431" s="7">
        <v>16</v>
      </c>
      <c r="AE431" s="7">
        <v>28.6</v>
      </c>
      <c r="AF431" s="7">
        <v>22.1</v>
      </c>
      <c r="AG431" s="7">
        <v>9.9</v>
      </c>
      <c r="AH431" s="7">
        <v>60</v>
      </c>
      <c r="AI431" s="7">
        <v>64</v>
      </c>
      <c r="AJ431" s="7">
        <v>14.4</v>
      </c>
      <c r="AK431" s="7">
        <v>101.2</v>
      </c>
      <c r="AL431" s="7">
        <v>14</v>
      </c>
      <c r="AM431" s="7">
        <v>539</v>
      </c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1"/>
    </row>
    <row r="432" spans="1:64" ht="13">
      <c r="A432" s="6" t="s">
        <v>903</v>
      </c>
      <c r="B432" s="6" t="s">
        <v>904</v>
      </c>
      <c r="C432" s="31">
        <v>105</v>
      </c>
      <c r="D432" s="24">
        <v>35</v>
      </c>
      <c r="E432" s="24">
        <v>90</v>
      </c>
      <c r="F432" s="8">
        <v>38</v>
      </c>
      <c r="G432" s="9">
        <v>50</v>
      </c>
      <c r="H432" s="8">
        <v>30</v>
      </c>
      <c r="I432" s="8">
        <v>20</v>
      </c>
      <c r="J432" s="8">
        <v>20</v>
      </c>
      <c r="K432" s="8">
        <v>81.8</v>
      </c>
      <c r="L432" s="9">
        <v>25</v>
      </c>
      <c r="M432" s="9">
        <v>50</v>
      </c>
      <c r="N432" s="9">
        <v>70</v>
      </c>
      <c r="O432" s="9">
        <v>20</v>
      </c>
      <c r="P432" s="9">
        <v>10</v>
      </c>
      <c r="Q432" s="9">
        <v>20</v>
      </c>
      <c r="R432" s="9">
        <v>10</v>
      </c>
      <c r="S432" s="9">
        <v>40</v>
      </c>
      <c r="T432" s="8">
        <v>290</v>
      </c>
      <c r="U432" s="8">
        <v>0</v>
      </c>
      <c r="V432" s="8">
        <v>0</v>
      </c>
      <c r="W432" s="7">
        <v>0.4</v>
      </c>
      <c r="X432" s="7">
        <v>106.1</v>
      </c>
      <c r="Y432" s="7">
        <v>105.4</v>
      </c>
      <c r="Z432" s="7">
        <v>0.6</v>
      </c>
      <c r="AA432" s="7">
        <v>6.3</v>
      </c>
      <c r="AB432" s="7">
        <v>1.58</v>
      </c>
      <c r="AC432" s="7">
        <v>14.4</v>
      </c>
      <c r="AD432" s="7">
        <v>6</v>
      </c>
      <c r="AE432" s="7">
        <v>12.6</v>
      </c>
      <c r="AF432" s="7">
        <v>9.3000000000000007</v>
      </c>
      <c r="AG432" s="7">
        <v>9.1</v>
      </c>
      <c r="AH432" s="7">
        <v>46.2</v>
      </c>
      <c r="AI432" s="7">
        <v>50.6</v>
      </c>
      <c r="AJ432" s="7">
        <v>11.8</v>
      </c>
      <c r="AK432" s="7">
        <v>105.49</v>
      </c>
      <c r="AL432" s="7">
        <v>5.9</v>
      </c>
      <c r="AM432" s="7">
        <v>842</v>
      </c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1"/>
    </row>
    <row r="433" spans="1:64" ht="13">
      <c r="A433" s="6" t="s">
        <v>905</v>
      </c>
      <c r="B433" s="6" t="s">
        <v>906</v>
      </c>
      <c r="C433" s="31">
        <v>105</v>
      </c>
      <c r="D433" s="24">
        <v>35</v>
      </c>
      <c r="E433" s="24">
        <v>83</v>
      </c>
      <c r="F433" s="8">
        <v>41.5</v>
      </c>
      <c r="G433" s="9">
        <v>53</v>
      </c>
      <c r="H433" s="8">
        <v>36.5</v>
      </c>
      <c r="I433" s="8">
        <v>20</v>
      </c>
      <c r="J433" s="8">
        <v>20</v>
      </c>
      <c r="K433" s="8">
        <v>100</v>
      </c>
      <c r="L433" s="9">
        <v>13</v>
      </c>
      <c r="M433" s="9">
        <v>18</v>
      </c>
      <c r="N433" s="9">
        <v>30</v>
      </c>
      <c r="O433" s="9">
        <v>35</v>
      </c>
      <c r="P433" s="9">
        <v>5</v>
      </c>
      <c r="Q433" s="9">
        <v>10</v>
      </c>
      <c r="R433" s="8">
        <v>0</v>
      </c>
      <c r="S433" s="9">
        <v>23</v>
      </c>
      <c r="T433" s="8">
        <v>218</v>
      </c>
      <c r="U433" s="8">
        <v>0</v>
      </c>
      <c r="V433" s="8">
        <v>0</v>
      </c>
      <c r="W433" s="7">
        <v>1.6</v>
      </c>
      <c r="X433" s="7">
        <v>116.4</v>
      </c>
      <c r="Y433" s="7">
        <v>109.6</v>
      </c>
      <c r="Z433" s="7">
        <v>6.8</v>
      </c>
      <c r="AA433" s="7">
        <v>18.2</v>
      </c>
      <c r="AB433" s="7">
        <v>5.67</v>
      </c>
      <c r="AC433" s="7">
        <v>26.2</v>
      </c>
      <c r="AD433" s="7">
        <v>4.3</v>
      </c>
      <c r="AE433" s="7">
        <v>7</v>
      </c>
      <c r="AF433" s="7">
        <v>5.6</v>
      </c>
      <c r="AG433" s="7">
        <v>4.5999999999999996</v>
      </c>
      <c r="AH433" s="7">
        <v>53</v>
      </c>
      <c r="AI433" s="7">
        <v>58.7</v>
      </c>
      <c r="AJ433" s="7">
        <v>14.8</v>
      </c>
      <c r="AK433" s="7">
        <v>103.04</v>
      </c>
      <c r="AL433" s="7">
        <v>8.6999999999999993</v>
      </c>
      <c r="AM433" s="7">
        <v>543</v>
      </c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1"/>
    </row>
    <row r="434" spans="1:64" ht="13">
      <c r="A434" s="6" t="s">
        <v>907</v>
      </c>
      <c r="B434" s="6" t="s">
        <v>908</v>
      </c>
      <c r="C434" s="31">
        <v>102</v>
      </c>
      <c r="D434" s="24">
        <v>37</v>
      </c>
      <c r="E434" s="24">
        <v>95</v>
      </c>
      <c r="F434" s="8">
        <v>38.5</v>
      </c>
      <c r="G434" s="9">
        <v>48</v>
      </c>
      <c r="H434" s="8">
        <v>26.5</v>
      </c>
      <c r="I434" s="8">
        <v>17</v>
      </c>
      <c r="J434" s="8">
        <v>20</v>
      </c>
      <c r="K434" s="8">
        <v>76.2</v>
      </c>
      <c r="L434" s="9">
        <v>24</v>
      </c>
      <c r="M434" s="9">
        <v>71</v>
      </c>
      <c r="N434" s="9">
        <v>95</v>
      </c>
      <c r="O434" s="9">
        <v>44</v>
      </c>
      <c r="P434" s="9">
        <v>24</v>
      </c>
      <c r="Q434" s="9">
        <v>10</v>
      </c>
      <c r="R434" s="9">
        <v>17</v>
      </c>
      <c r="S434" s="9">
        <v>65</v>
      </c>
      <c r="T434" s="8">
        <v>337</v>
      </c>
      <c r="U434" s="8">
        <v>0</v>
      </c>
      <c r="V434" s="8">
        <v>0</v>
      </c>
      <c r="W434" s="7">
        <v>-0.5</v>
      </c>
      <c r="X434" s="7">
        <v>111.9</v>
      </c>
      <c r="Y434" s="7">
        <v>112.3</v>
      </c>
      <c r="Z434" s="7">
        <v>-0.4</v>
      </c>
      <c r="AA434" s="7">
        <v>8.6999999999999993</v>
      </c>
      <c r="AB434" s="7">
        <v>1.87</v>
      </c>
      <c r="AC434" s="7">
        <v>25</v>
      </c>
      <c r="AD434" s="7">
        <v>4</v>
      </c>
      <c r="AE434" s="7">
        <v>10.5</v>
      </c>
      <c r="AF434" s="7">
        <v>7.3</v>
      </c>
      <c r="AG434" s="7">
        <v>13.4</v>
      </c>
      <c r="AH434" s="7">
        <v>45.3</v>
      </c>
      <c r="AI434" s="7">
        <v>48.9</v>
      </c>
      <c r="AJ434" s="7">
        <v>8.5</v>
      </c>
      <c r="AK434" s="7">
        <v>101.75</v>
      </c>
      <c r="AL434" s="7">
        <v>3.5</v>
      </c>
      <c r="AM434" s="7">
        <v>1345</v>
      </c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1"/>
    </row>
    <row r="435" spans="1:64" ht="13">
      <c r="A435" s="6" t="s">
        <v>909</v>
      </c>
      <c r="B435" s="6" t="s">
        <v>910</v>
      </c>
      <c r="C435" s="31">
        <v>98</v>
      </c>
      <c r="D435" s="24">
        <v>43</v>
      </c>
      <c r="E435" s="24">
        <v>101</v>
      </c>
      <c r="F435" s="8">
        <v>40.6</v>
      </c>
      <c r="G435" s="9">
        <v>23</v>
      </c>
      <c r="H435" s="8">
        <v>22.7</v>
      </c>
      <c r="I435" s="8">
        <v>12</v>
      </c>
      <c r="J435" s="8">
        <v>16</v>
      </c>
      <c r="K435" s="8">
        <v>73.3</v>
      </c>
      <c r="L435" s="9">
        <v>16</v>
      </c>
      <c r="M435" s="9">
        <v>31</v>
      </c>
      <c r="N435" s="9">
        <v>47</v>
      </c>
      <c r="O435" s="9">
        <v>47</v>
      </c>
      <c r="P435" s="9">
        <v>20</v>
      </c>
      <c r="Q435" s="9">
        <v>16</v>
      </c>
      <c r="R435" s="9">
        <v>4</v>
      </c>
      <c r="S435" s="9">
        <v>20</v>
      </c>
      <c r="T435" s="8">
        <v>257</v>
      </c>
      <c r="U435" s="8">
        <v>0</v>
      </c>
      <c r="V435" s="8">
        <v>0</v>
      </c>
      <c r="W435" s="7">
        <v>-0.4</v>
      </c>
      <c r="X435" s="7">
        <v>105</v>
      </c>
      <c r="Y435" s="7">
        <v>107.8</v>
      </c>
      <c r="Z435" s="7">
        <v>-2.8</v>
      </c>
      <c r="AA435" s="7">
        <v>27.4</v>
      </c>
      <c r="AB435" s="7">
        <v>2.67</v>
      </c>
      <c r="AC435" s="7">
        <v>27.6</v>
      </c>
      <c r="AD435" s="7">
        <v>5.5</v>
      </c>
      <c r="AE435" s="7">
        <v>13.1</v>
      </c>
      <c r="AF435" s="7">
        <v>9</v>
      </c>
      <c r="AG435" s="7">
        <v>10.3</v>
      </c>
      <c r="AH435" s="7">
        <v>43.1</v>
      </c>
      <c r="AI435" s="7">
        <v>45.5</v>
      </c>
      <c r="AJ435" s="7">
        <v>20.399999999999999</v>
      </c>
      <c r="AK435" s="7">
        <v>103.26</v>
      </c>
      <c r="AL435" s="7">
        <v>9.3000000000000007</v>
      </c>
      <c r="AM435" s="7">
        <v>536</v>
      </c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1"/>
    </row>
    <row r="436" spans="1:64" ht="13">
      <c r="A436" s="6" t="s">
        <v>911</v>
      </c>
      <c r="B436" s="6" t="s">
        <v>912</v>
      </c>
      <c r="C436" s="31">
        <v>97</v>
      </c>
      <c r="D436" s="24">
        <v>32</v>
      </c>
      <c r="E436" s="24">
        <v>74</v>
      </c>
      <c r="F436" s="8">
        <v>43.1</v>
      </c>
      <c r="G436" s="9">
        <v>46</v>
      </c>
      <c r="H436" s="8">
        <v>41.3</v>
      </c>
      <c r="I436" s="8">
        <v>18</v>
      </c>
      <c r="J436" s="8">
        <v>23</v>
      </c>
      <c r="K436" s="8">
        <v>77.3</v>
      </c>
      <c r="L436" s="9">
        <v>5</v>
      </c>
      <c r="M436" s="9">
        <v>23</v>
      </c>
      <c r="N436" s="9">
        <v>32</v>
      </c>
      <c r="O436" s="9">
        <v>51</v>
      </c>
      <c r="P436" s="9">
        <v>14</v>
      </c>
      <c r="Q436" s="9">
        <v>14</v>
      </c>
      <c r="R436" s="8">
        <v>0</v>
      </c>
      <c r="S436" s="9">
        <v>18</v>
      </c>
      <c r="T436" s="8">
        <v>244</v>
      </c>
      <c r="U436" s="8">
        <v>0</v>
      </c>
      <c r="V436" s="8">
        <v>0</v>
      </c>
      <c r="W436" s="7">
        <v>1.2</v>
      </c>
      <c r="X436" s="7">
        <v>118</v>
      </c>
      <c r="Y436" s="7">
        <v>108.9</v>
      </c>
      <c r="Z436" s="7">
        <v>9.1</v>
      </c>
      <c r="AA436" s="7">
        <v>20.8</v>
      </c>
      <c r="AB436" s="7">
        <v>3.19</v>
      </c>
      <c r="AC436" s="7">
        <v>34.200000000000003</v>
      </c>
      <c r="AD436" s="7">
        <v>2.1</v>
      </c>
      <c r="AE436" s="7">
        <v>7.4</v>
      </c>
      <c r="AF436" s="7">
        <v>5</v>
      </c>
      <c r="AG436" s="7">
        <v>10.7</v>
      </c>
      <c r="AH436" s="7">
        <v>56.3</v>
      </c>
      <c r="AI436" s="7">
        <v>60</v>
      </c>
      <c r="AJ436" s="7">
        <v>13.4</v>
      </c>
      <c r="AK436" s="7">
        <v>99.58</v>
      </c>
      <c r="AL436" s="7">
        <v>8.3000000000000007</v>
      </c>
      <c r="AM436" s="7">
        <v>651</v>
      </c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1"/>
    </row>
    <row r="437" spans="1:64" ht="13">
      <c r="A437" s="6" t="s">
        <v>913</v>
      </c>
      <c r="B437" s="6" t="s">
        <v>914</v>
      </c>
      <c r="C437" s="31">
        <v>95</v>
      </c>
      <c r="D437" s="24">
        <v>42</v>
      </c>
      <c r="E437" s="24">
        <v>72</v>
      </c>
      <c r="F437" s="8">
        <v>55.4</v>
      </c>
      <c r="G437" s="8">
        <v>0</v>
      </c>
      <c r="H437" s="8">
        <v>0</v>
      </c>
      <c r="I437" s="8">
        <v>11</v>
      </c>
      <c r="J437" s="8">
        <v>34</v>
      </c>
      <c r="K437" s="8">
        <v>39.4</v>
      </c>
      <c r="L437" s="9">
        <v>46</v>
      </c>
      <c r="M437" s="9">
        <v>61</v>
      </c>
      <c r="N437" s="9">
        <v>106</v>
      </c>
      <c r="O437" s="9">
        <v>15</v>
      </c>
      <c r="P437" s="9">
        <v>23</v>
      </c>
      <c r="Q437" s="9">
        <v>8</v>
      </c>
      <c r="R437" s="9">
        <v>15</v>
      </c>
      <c r="S437" s="9">
        <v>68</v>
      </c>
      <c r="T437" s="8">
        <v>293</v>
      </c>
      <c r="U437" s="8">
        <v>0</v>
      </c>
      <c r="V437" s="8">
        <v>0</v>
      </c>
      <c r="W437" s="7">
        <v>-0.5</v>
      </c>
      <c r="X437" s="7">
        <v>105.6</v>
      </c>
      <c r="Y437" s="7">
        <v>107.8</v>
      </c>
      <c r="Z437" s="7">
        <v>-2.2000000000000002</v>
      </c>
      <c r="AA437" s="7">
        <v>5.8</v>
      </c>
      <c r="AB437" s="7">
        <v>0.67</v>
      </c>
      <c r="AC437" s="7">
        <v>12.3</v>
      </c>
      <c r="AD437" s="7">
        <v>11.4</v>
      </c>
      <c r="AE437" s="7">
        <v>14.1</v>
      </c>
      <c r="AF437" s="7">
        <v>12.8</v>
      </c>
      <c r="AG437" s="7">
        <v>18.5</v>
      </c>
      <c r="AH437" s="7">
        <v>55.4</v>
      </c>
      <c r="AI437" s="7">
        <v>53.7</v>
      </c>
      <c r="AJ437" s="7">
        <v>12.1</v>
      </c>
      <c r="AK437" s="7">
        <v>99.06</v>
      </c>
      <c r="AL437" s="7">
        <v>4.4000000000000004</v>
      </c>
      <c r="AM437" s="7">
        <v>809</v>
      </c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1"/>
    </row>
    <row r="438" spans="1:64" ht="13">
      <c r="A438" s="6" t="s">
        <v>915</v>
      </c>
      <c r="B438" s="6" t="s">
        <v>916</v>
      </c>
      <c r="C438" s="31">
        <v>95</v>
      </c>
      <c r="D438" s="24">
        <v>42</v>
      </c>
      <c r="E438" s="24">
        <v>69</v>
      </c>
      <c r="F438" s="8">
        <v>63.4</v>
      </c>
      <c r="G438" s="8">
        <v>0</v>
      </c>
      <c r="H438" s="8">
        <v>0</v>
      </c>
      <c r="I438" s="8">
        <v>11</v>
      </c>
      <c r="J438" s="8">
        <v>11</v>
      </c>
      <c r="K438" s="8">
        <v>61.5</v>
      </c>
      <c r="L438" s="9">
        <v>69</v>
      </c>
      <c r="M438" s="9">
        <v>127</v>
      </c>
      <c r="N438" s="9">
        <v>196</v>
      </c>
      <c r="O438" s="9">
        <v>32</v>
      </c>
      <c r="P438" s="9">
        <v>32</v>
      </c>
      <c r="Q438" s="9">
        <v>11</v>
      </c>
      <c r="R438" s="9">
        <v>21</v>
      </c>
      <c r="S438" s="9">
        <v>64</v>
      </c>
      <c r="T438" s="8">
        <v>440</v>
      </c>
      <c r="U438" s="8">
        <v>0</v>
      </c>
      <c r="V438" s="8">
        <v>0</v>
      </c>
      <c r="W438" s="7">
        <v>0.5</v>
      </c>
      <c r="X438" s="7">
        <v>111.5</v>
      </c>
      <c r="Y438" s="7">
        <v>109.1</v>
      </c>
      <c r="Z438" s="7">
        <v>2.4</v>
      </c>
      <c r="AA438" s="7">
        <v>6.8</v>
      </c>
      <c r="AB438" s="7">
        <v>1</v>
      </c>
      <c r="AC438" s="7">
        <v>23.1</v>
      </c>
      <c r="AD438" s="7">
        <v>11.4</v>
      </c>
      <c r="AE438" s="7">
        <v>19.600000000000001</v>
      </c>
      <c r="AF438" s="7">
        <v>15.6</v>
      </c>
      <c r="AG438" s="7">
        <v>23.1</v>
      </c>
      <c r="AH438" s="7">
        <v>63.4</v>
      </c>
      <c r="AI438" s="7">
        <v>63.9</v>
      </c>
      <c r="AJ438" s="7">
        <v>7.4</v>
      </c>
      <c r="AK438" s="7">
        <v>98.7</v>
      </c>
      <c r="AL438" s="7">
        <v>7</v>
      </c>
      <c r="AM438" s="7">
        <v>1295</v>
      </c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1"/>
    </row>
    <row r="439" spans="1:64" ht="13">
      <c r="A439" s="6" t="s">
        <v>917</v>
      </c>
      <c r="B439" s="6" t="s">
        <v>918</v>
      </c>
      <c r="C439" s="31">
        <v>94</v>
      </c>
      <c r="D439" s="24">
        <v>36</v>
      </c>
      <c r="E439" s="24">
        <v>108</v>
      </c>
      <c r="F439" s="8">
        <v>32.700000000000003</v>
      </c>
      <c r="G439" s="9">
        <v>40</v>
      </c>
      <c r="H439" s="8">
        <v>17.5</v>
      </c>
      <c r="I439" s="8">
        <v>14</v>
      </c>
      <c r="J439" s="8">
        <v>22</v>
      </c>
      <c r="K439" s="8">
        <v>76.2</v>
      </c>
      <c r="L439" s="9">
        <v>14</v>
      </c>
      <c r="M439" s="9">
        <v>25</v>
      </c>
      <c r="N439" s="9">
        <v>40</v>
      </c>
      <c r="O439" s="9">
        <v>65</v>
      </c>
      <c r="P439" s="9">
        <v>22</v>
      </c>
      <c r="Q439" s="9">
        <v>32</v>
      </c>
      <c r="R439" s="9">
        <v>4</v>
      </c>
      <c r="S439" s="9">
        <v>36</v>
      </c>
      <c r="T439" s="8">
        <v>317</v>
      </c>
      <c r="U439" s="8">
        <v>0</v>
      </c>
      <c r="V439" s="8">
        <v>0</v>
      </c>
      <c r="W439" s="7">
        <v>-3.3</v>
      </c>
      <c r="X439" s="7">
        <v>98.5</v>
      </c>
      <c r="Y439" s="7">
        <v>110.4</v>
      </c>
      <c r="Z439" s="7">
        <v>-12</v>
      </c>
      <c r="AA439" s="7">
        <v>20.5</v>
      </c>
      <c r="AB439" s="7">
        <v>3</v>
      </c>
      <c r="AC439" s="7">
        <v>31.3</v>
      </c>
      <c r="AD439" s="7">
        <v>2.4</v>
      </c>
      <c r="AE439" s="7">
        <v>6.1</v>
      </c>
      <c r="AF439" s="7">
        <v>4.0999999999999996</v>
      </c>
      <c r="AG439" s="7">
        <v>10.4</v>
      </c>
      <c r="AH439" s="7">
        <v>36</v>
      </c>
      <c r="AI439" s="7">
        <v>40</v>
      </c>
      <c r="AJ439" s="7">
        <v>12.2</v>
      </c>
      <c r="AK439" s="7">
        <v>99.16</v>
      </c>
      <c r="AL439" s="7">
        <v>5.0999999999999996</v>
      </c>
      <c r="AM439" s="7">
        <v>969</v>
      </c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1"/>
    </row>
    <row r="440" spans="1:64" ht="13">
      <c r="A440" s="6" t="s">
        <v>919</v>
      </c>
      <c r="B440" s="6" t="s">
        <v>920</v>
      </c>
      <c r="C440" s="31">
        <v>89</v>
      </c>
      <c r="D440" s="24">
        <v>41</v>
      </c>
      <c r="E440" s="24">
        <v>67</v>
      </c>
      <c r="F440" s="8">
        <v>60.6</v>
      </c>
      <c r="G440" s="9">
        <v>4</v>
      </c>
      <c r="H440" s="8">
        <v>0</v>
      </c>
      <c r="I440" s="8">
        <v>11</v>
      </c>
      <c r="J440" s="8">
        <v>15</v>
      </c>
      <c r="K440" s="8">
        <v>71.400000000000006</v>
      </c>
      <c r="L440" s="9">
        <v>33</v>
      </c>
      <c r="M440" s="9">
        <v>56</v>
      </c>
      <c r="N440" s="9">
        <v>93</v>
      </c>
      <c r="O440" s="9">
        <v>15</v>
      </c>
      <c r="P440" s="9">
        <v>11</v>
      </c>
      <c r="Q440" s="9">
        <v>7</v>
      </c>
      <c r="R440" s="9">
        <v>15</v>
      </c>
      <c r="S440" s="9">
        <v>44</v>
      </c>
      <c r="T440" s="8">
        <v>285</v>
      </c>
      <c r="U440" s="8">
        <v>0</v>
      </c>
      <c r="V440" s="8">
        <v>0</v>
      </c>
      <c r="W440" s="7">
        <v>-0.2</v>
      </c>
      <c r="X440" s="7">
        <v>104.7</v>
      </c>
      <c r="Y440" s="7">
        <v>106</v>
      </c>
      <c r="Z440" s="7">
        <v>-1.3</v>
      </c>
      <c r="AA440" s="7">
        <v>6.8</v>
      </c>
      <c r="AB440" s="7">
        <v>1.33</v>
      </c>
      <c r="AC440" s="7">
        <v>15.8</v>
      </c>
      <c r="AD440" s="7">
        <v>9.5</v>
      </c>
      <c r="AE440" s="7">
        <v>16.5</v>
      </c>
      <c r="AF440" s="7">
        <v>12.9</v>
      </c>
      <c r="AG440" s="7">
        <v>11.9</v>
      </c>
      <c r="AH440" s="7">
        <v>60.6</v>
      </c>
      <c r="AI440" s="7">
        <v>62.4</v>
      </c>
      <c r="AJ440" s="7">
        <v>10.4</v>
      </c>
      <c r="AK440" s="7">
        <v>101.19</v>
      </c>
      <c r="AL440" s="7">
        <v>8.1999999999999993</v>
      </c>
      <c r="AM440" s="7">
        <v>721</v>
      </c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1"/>
    </row>
    <row r="441" spans="1:64" ht="13">
      <c r="A441" s="6" t="s">
        <v>921</v>
      </c>
      <c r="B441" s="6" t="s">
        <v>922</v>
      </c>
      <c r="C441" s="31">
        <v>87</v>
      </c>
      <c r="D441" s="24">
        <v>31</v>
      </c>
      <c r="E441" s="24">
        <v>62</v>
      </c>
      <c r="F441" s="8">
        <v>50.8</v>
      </c>
      <c r="G441" s="9">
        <v>29</v>
      </c>
      <c r="H441" s="8">
        <v>53.3</v>
      </c>
      <c r="I441" s="8">
        <v>8</v>
      </c>
      <c r="J441" s="8">
        <v>13</v>
      </c>
      <c r="K441" s="8">
        <v>75</v>
      </c>
      <c r="L441" s="9">
        <v>13</v>
      </c>
      <c r="M441" s="9">
        <v>24</v>
      </c>
      <c r="N441" s="9">
        <v>36</v>
      </c>
      <c r="O441" s="9">
        <v>22</v>
      </c>
      <c r="P441" s="9">
        <v>17</v>
      </c>
      <c r="Q441" s="9">
        <v>21</v>
      </c>
      <c r="R441" s="9">
        <v>6</v>
      </c>
      <c r="S441" s="9">
        <v>29</v>
      </c>
      <c r="T441" s="8">
        <v>228</v>
      </c>
      <c r="U441" s="8">
        <v>0</v>
      </c>
      <c r="V441" s="8">
        <v>0</v>
      </c>
      <c r="W441" s="7">
        <v>2.7</v>
      </c>
      <c r="X441" s="7">
        <v>107.3</v>
      </c>
      <c r="Y441" s="7">
        <v>100.5</v>
      </c>
      <c r="Z441" s="7">
        <v>6.8</v>
      </c>
      <c r="AA441" s="7">
        <v>12.8</v>
      </c>
      <c r="AB441" s="7">
        <v>1.35</v>
      </c>
      <c r="AC441" s="7">
        <v>21.5</v>
      </c>
      <c r="AD441" s="7">
        <v>4.2</v>
      </c>
      <c r="AE441" s="7">
        <v>8.6</v>
      </c>
      <c r="AF441" s="7">
        <v>6.4</v>
      </c>
      <c r="AG441" s="7">
        <v>15.9</v>
      </c>
      <c r="AH441" s="7">
        <v>63.9</v>
      </c>
      <c r="AI441" s="7">
        <v>65.599999999999994</v>
      </c>
      <c r="AJ441" s="7">
        <v>13.1</v>
      </c>
      <c r="AK441" s="7">
        <v>100.58</v>
      </c>
      <c r="AL441" s="7">
        <v>8.1999999999999993</v>
      </c>
      <c r="AM441" s="7">
        <v>562</v>
      </c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1"/>
    </row>
    <row r="442" spans="1:64" ht="13">
      <c r="A442" s="6" t="s">
        <v>923</v>
      </c>
      <c r="B442" s="6" t="s">
        <v>924</v>
      </c>
      <c r="C442" s="31">
        <v>87</v>
      </c>
      <c r="D442" s="24">
        <v>37</v>
      </c>
      <c r="E442" s="24">
        <v>56</v>
      </c>
      <c r="F442" s="8">
        <v>66.099999999999994</v>
      </c>
      <c r="G442" s="8">
        <v>0</v>
      </c>
      <c r="H442" s="8">
        <v>0</v>
      </c>
      <c r="I442" s="8">
        <v>14</v>
      </c>
      <c r="J442" s="8">
        <v>19</v>
      </c>
      <c r="K442" s="8">
        <v>68.400000000000006</v>
      </c>
      <c r="L442" s="9">
        <v>53</v>
      </c>
      <c r="M442" s="9">
        <v>49</v>
      </c>
      <c r="N442" s="9">
        <v>100</v>
      </c>
      <c r="O442" s="9">
        <v>14</v>
      </c>
      <c r="P442" s="9">
        <v>10</v>
      </c>
      <c r="Q442" s="9">
        <v>15</v>
      </c>
      <c r="R442" s="9">
        <v>19</v>
      </c>
      <c r="S442" s="9">
        <v>26</v>
      </c>
      <c r="T442" s="8">
        <v>320</v>
      </c>
      <c r="U442" s="8">
        <v>2</v>
      </c>
      <c r="V442" s="8">
        <v>0</v>
      </c>
      <c r="W442" s="7">
        <v>1.4</v>
      </c>
      <c r="X442" s="7">
        <v>113.8</v>
      </c>
      <c r="Y442" s="7">
        <v>108.2</v>
      </c>
      <c r="Z442" s="7">
        <v>5.7</v>
      </c>
      <c r="AA442" s="7">
        <v>6.2</v>
      </c>
      <c r="AB442" s="7">
        <v>1.3</v>
      </c>
      <c r="AC442" s="7">
        <v>14.8</v>
      </c>
      <c r="AD442" s="7">
        <v>17.399999999999999</v>
      </c>
      <c r="AE442" s="7">
        <v>17.600000000000001</v>
      </c>
      <c r="AF442" s="7">
        <v>17.5</v>
      </c>
      <c r="AG442" s="7">
        <v>11.4</v>
      </c>
      <c r="AH442" s="7">
        <v>66.099999999999994</v>
      </c>
      <c r="AI442" s="7">
        <v>67.599999999999994</v>
      </c>
      <c r="AJ442" s="7">
        <v>10.9</v>
      </c>
      <c r="AK442" s="7">
        <v>96.37</v>
      </c>
      <c r="AL442" s="7">
        <v>12.2</v>
      </c>
      <c r="AM442" s="7">
        <v>578</v>
      </c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1"/>
    </row>
    <row r="443" spans="1:64" ht="13">
      <c r="A443" s="6" t="s">
        <v>925</v>
      </c>
      <c r="B443" s="6" t="s">
        <v>926</v>
      </c>
      <c r="C443" s="31">
        <v>86</v>
      </c>
      <c r="D443" s="24">
        <v>31</v>
      </c>
      <c r="E443" s="24">
        <v>78</v>
      </c>
      <c r="F443" s="8">
        <v>39.700000000000003</v>
      </c>
      <c r="G443" s="9">
        <v>44</v>
      </c>
      <c r="H443" s="8">
        <v>29.5</v>
      </c>
      <c r="I443" s="8">
        <v>10</v>
      </c>
      <c r="J443" s="8">
        <v>13</v>
      </c>
      <c r="K443" s="8">
        <v>84.6</v>
      </c>
      <c r="L443" s="9">
        <v>4</v>
      </c>
      <c r="M443" s="9">
        <v>16</v>
      </c>
      <c r="N443" s="9">
        <v>20</v>
      </c>
      <c r="O443" s="9">
        <v>23</v>
      </c>
      <c r="P443" s="9">
        <v>14</v>
      </c>
      <c r="Q443" s="9">
        <v>3</v>
      </c>
      <c r="R443" s="9">
        <v>3</v>
      </c>
      <c r="S443" s="9">
        <v>18</v>
      </c>
      <c r="T443" s="8">
        <v>146</v>
      </c>
      <c r="U443" s="8">
        <v>0</v>
      </c>
      <c r="V443" s="8">
        <v>0</v>
      </c>
      <c r="W443" s="7">
        <v>-2</v>
      </c>
      <c r="X443" s="7">
        <v>104.5</v>
      </c>
      <c r="Y443" s="7">
        <v>110.4</v>
      </c>
      <c r="Z443" s="7">
        <v>-5.9</v>
      </c>
      <c r="AA443" s="7">
        <v>19.8</v>
      </c>
      <c r="AB443" s="7">
        <v>1.71</v>
      </c>
      <c r="AC443" s="7">
        <v>19.8</v>
      </c>
      <c r="AD443" s="7">
        <v>2</v>
      </c>
      <c r="AE443" s="7">
        <v>7.6</v>
      </c>
      <c r="AF443" s="7">
        <v>4.8</v>
      </c>
      <c r="AG443" s="7">
        <v>11.6</v>
      </c>
      <c r="AH443" s="7">
        <v>48.1</v>
      </c>
      <c r="AI443" s="7">
        <v>51.4</v>
      </c>
      <c r="AJ443" s="7">
        <v>21.3</v>
      </c>
      <c r="AK443" s="7">
        <v>105.49</v>
      </c>
      <c r="AL443" s="7">
        <v>6.5</v>
      </c>
      <c r="AM443" s="7">
        <v>402</v>
      </c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1"/>
    </row>
    <row r="444" spans="1:64" ht="13">
      <c r="A444" s="6" t="s">
        <v>927</v>
      </c>
      <c r="B444" s="6" t="s">
        <v>928</v>
      </c>
      <c r="C444" s="31">
        <v>84</v>
      </c>
      <c r="D444" s="24">
        <v>41</v>
      </c>
      <c r="E444" s="24">
        <v>122</v>
      </c>
      <c r="F444" s="8">
        <v>32.799999999999997</v>
      </c>
      <c r="G444" s="9">
        <v>7</v>
      </c>
      <c r="H444" s="8">
        <v>16.7</v>
      </c>
      <c r="I444" s="8">
        <v>5</v>
      </c>
      <c r="J444" s="8">
        <v>7</v>
      </c>
      <c r="K444" s="8">
        <v>57.1</v>
      </c>
      <c r="L444" s="9">
        <v>14</v>
      </c>
      <c r="M444" s="9">
        <v>65</v>
      </c>
      <c r="N444" s="9">
        <v>79</v>
      </c>
      <c r="O444" s="9">
        <v>166</v>
      </c>
      <c r="P444" s="9">
        <v>60</v>
      </c>
      <c r="Q444" s="9">
        <v>24</v>
      </c>
      <c r="R444" s="9">
        <v>12</v>
      </c>
      <c r="S444" s="9">
        <v>36</v>
      </c>
      <c r="T444" s="8">
        <v>475</v>
      </c>
      <c r="U444" s="8">
        <v>2</v>
      </c>
      <c r="V444" s="8">
        <v>0</v>
      </c>
      <c r="W444" s="7">
        <v>-6.2</v>
      </c>
      <c r="X444" s="7">
        <v>99.7</v>
      </c>
      <c r="Y444" s="7">
        <v>113.1</v>
      </c>
      <c r="Z444" s="7">
        <v>-13.4</v>
      </c>
      <c r="AA444" s="7">
        <v>44.3</v>
      </c>
      <c r="AB444" s="7">
        <v>2.81</v>
      </c>
      <c r="AC444" s="7">
        <v>47.4</v>
      </c>
      <c r="AD444" s="7">
        <v>2.7</v>
      </c>
      <c r="AE444" s="7">
        <v>11.4</v>
      </c>
      <c r="AF444" s="7">
        <v>7.1</v>
      </c>
      <c r="AG444" s="7">
        <v>16.899999999999999</v>
      </c>
      <c r="AH444" s="7">
        <v>33.200000000000003</v>
      </c>
      <c r="AI444" s="7">
        <v>34</v>
      </c>
      <c r="AJ444" s="7">
        <v>15.1</v>
      </c>
      <c r="AK444" s="7">
        <v>101.3</v>
      </c>
      <c r="AL444" s="7">
        <v>7.9</v>
      </c>
      <c r="AM444" s="7">
        <v>1076</v>
      </c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1"/>
    </row>
    <row r="445" spans="1:64" ht="13">
      <c r="A445" s="6" t="s">
        <v>929</v>
      </c>
      <c r="B445" s="6" t="s">
        <v>930</v>
      </c>
      <c r="C445" s="31">
        <v>83</v>
      </c>
      <c r="D445" s="24">
        <v>31</v>
      </c>
      <c r="E445" s="24">
        <v>83</v>
      </c>
      <c r="F445" s="8">
        <v>36.1</v>
      </c>
      <c r="G445" s="9">
        <v>57</v>
      </c>
      <c r="H445" s="8">
        <v>27.3</v>
      </c>
      <c r="I445" s="8">
        <v>5</v>
      </c>
      <c r="J445" s="8">
        <v>10</v>
      </c>
      <c r="K445" s="8">
        <v>58.3</v>
      </c>
      <c r="L445" s="9">
        <v>21</v>
      </c>
      <c r="M445" s="9">
        <v>47</v>
      </c>
      <c r="N445" s="9">
        <v>68</v>
      </c>
      <c r="O445" s="9">
        <v>21</v>
      </c>
      <c r="P445" s="9">
        <v>16</v>
      </c>
      <c r="Q445" s="9">
        <v>10</v>
      </c>
      <c r="R445" s="9">
        <v>10</v>
      </c>
      <c r="S445" s="9">
        <v>31</v>
      </c>
      <c r="T445" s="8">
        <v>244</v>
      </c>
      <c r="U445" s="8">
        <v>0</v>
      </c>
      <c r="V445" s="8">
        <v>0</v>
      </c>
      <c r="W445" s="7">
        <v>0.5</v>
      </c>
      <c r="X445" s="7">
        <v>111.8</v>
      </c>
      <c r="Y445" s="7">
        <v>108</v>
      </c>
      <c r="Z445" s="7">
        <v>3.8</v>
      </c>
      <c r="AA445" s="7">
        <v>6.4</v>
      </c>
      <c r="AB445" s="7">
        <v>1.1200000000000001</v>
      </c>
      <c r="AC445" s="7">
        <v>15.3</v>
      </c>
      <c r="AD445" s="7">
        <v>5.7</v>
      </c>
      <c r="AE445" s="7">
        <v>11.3</v>
      </c>
      <c r="AF445" s="7">
        <v>8.5</v>
      </c>
      <c r="AG445" s="7">
        <v>13.7</v>
      </c>
      <c r="AH445" s="7">
        <v>45.2</v>
      </c>
      <c r="AI445" s="7">
        <v>46.4</v>
      </c>
      <c r="AJ445" s="7">
        <v>11</v>
      </c>
      <c r="AK445" s="7">
        <v>98.14</v>
      </c>
      <c r="AL445" s="7">
        <v>4.5</v>
      </c>
      <c r="AM445" s="7">
        <v>821</v>
      </c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1"/>
    </row>
    <row r="446" spans="1:64" ht="13">
      <c r="A446" s="6" t="s">
        <v>931</v>
      </c>
      <c r="B446" s="6" t="s">
        <v>932</v>
      </c>
      <c r="C446" s="31">
        <v>83</v>
      </c>
      <c r="D446" s="24">
        <v>28</v>
      </c>
      <c r="E446" s="24">
        <v>75</v>
      </c>
      <c r="F446" s="8">
        <v>36.5</v>
      </c>
      <c r="G446" s="9">
        <v>38</v>
      </c>
      <c r="H446" s="8">
        <v>24.3</v>
      </c>
      <c r="I446" s="8">
        <v>20</v>
      </c>
      <c r="J446" s="8">
        <v>20</v>
      </c>
      <c r="K446" s="8">
        <v>95.2</v>
      </c>
      <c r="L446" s="9">
        <v>3</v>
      </c>
      <c r="M446" s="9">
        <v>18</v>
      </c>
      <c r="N446" s="9">
        <v>20</v>
      </c>
      <c r="O446" s="9">
        <v>10</v>
      </c>
      <c r="P446" s="9">
        <v>10</v>
      </c>
      <c r="Q446" s="9">
        <v>5</v>
      </c>
      <c r="R446" s="8">
        <v>0</v>
      </c>
      <c r="S446" s="9">
        <v>5</v>
      </c>
      <c r="T446" s="8">
        <v>133</v>
      </c>
      <c r="U446" s="8">
        <v>0</v>
      </c>
      <c r="V446" s="8">
        <v>0</v>
      </c>
      <c r="W446" s="7">
        <v>1</v>
      </c>
      <c r="X446" s="7">
        <v>104.7</v>
      </c>
      <c r="Y446" s="7">
        <v>98.7</v>
      </c>
      <c r="Z446" s="7">
        <v>6</v>
      </c>
      <c r="AA446" s="7">
        <v>12.1</v>
      </c>
      <c r="AB446" s="7">
        <v>1.1000000000000001</v>
      </c>
      <c r="AC446" s="7">
        <v>10.5</v>
      </c>
      <c r="AD446" s="7">
        <v>2</v>
      </c>
      <c r="AE446" s="7">
        <v>10.4</v>
      </c>
      <c r="AF446" s="7">
        <v>6.4</v>
      </c>
      <c r="AG446" s="7">
        <v>9.5</v>
      </c>
      <c r="AH446" s="7">
        <v>42.6</v>
      </c>
      <c r="AI446" s="7">
        <v>49.9</v>
      </c>
      <c r="AJ446" s="7">
        <v>26.9</v>
      </c>
      <c r="AK446" s="7">
        <v>104.99</v>
      </c>
      <c r="AL446" s="7">
        <v>8.9</v>
      </c>
      <c r="AM446" s="7">
        <v>318</v>
      </c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1"/>
    </row>
    <row r="447" spans="1:64" ht="13">
      <c r="A447" s="6" t="s">
        <v>933</v>
      </c>
      <c r="B447" s="6" t="s">
        <v>934</v>
      </c>
      <c r="C447" s="31">
        <v>82</v>
      </c>
      <c r="D447" s="24">
        <v>29</v>
      </c>
      <c r="E447" s="24">
        <v>82</v>
      </c>
      <c r="F447" s="8">
        <v>32.9</v>
      </c>
      <c r="G447" s="9">
        <v>45</v>
      </c>
      <c r="H447" s="8">
        <v>29.8</v>
      </c>
      <c r="I447" s="8">
        <v>12</v>
      </c>
      <c r="J447" s="8">
        <v>16</v>
      </c>
      <c r="K447" s="8">
        <v>76.5</v>
      </c>
      <c r="L447" s="9">
        <v>8</v>
      </c>
      <c r="M447" s="9">
        <v>21</v>
      </c>
      <c r="N447" s="9">
        <v>29</v>
      </c>
      <c r="O447" s="9">
        <v>70</v>
      </c>
      <c r="P447" s="9">
        <v>16</v>
      </c>
      <c r="Q447" s="9">
        <v>12</v>
      </c>
      <c r="R447" s="9">
        <v>4</v>
      </c>
      <c r="S447" s="9">
        <v>25</v>
      </c>
      <c r="T447" s="8">
        <v>250</v>
      </c>
      <c r="U447" s="8">
        <v>0</v>
      </c>
      <c r="V447" s="8">
        <v>0</v>
      </c>
      <c r="W447" s="7">
        <v>0</v>
      </c>
      <c r="X447" s="7">
        <v>104.1</v>
      </c>
      <c r="Y447" s="7">
        <v>104.4</v>
      </c>
      <c r="Z447" s="7">
        <v>-0.3</v>
      </c>
      <c r="AA447" s="7">
        <v>32.1</v>
      </c>
      <c r="AB447" s="7">
        <v>3.89</v>
      </c>
      <c r="AC447" s="7">
        <v>39.299999999999997</v>
      </c>
      <c r="AD447" s="7">
        <v>2.7</v>
      </c>
      <c r="AE447" s="7">
        <v>5.9</v>
      </c>
      <c r="AF447" s="7">
        <v>4.3</v>
      </c>
      <c r="AG447" s="7">
        <v>10.1</v>
      </c>
      <c r="AH447" s="7">
        <v>41.5</v>
      </c>
      <c r="AI447" s="7">
        <v>45.3</v>
      </c>
      <c r="AJ447" s="7">
        <v>15.2</v>
      </c>
      <c r="AK447" s="7">
        <v>102.35</v>
      </c>
      <c r="AL447" s="7">
        <v>7.2</v>
      </c>
      <c r="AM447" s="7">
        <v>632</v>
      </c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1"/>
    </row>
    <row r="448" spans="1:64" ht="13">
      <c r="A448" s="6" t="s">
        <v>935</v>
      </c>
      <c r="B448" s="6" t="s">
        <v>936</v>
      </c>
      <c r="C448" s="31">
        <v>82</v>
      </c>
      <c r="D448" s="24">
        <v>31</v>
      </c>
      <c r="E448" s="24">
        <v>78</v>
      </c>
      <c r="F448" s="8">
        <v>41</v>
      </c>
      <c r="G448" s="9">
        <v>31</v>
      </c>
      <c r="H448" s="8">
        <v>24.1</v>
      </c>
      <c r="I448" s="8">
        <v>10</v>
      </c>
      <c r="J448" s="8">
        <v>14</v>
      </c>
      <c r="K448" s="8">
        <v>60</v>
      </c>
      <c r="L448" s="9">
        <v>10</v>
      </c>
      <c r="M448" s="9">
        <v>27</v>
      </c>
      <c r="N448" s="9">
        <v>37</v>
      </c>
      <c r="O448" s="9">
        <v>10</v>
      </c>
      <c r="P448" s="9">
        <v>7</v>
      </c>
      <c r="Q448" s="9">
        <v>14</v>
      </c>
      <c r="R448" s="9">
        <v>7</v>
      </c>
      <c r="S448" s="9">
        <v>17</v>
      </c>
      <c r="T448" s="8">
        <v>197</v>
      </c>
      <c r="U448" s="8">
        <v>0</v>
      </c>
      <c r="V448" s="8">
        <v>0</v>
      </c>
      <c r="W448" s="7">
        <v>-0.8</v>
      </c>
      <c r="X448" s="7">
        <v>104.7</v>
      </c>
      <c r="Y448" s="7">
        <v>107.2</v>
      </c>
      <c r="Z448" s="7">
        <v>-2.5</v>
      </c>
      <c r="AA448" s="7">
        <v>6.4</v>
      </c>
      <c r="AB448" s="7">
        <v>1.57</v>
      </c>
      <c r="AC448" s="7">
        <v>10.7</v>
      </c>
      <c r="AD448" s="7">
        <v>3.6</v>
      </c>
      <c r="AE448" s="7">
        <v>10.4</v>
      </c>
      <c r="AF448" s="7">
        <v>6.9</v>
      </c>
      <c r="AG448" s="7">
        <v>6.8</v>
      </c>
      <c r="AH448" s="7">
        <v>45.5</v>
      </c>
      <c r="AI448" s="7">
        <v>47.3</v>
      </c>
      <c r="AJ448" s="7">
        <v>15</v>
      </c>
      <c r="AK448" s="7">
        <v>106.66</v>
      </c>
      <c r="AL448" s="7">
        <v>6.7</v>
      </c>
      <c r="AM448" s="7">
        <v>531</v>
      </c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1"/>
    </row>
    <row r="449" spans="1:64" ht="13">
      <c r="A449" s="6" t="s">
        <v>937</v>
      </c>
      <c r="B449" s="6" t="s">
        <v>938</v>
      </c>
      <c r="C449" s="31">
        <v>81</v>
      </c>
      <c r="D449" s="24">
        <v>28</v>
      </c>
      <c r="E449" s="24">
        <v>67</v>
      </c>
      <c r="F449" s="8">
        <v>41.5</v>
      </c>
      <c r="G449" s="9">
        <v>28</v>
      </c>
      <c r="H449" s="8">
        <v>34.5</v>
      </c>
      <c r="I449" s="8">
        <v>14</v>
      </c>
      <c r="J449" s="8">
        <v>21</v>
      </c>
      <c r="K449" s="8">
        <v>75</v>
      </c>
      <c r="L449" s="9">
        <v>11</v>
      </c>
      <c r="M449" s="9">
        <v>32</v>
      </c>
      <c r="N449" s="9">
        <v>46</v>
      </c>
      <c r="O449" s="9">
        <v>11</v>
      </c>
      <c r="P449" s="9">
        <v>14</v>
      </c>
      <c r="Q449" s="9">
        <v>4</v>
      </c>
      <c r="R449" s="8">
        <v>0</v>
      </c>
      <c r="S449" s="9">
        <v>14</v>
      </c>
      <c r="T449" s="8">
        <v>147</v>
      </c>
      <c r="U449" s="8">
        <v>0</v>
      </c>
      <c r="V449" s="8">
        <v>0</v>
      </c>
      <c r="W449" s="7">
        <v>0.3</v>
      </c>
      <c r="X449" s="7">
        <v>94.8</v>
      </c>
      <c r="Y449" s="7">
        <v>92</v>
      </c>
      <c r="Z449" s="7">
        <v>2.9</v>
      </c>
      <c r="AA449" s="7">
        <v>12.4</v>
      </c>
      <c r="AB449" s="7">
        <v>0.73</v>
      </c>
      <c r="AC449" s="7">
        <v>10.9</v>
      </c>
      <c r="AD449" s="7">
        <v>6.4</v>
      </c>
      <c r="AE449" s="7">
        <v>19.8</v>
      </c>
      <c r="AF449" s="7">
        <v>12.9</v>
      </c>
      <c r="AG449" s="7">
        <v>14.9</v>
      </c>
      <c r="AH449" s="7">
        <v>49.2</v>
      </c>
      <c r="AI449" s="7">
        <v>53.5</v>
      </c>
      <c r="AJ449" s="7">
        <v>22.2</v>
      </c>
      <c r="AK449" s="7">
        <v>106.73</v>
      </c>
      <c r="AL449" s="7">
        <v>12.3</v>
      </c>
      <c r="AM449" s="7">
        <v>347</v>
      </c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1"/>
    </row>
    <row r="450" spans="1:64" ht="13">
      <c r="A450" s="6" t="s">
        <v>939</v>
      </c>
      <c r="B450" s="6" t="s">
        <v>940</v>
      </c>
      <c r="C450" s="31">
        <v>78</v>
      </c>
      <c r="D450" s="24">
        <v>30</v>
      </c>
      <c r="E450" s="24">
        <v>74</v>
      </c>
      <c r="F450" s="8">
        <v>41.9</v>
      </c>
      <c r="G450" s="9">
        <v>22</v>
      </c>
      <c r="H450" s="8">
        <v>30.4</v>
      </c>
      <c r="I450" s="8">
        <v>10</v>
      </c>
      <c r="J450" s="8">
        <v>10</v>
      </c>
      <c r="K450" s="8">
        <v>90</v>
      </c>
      <c r="L450" s="9">
        <v>11</v>
      </c>
      <c r="M450" s="9">
        <v>34</v>
      </c>
      <c r="N450" s="9">
        <v>45</v>
      </c>
      <c r="O450" s="9">
        <v>18</v>
      </c>
      <c r="P450" s="9">
        <v>13</v>
      </c>
      <c r="Q450" s="9">
        <v>10</v>
      </c>
      <c r="R450" s="8">
        <v>0</v>
      </c>
      <c r="S450" s="9">
        <v>14</v>
      </c>
      <c r="T450" s="8">
        <v>171</v>
      </c>
      <c r="U450" s="8">
        <v>0</v>
      </c>
      <c r="V450" s="8">
        <v>0</v>
      </c>
      <c r="W450" s="7">
        <v>-8.1999999999999993</v>
      </c>
      <c r="X450" s="7">
        <v>93.6</v>
      </c>
      <c r="Y450" s="7">
        <v>120.7</v>
      </c>
      <c r="Z450" s="7">
        <v>-27.1</v>
      </c>
      <c r="AA450" s="7">
        <v>12</v>
      </c>
      <c r="AB450" s="7">
        <v>1.42</v>
      </c>
      <c r="AC450" s="7">
        <v>16</v>
      </c>
      <c r="AD450" s="7">
        <v>4</v>
      </c>
      <c r="AE450" s="7">
        <v>14.1</v>
      </c>
      <c r="AF450" s="7">
        <v>8.6</v>
      </c>
      <c r="AG450" s="7">
        <v>11.3</v>
      </c>
      <c r="AH450" s="7">
        <v>46.6</v>
      </c>
      <c r="AI450" s="7">
        <v>49.7</v>
      </c>
      <c r="AJ450" s="7">
        <v>15.5</v>
      </c>
      <c r="AK450" s="7">
        <v>100.58</v>
      </c>
      <c r="AL450" s="7">
        <v>7.4</v>
      </c>
      <c r="AM450" s="7">
        <v>502</v>
      </c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1"/>
    </row>
    <row r="451" spans="1:64" ht="13">
      <c r="A451" s="6" t="s">
        <v>941</v>
      </c>
      <c r="B451" s="6" t="s">
        <v>942</v>
      </c>
      <c r="C451" s="31">
        <v>77</v>
      </c>
      <c r="D451" s="24">
        <v>26</v>
      </c>
      <c r="E451" s="24">
        <v>54</v>
      </c>
      <c r="F451" s="8">
        <v>48.1</v>
      </c>
      <c r="G451" s="9">
        <v>41</v>
      </c>
      <c r="H451" s="8">
        <v>36.6</v>
      </c>
      <c r="I451" s="8">
        <v>9</v>
      </c>
      <c r="J451" s="8">
        <v>12</v>
      </c>
      <c r="K451" s="8">
        <v>75</v>
      </c>
      <c r="L451" s="9">
        <v>9</v>
      </c>
      <c r="M451" s="9">
        <v>38</v>
      </c>
      <c r="N451" s="9">
        <v>47</v>
      </c>
      <c r="O451" s="9">
        <v>5</v>
      </c>
      <c r="P451" s="9">
        <v>6</v>
      </c>
      <c r="Q451" s="9">
        <v>11</v>
      </c>
      <c r="R451" s="9">
        <v>11</v>
      </c>
      <c r="S451" s="9">
        <v>21</v>
      </c>
      <c r="T451" s="8">
        <v>192</v>
      </c>
      <c r="U451" s="8">
        <v>0</v>
      </c>
      <c r="V451" s="8">
        <v>0</v>
      </c>
      <c r="W451" s="7">
        <v>1.3</v>
      </c>
      <c r="X451" s="7">
        <v>117.3</v>
      </c>
      <c r="Y451" s="7">
        <v>111.8</v>
      </c>
      <c r="Z451" s="7">
        <v>5.5</v>
      </c>
      <c r="AA451" s="7">
        <v>2.2999999999999998</v>
      </c>
      <c r="AB451" s="7">
        <v>0.67</v>
      </c>
      <c r="AC451" s="7">
        <v>5.8</v>
      </c>
      <c r="AD451" s="7">
        <v>4.0999999999999996</v>
      </c>
      <c r="AE451" s="7">
        <v>16.100000000000001</v>
      </c>
      <c r="AF451" s="7">
        <v>10.3</v>
      </c>
      <c r="AG451" s="7">
        <v>8.6999999999999993</v>
      </c>
      <c r="AH451" s="7">
        <v>62</v>
      </c>
      <c r="AI451" s="7">
        <v>64.099999999999994</v>
      </c>
      <c r="AJ451" s="7">
        <v>12.3</v>
      </c>
      <c r="AK451" s="7">
        <v>104.64</v>
      </c>
      <c r="AL451" s="7">
        <v>7.9</v>
      </c>
      <c r="AM451" s="7">
        <v>468</v>
      </c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1"/>
    </row>
    <row r="452" spans="1:64" ht="13">
      <c r="A452" s="6" t="s">
        <v>943</v>
      </c>
      <c r="B452" s="6" t="s">
        <v>944</v>
      </c>
      <c r="C452" s="31">
        <v>76</v>
      </c>
      <c r="D452" s="24">
        <v>32</v>
      </c>
      <c r="E452" s="24">
        <v>72</v>
      </c>
      <c r="F452" s="8">
        <v>45.8</v>
      </c>
      <c r="G452" s="9">
        <v>28</v>
      </c>
      <c r="H452" s="8">
        <v>23.1</v>
      </c>
      <c r="I452" s="8">
        <v>4</v>
      </c>
      <c r="J452" s="8">
        <v>8</v>
      </c>
      <c r="K452" s="8">
        <v>71.400000000000006</v>
      </c>
      <c r="L452" s="9">
        <v>20</v>
      </c>
      <c r="M452" s="9">
        <v>48</v>
      </c>
      <c r="N452" s="9">
        <v>64</v>
      </c>
      <c r="O452" s="9">
        <v>24</v>
      </c>
      <c r="P452" s="9">
        <v>12</v>
      </c>
      <c r="Q452" s="9">
        <v>8</v>
      </c>
      <c r="R452" s="9">
        <v>4</v>
      </c>
      <c r="S452" s="9">
        <v>24</v>
      </c>
      <c r="T452" s="8">
        <v>212</v>
      </c>
      <c r="U452" s="8">
        <v>0</v>
      </c>
      <c r="V452" s="8">
        <v>0</v>
      </c>
      <c r="W452" s="7">
        <v>-1.3</v>
      </c>
      <c r="X452" s="7">
        <v>105.9</v>
      </c>
      <c r="Y452" s="7">
        <v>114.7</v>
      </c>
      <c r="Z452" s="7">
        <v>-8.6999999999999993</v>
      </c>
      <c r="AA452" s="7">
        <v>13.7</v>
      </c>
      <c r="AB452" s="7">
        <v>2</v>
      </c>
      <c r="AC452" s="7">
        <v>21.8</v>
      </c>
      <c r="AD452" s="7">
        <v>7</v>
      </c>
      <c r="AE452" s="7">
        <v>17.600000000000001</v>
      </c>
      <c r="AF452" s="7">
        <v>12.2</v>
      </c>
      <c r="AG452" s="7">
        <v>10.9</v>
      </c>
      <c r="AH452" s="7">
        <v>50</v>
      </c>
      <c r="AI452" s="7">
        <v>51.3</v>
      </c>
      <c r="AJ452" s="7">
        <v>13.4</v>
      </c>
      <c r="AK452" s="7">
        <v>98.21</v>
      </c>
      <c r="AL452" s="7">
        <v>8.3000000000000007</v>
      </c>
      <c r="AM452" s="7">
        <v>555</v>
      </c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1"/>
    </row>
    <row r="453" spans="1:64" ht="13">
      <c r="A453" s="6" t="s">
        <v>945</v>
      </c>
      <c r="B453" s="6" t="s">
        <v>946</v>
      </c>
      <c r="C453" s="31">
        <v>75</v>
      </c>
      <c r="D453" s="24">
        <v>34</v>
      </c>
      <c r="E453" s="24">
        <v>49</v>
      </c>
      <c r="F453" s="8">
        <v>69.400000000000006</v>
      </c>
      <c r="G453" s="8">
        <v>0</v>
      </c>
      <c r="H453" s="8">
        <v>0</v>
      </c>
      <c r="I453" s="8">
        <v>8</v>
      </c>
      <c r="J453" s="8">
        <v>10</v>
      </c>
      <c r="K453" s="8">
        <v>72.7</v>
      </c>
      <c r="L453" s="9">
        <v>12</v>
      </c>
      <c r="M453" s="9">
        <v>33</v>
      </c>
      <c r="N453" s="9">
        <v>44</v>
      </c>
      <c r="O453" s="9">
        <v>3</v>
      </c>
      <c r="P453" s="9">
        <v>10</v>
      </c>
      <c r="Q453" s="9">
        <v>7</v>
      </c>
      <c r="R453" s="9">
        <v>4</v>
      </c>
      <c r="S453" s="9">
        <v>17</v>
      </c>
      <c r="T453" s="8">
        <v>151</v>
      </c>
      <c r="U453" s="8">
        <v>1</v>
      </c>
      <c r="V453" s="8">
        <v>0</v>
      </c>
      <c r="W453" s="7">
        <v>-1.1000000000000001</v>
      </c>
      <c r="X453" s="7">
        <v>101.5</v>
      </c>
      <c r="Y453" s="7">
        <v>105.9</v>
      </c>
      <c r="Z453" s="7">
        <v>-4.4000000000000004</v>
      </c>
      <c r="AA453" s="7">
        <v>2.9</v>
      </c>
      <c r="AB453" s="7">
        <v>0.18</v>
      </c>
      <c r="AC453" s="7">
        <v>3</v>
      </c>
      <c r="AD453" s="7">
        <v>9.8000000000000007</v>
      </c>
      <c r="AE453" s="7">
        <v>22.4</v>
      </c>
      <c r="AF453" s="7">
        <v>16.5</v>
      </c>
      <c r="AG453" s="7">
        <v>16.7</v>
      </c>
      <c r="AH453" s="7">
        <v>69.400000000000006</v>
      </c>
      <c r="AI453" s="7">
        <v>70.599999999999994</v>
      </c>
      <c r="AJ453" s="7">
        <v>21.6</v>
      </c>
      <c r="AK453" s="7">
        <v>108.49</v>
      </c>
      <c r="AL453" s="7">
        <v>15.4</v>
      </c>
      <c r="AM453" s="7">
        <v>267</v>
      </c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1"/>
    </row>
    <row r="454" spans="1:64" ht="13">
      <c r="A454" s="6" t="s">
        <v>947</v>
      </c>
      <c r="B454" s="6" t="s">
        <v>948</v>
      </c>
      <c r="C454" s="31">
        <v>75</v>
      </c>
      <c r="D454" s="24">
        <v>29</v>
      </c>
      <c r="E454" s="24">
        <v>63</v>
      </c>
      <c r="F454" s="8">
        <v>46</v>
      </c>
      <c r="G454" s="9">
        <v>27</v>
      </c>
      <c r="H454" s="8">
        <v>29.6</v>
      </c>
      <c r="I454" s="8">
        <v>9</v>
      </c>
      <c r="J454" s="8">
        <v>10</v>
      </c>
      <c r="K454" s="8">
        <v>72.7</v>
      </c>
      <c r="L454" s="9">
        <v>3</v>
      </c>
      <c r="M454" s="9">
        <v>34</v>
      </c>
      <c r="N454" s="9">
        <v>37</v>
      </c>
      <c r="O454" s="9">
        <v>9</v>
      </c>
      <c r="P454" s="9">
        <v>10</v>
      </c>
      <c r="Q454" s="9">
        <v>5</v>
      </c>
      <c r="R454" s="9">
        <v>3</v>
      </c>
      <c r="S454" s="9">
        <v>15</v>
      </c>
      <c r="T454" s="8">
        <v>146</v>
      </c>
      <c r="U454" s="8">
        <v>0</v>
      </c>
      <c r="V454" s="8">
        <v>0</v>
      </c>
      <c r="W454" s="7">
        <v>3.9</v>
      </c>
      <c r="X454" s="7">
        <v>128.19999999999999</v>
      </c>
      <c r="Y454" s="7">
        <v>101.8</v>
      </c>
      <c r="Z454" s="7">
        <v>26.4</v>
      </c>
      <c r="AA454" s="7">
        <v>6.3</v>
      </c>
      <c r="AB454" s="7">
        <v>0.8</v>
      </c>
      <c r="AC454" s="7">
        <v>9.3000000000000007</v>
      </c>
      <c r="AD454" s="7">
        <v>2.7</v>
      </c>
      <c r="AE454" s="7">
        <v>18.399999999999999</v>
      </c>
      <c r="AF454" s="7">
        <v>11.4</v>
      </c>
      <c r="AG454" s="7">
        <v>11.6</v>
      </c>
      <c r="AH454" s="7">
        <v>52.4</v>
      </c>
      <c r="AI454" s="7">
        <v>54.5</v>
      </c>
      <c r="AJ454" s="7">
        <v>21</v>
      </c>
      <c r="AK454" s="7">
        <v>102.46</v>
      </c>
      <c r="AL454" s="7">
        <v>9</v>
      </c>
      <c r="AM454" s="7">
        <v>323</v>
      </c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1"/>
    </row>
    <row r="455" spans="1:64" ht="13">
      <c r="A455" s="6" t="s">
        <v>949</v>
      </c>
      <c r="B455" s="6" t="s">
        <v>950</v>
      </c>
      <c r="C455" s="31">
        <v>74</v>
      </c>
      <c r="D455" s="24">
        <v>32</v>
      </c>
      <c r="E455" s="24">
        <v>64</v>
      </c>
      <c r="F455" s="8">
        <v>50.8</v>
      </c>
      <c r="G455" s="9">
        <v>9</v>
      </c>
      <c r="H455" s="8">
        <v>22.2</v>
      </c>
      <c r="I455" s="8">
        <v>9</v>
      </c>
      <c r="J455" s="8">
        <v>18</v>
      </c>
      <c r="K455" s="8">
        <v>47.1</v>
      </c>
      <c r="L455" s="9">
        <v>37</v>
      </c>
      <c r="M455" s="9">
        <v>55</v>
      </c>
      <c r="N455" s="9">
        <v>97</v>
      </c>
      <c r="O455" s="9">
        <v>37</v>
      </c>
      <c r="P455" s="9">
        <v>18</v>
      </c>
      <c r="Q455" s="9">
        <v>9</v>
      </c>
      <c r="R455" s="9">
        <v>23</v>
      </c>
      <c r="S455" s="9">
        <v>55</v>
      </c>
      <c r="T455" s="8">
        <v>313</v>
      </c>
      <c r="U455" s="8">
        <v>0</v>
      </c>
      <c r="V455" s="8">
        <v>0</v>
      </c>
      <c r="W455" s="7">
        <v>-3.3</v>
      </c>
      <c r="X455" s="7">
        <v>101.4</v>
      </c>
      <c r="Y455" s="7">
        <v>118.9</v>
      </c>
      <c r="Z455" s="7">
        <v>-17.5</v>
      </c>
      <c r="AA455" s="7">
        <v>14.3</v>
      </c>
      <c r="AB455" s="7">
        <v>1.9</v>
      </c>
      <c r="AC455" s="7">
        <v>29.5</v>
      </c>
      <c r="AD455" s="7">
        <v>9.4</v>
      </c>
      <c r="AE455" s="7">
        <v>14.2</v>
      </c>
      <c r="AF455" s="7">
        <v>11.8</v>
      </c>
      <c r="AG455" s="7">
        <v>15.5</v>
      </c>
      <c r="AH455" s="7">
        <v>52.4</v>
      </c>
      <c r="AI455" s="7">
        <v>52.5</v>
      </c>
      <c r="AJ455" s="7">
        <v>10.1</v>
      </c>
      <c r="AK455" s="7">
        <v>101.55</v>
      </c>
      <c r="AL455" s="7">
        <v>5.7</v>
      </c>
      <c r="AM455" s="7">
        <v>798</v>
      </c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1"/>
    </row>
    <row r="456" spans="1:64" ht="13">
      <c r="A456" s="6" t="s">
        <v>951</v>
      </c>
      <c r="B456" s="6" t="s">
        <v>952</v>
      </c>
      <c r="C456" s="31">
        <v>72</v>
      </c>
      <c r="D456" s="24">
        <v>26</v>
      </c>
      <c r="E456" s="24">
        <v>60</v>
      </c>
      <c r="F456" s="8">
        <v>42.4</v>
      </c>
      <c r="G456" s="9">
        <v>22</v>
      </c>
      <c r="H456" s="8">
        <v>28.6</v>
      </c>
      <c r="I456" s="8">
        <v>16</v>
      </c>
      <c r="J456" s="8">
        <v>22</v>
      </c>
      <c r="K456" s="8">
        <v>68.2</v>
      </c>
      <c r="L456" s="9">
        <v>20</v>
      </c>
      <c r="M456" s="9">
        <v>28</v>
      </c>
      <c r="N456" s="9">
        <v>48</v>
      </c>
      <c r="O456" s="9">
        <v>6</v>
      </c>
      <c r="P456" s="9">
        <v>10</v>
      </c>
      <c r="Q456" s="9">
        <v>8</v>
      </c>
      <c r="R456" s="9">
        <v>10</v>
      </c>
      <c r="S456" s="9">
        <v>18</v>
      </c>
      <c r="T456" s="8">
        <v>180</v>
      </c>
      <c r="U456" s="8">
        <v>0</v>
      </c>
      <c r="V456" s="8">
        <v>0</v>
      </c>
      <c r="W456" s="7">
        <v>-4.8</v>
      </c>
      <c r="X456" s="7">
        <v>95.3</v>
      </c>
      <c r="Y456" s="7">
        <v>115.3</v>
      </c>
      <c r="Z456" s="7">
        <v>-20</v>
      </c>
      <c r="AA456" s="7">
        <v>4</v>
      </c>
      <c r="AB456" s="7">
        <v>0.67</v>
      </c>
      <c r="AC456" s="7">
        <v>7.1</v>
      </c>
      <c r="AD456" s="7">
        <v>7</v>
      </c>
      <c r="AE456" s="7">
        <v>10.1</v>
      </c>
      <c r="AF456" s="7">
        <v>8.5</v>
      </c>
      <c r="AG456" s="7">
        <v>10.6</v>
      </c>
      <c r="AH456" s="7">
        <v>47.5</v>
      </c>
      <c r="AI456" s="7">
        <v>51.7</v>
      </c>
      <c r="AJ456" s="7">
        <v>13.2</v>
      </c>
      <c r="AK456" s="7">
        <v>98.57</v>
      </c>
      <c r="AL456" s="7">
        <v>6.5</v>
      </c>
      <c r="AM456" s="7">
        <v>515</v>
      </c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1"/>
    </row>
    <row r="457" spans="1:64" ht="13">
      <c r="A457" s="6" t="s">
        <v>953</v>
      </c>
      <c r="B457" s="6" t="s">
        <v>954</v>
      </c>
      <c r="C457" s="31">
        <v>68</v>
      </c>
      <c r="D457" s="24">
        <v>32</v>
      </c>
      <c r="E457" s="24">
        <v>72</v>
      </c>
      <c r="F457" s="8">
        <v>43.7</v>
      </c>
      <c r="G457" s="9">
        <v>4</v>
      </c>
      <c r="H457" s="8">
        <v>0</v>
      </c>
      <c r="I457" s="8">
        <v>8</v>
      </c>
      <c r="J457" s="8">
        <v>32</v>
      </c>
      <c r="K457" s="8">
        <v>23.3</v>
      </c>
      <c r="L457" s="9">
        <v>32</v>
      </c>
      <c r="M457" s="9">
        <v>104</v>
      </c>
      <c r="N457" s="9">
        <v>136</v>
      </c>
      <c r="O457" s="9">
        <v>24</v>
      </c>
      <c r="P457" s="9">
        <v>16</v>
      </c>
      <c r="Q457" s="9">
        <v>4</v>
      </c>
      <c r="R457" s="9">
        <v>12</v>
      </c>
      <c r="S457" s="9">
        <v>36</v>
      </c>
      <c r="T457" s="8">
        <v>292</v>
      </c>
      <c r="U457" s="8">
        <v>0</v>
      </c>
      <c r="V457" s="8">
        <v>0</v>
      </c>
      <c r="W457" s="7">
        <v>-2.1</v>
      </c>
      <c r="X457" s="7">
        <v>97.2</v>
      </c>
      <c r="Y457" s="7">
        <v>109.8</v>
      </c>
      <c r="Z457" s="7">
        <v>-12.5</v>
      </c>
      <c r="AA457" s="7">
        <v>10.9</v>
      </c>
      <c r="AB457" s="7">
        <v>1.71</v>
      </c>
      <c r="AC457" s="7">
        <v>19.5</v>
      </c>
      <c r="AD457" s="7">
        <v>8.4</v>
      </c>
      <c r="AE457" s="7">
        <v>27.1</v>
      </c>
      <c r="AF457" s="7">
        <v>17.7</v>
      </c>
      <c r="AG457" s="7">
        <v>11.4</v>
      </c>
      <c r="AH457" s="7">
        <v>43.7</v>
      </c>
      <c r="AI457" s="7">
        <v>41</v>
      </c>
      <c r="AJ457" s="7">
        <v>12.3</v>
      </c>
      <c r="AK457" s="7">
        <v>100.56</v>
      </c>
      <c r="AL457" s="7">
        <v>8.3000000000000007</v>
      </c>
      <c r="AM457" s="7">
        <v>688</v>
      </c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1"/>
    </row>
    <row r="458" spans="1:64" ht="13">
      <c r="A458" s="6" t="s">
        <v>955</v>
      </c>
      <c r="B458" s="6" t="s">
        <v>956</v>
      </c>
      <c r="C458" s="31">
        <v>67</v>
      </c>
      <c r="D458" s="24">
        <v>23</v>
      </c>
      <c r="E458" s="24">
        <v>51</v>
      </c>
      <c r="F458" s="8">
        <v>48</v>
      </c>
      <c r="G458" s="9">
        <v>30</v>
      </c>
      <c r="H458" s="8">
        <v>43.3</v>
      </c>
      <c r="I458" s="8">
        <v>7</v>
      </c>
      <c r="J458" s="8">
        <v>7</v>
      </c>
      <c r="K458" s="8">
        <v>75</v>
      </c>
      <c r="L458" s="9">
        <v>7</v>
      </c>
      <c r="M458" s="9">
        <v>18</v>
      </c>
      <c r="N458" s="9">
        <v>25</v>
      </c>
      <c r="O458" s="9">
        <v>5</v>
      </c>
      <c r="P458" s="9">
        <v>7</v>
      </c>
      <c r="Q458" s="9">
        <v>2</v>
      </c>
      <c r="R458" s="9">
        <v>5</v>
      </c>
      <c r="S458" s="9">
        <v>12</v>
      </c>
      <c r="T458" s="8">
        <v>115</v>
      </c>
      <c r="U458" s="8">
        <v>0</v>
      </c>
      <c r="V458" s="8">
        <v>0</v>
      </c>
      <c r="W458" s="7">
        <v>0.3</v>
      </c>
      <c r="X458" s="7">
        <v>103.4</v>
      </c>
      <c r="Y458" s="7">
        <v>96.3</v>
      </c>
      <c r="Z458" s="7">
        <v>7.1</v>
      </c>
      <c r="AA458" s="7">
        <v>5.6</v>
      </c>
      <c r="AB458" s="7">
        <v>0.5</v>
      </c>
      <c r="AC458" s="7">
        <v>6.2</v>
      </c>
      <c r="AD458" s="7">
        <v>5</v>
      </c>
      <c r="AE458" s="7">
        <v>14.3</v>
      </c>
      <c r="AF458" s="7">
        <v>9.8000000000000007</v>
      </c>
      <c r="AG458" s="7">
        <v>12.3</v>
      </c>
      <c r="AH458" s="7">
        <v>61</v>
      </c>
      <c r="AI458" s="7">
        <v>62.6</v>
      </c>
      <c r="AJ458" s="7">
        <v>20.5</v>
      </c>
      <c r="AK458" s="7">
        <v>105.22</v>
      </c>
      <c r="AL458" s="7">
        <v>12.3</v>
      </c>
      <c r="AM458" s="7">
        <v>261</v>
      </c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1"/>
    </row>
    <row r="459" spans="1:64" ht="13">
      <c r="A459" s="6" t="s">
        <v>957</v>
      </c>
      <c r="B459" s="6" t="s">
        <v>958</v>
      </c>
      <c r="C459" s="31">
        <v>67</v>
      </c>
      <c r="D459" s="24">
        <v>26</v>
      </c>
      <c r="E459" s="24">
        <v>73</v>
      </c>
      <c r="F459" s="8">
        <v>35.6</v>
      </c>
      <c r="G459" s="9">
        <v>27</v>
      </c>
      <c r="H459" s="8">
        <v>29.6</v>
      </c>
      <c r="I459" s="8">
        <v>7</v>
      </c>
      <c r="J459" s="8">
        <v>11</v>
      </c>
      <c r="K459" s="8">
        <v>63.6</v>
      </c>
      <c r="L459" s="9">
        <v>6</v>
      </c>
      <c r="M459" s="9">
        <v>14</v>
      </c>
      <c r="N459" s="9">
        <v>20</v>
      </c>
      <c r="O459" s="9">
        <v>18</v>
      </c>
      <c r="P459" s="9">
        <v>8</v>
      </c>
      <c r="Q459" s="9">
        <v>1</v>
      </c>
      <c r="R459" s="9">
        <v>4</v>
      </c>
      <c r="S459" s="9">
        <v>9</v>
      </c>
      <c r="T459" s="8">
        <v>125</v>
      </c>
      <c r="U459" s="8">
        <v>0</v>
      </c>
      <c r="V459" s="8">
        <v>0</v>
      </c>
      <c r="W459" s="7">
        <v>-5.3</v>
      </c>
      <c r="X459" s="7">
        <v>100.9</v>
      </c>
      <c r="Y459" s="7">
        <v>114</v>
      </c>
      <c r="Z459" s="7">
        <v>-13.1</v>
      </c>
      <c r="AA459" s="7">
        <v>17.600000000000001</v>
      </c>
      <c r="AB459" s="7">
        <v>2.25</v>
      </c>
      <c r="AC459" s="7">
        <v>17.3</v>
      </c>
      <c r="AD459" s="7">
        <v>3.2</v>
      </c>
      <c r="AE459" s="7">
        <v>8.6</v>
      </c>
      <c r="AF459" s="7">
        <v>5.8</v>
      </c>
      <c r="AG459" s="7">
        <v>7.7</v>
      </c>
      <c r="AH459" s="7">
        <v>41.1</v>
      </c>
      <c r="AI459" s="7">
        <v>43</v>
      </c>
      <c r="AJ459" s="7">
        <v>21.5</v>
      </c>
      <c r="AK459" s="7">
        <v>96.24</v>
      </c>
      <c r="AL459" s="7">
        <v>6</v>
      </c>
      <c r="AM459" s="7">
        <v>338</v>
      </c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1"/>
    </row>
    <row r="460" spans="1:64" ht="13">
      <c r="A460" s="6" t="s">
        <v>959</v>
      </c>
      <c r="B460" s="6" t="s">
        <v>960</v>
      </c>
      <c r="C460" s="31">
        <v>67</v>
      </c>
      <c r="D460" s="24">
        <v>26</v>
      </c>
      <c r="E460" s="24">
        <v>96</v>
      </c>
      <c r="F460" s="8">
        <v>26</v>
      </c>
      <c r="G460" s="9">
        <v>70</v>
      </c>
      <c r="H460" s="8">
        <v>19.399999999999999</v>
      </c>
      <c r="I460" s="8">
        <v>0</v>
      </c>
      <c r="J460" s="8">
        <v>4</v>
      </c>
      <c r="K460" s="8">
        <v>50</v>
      </c>
      <c r="L460" s="9">
        <v>7</v>
      </c>
      <c r="M460" s="9">
        <v>19</v>
      </c>
      <c r="N460" s="9">
        <v>26</v>
      </c>
      <c r="O460" s="9">
        <v>11</v>
      </c>
      <c r="P460" s="9">
        <v>4</v>
      </c>
      <c r="Q460" s="9">
        <v>7</v>
      </c>
      <c r="R460" s="9">
        <v>4</v>
      </c>
      <c r="S460" s="9">
        <v>15</v>
      </c>
      <c r="T460" s="8">
        <v>144</v>
      </c>
      <c r="U460" s="8">
        <v>0</v>
      </c>
      <c r="V460" s="8">
        <v>0</v>
      </c>
      <c r="W460" s="7">
        <v>0.2</v>
      </c>
      <c r="X460" s="7">
        <v>99.1</v>
      </c>
      <c r="Y460" s="7">
        <v>96.7</v>
      </c>
      <c r="Z460" s="7">
        <v>2.2999999999999998</v>
      </c>
      <c r="AA460" s="7">
        <v>9.4</v>
      </c>
      <c r="AB460" s="7">
        <v>3</v>
      </c>
      <c r="AC460" s="7">
        <v>10.6</v>
      </c>
      <c r="AD460" s="7">
        <v>2.9</v>
      </c>
      <c r="AE460" s="7">
        <v>8.6</v>
      </c>
      <c r="AF460" s="7">
        <v>5.7</v>
      </c>
      <c r="AG460" s="7">
        <v>3.5</v>
      </c>
      <c r="AH460" s="7">
        <v>33.299999999999997</v>
      </c>
      <c r="AI460" s="7">
        <v>33.5</v>
      </c>
      <c r="AJ460" s="7">
        <v>20.7</v>
      </c>
      <c r="AK460" s="7">
        <v>100.16</v>
      </c>
      <c r="AL460" s="7">
        <v>2.5</v>
      </c>
      <c r="AM460" s="7">
        <v>422</v>
      </c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1"/>
    </row>
    <row r="461" spans="1:64" ht="13">
      <c r="A461" s="6" t="s">
        <v>961</v>
      </c>
      <c r="B461" s="6" t="s">
        <v>962</v>
      </c>
      <c r="C461" s="31">
        <v>67</v>
      </c>
      <c r="D461" s="24">
        <v>27</v>
      </c>
      <c r="E461" s="24">
        <v>69</v>
      </c>
      <c r="F461" s="8">
        <v>39.1</v>
      </c>
      <c r="G461" s="9">
        <v>32</v>
      </c>
      <c r="H461" s="8">
        <v>15.6</v>
      </c>
      <c r="I461" s="8">
        <v>8</v>
      </c>
      <c r="J461" s="8">
        <v>10</v>
      </c>
      <c r="K461" s="8">
        <v>80</v>
      </c>
      <c r="L461" s="9">
        <v>23</v>
      </c>
      <c r="M461" s="9">
        <v>47</v>
      </c>
      <c r="N461" s="9">
        <v>70</v>
      </c>
      <c r="O461" s="9">
        <v>10</v>
      </c>
      <c r="P461" s="9">
        <v>7</v>
      </c>
      <c r="Q461" s="9">
        <v>9</v>
      </c>
      <c r="R461" s="9">
        <v>12</v>
      </c>
      <c r="S461" s="9">
        <v>16</v>
      </c>
      <c r="T461" s="8">
        <v>222</v>
      </c>
      <c r="U461" s="8">
        <v>2</v>
      </c>
      <c r="V461" s="8">
        <v>0</v>
      </c>
      <c r="W461" s="7">
        <v>-8.4</v>
      </c>
      <c r="X461" s="7">
        <v>101.1</v>
      </c>
      <c r="Y461" s="7">
        <v>117</v>
      </c>
      <c r="Z461" s="7">
        <v>-15.9</v>
      </c>
      <c r="AA461" s="7">
        <v>5.6</v>
      </c>
      <c r="AB461" s="7">
        <v>1.43</v>
      </c>
      <c r="AC461" s="7">
        <v>11</v>
      </c>
      <c r="AD461" s="7">
        <v>7.8</v>
      </c>
      <c r="AE461" s="7">
        <v>17.5</v>
      </c>
      <c r="AF461" s="7">
        <v>12.4</v>
      </c>
      <c r="AG461" s="7">
        <v>7.7</v>
      </c>
      <c r="AH461" s="7">
        <v>42.8</v>
      </c>
      <c r="AI461" s="7">
        <v>45.6</v>
      </c>
      <c r="AJ461" s="7">
        <v>12.8</v>
      </c>
      <c r="AK461" s="7">
        <v>102.58</v>
      </c>
      <c r="AL461" s="7">
        <v>7.7</v>
      </c>
      <c r="AM461" s="7">
        <v>542</v>
      </c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1"/>
    </row>
    <row r="462" spans="1:64" ht="13">
      <c r="A462" s="6" t="s">
        <v>963</v>
      </c>
      <c r="B462" s="6" t="s">
        <v>964</v>
      </c>
      <c r="C462" s="31">
        <v>66</v>
      </c>
      <c r="D462" s="24">
        <v>28</v>
      </c>
      <c r="E462" s="24">
        <v>62</v>
      </c>
      <c r="F462" s="8">
        <v>43.5</v>
      </c>
      <c r="G462" s="9">
        <v>26</v>
      </c>
      <c r="H462" s="8">
        <v>23.1</v>
      </c>
      <c r="I462" s="8">
        <v>6</v>
      </c>
      <c r="J462" s="8">
        <v>8</v>
      </c>
      <c r="K462" s="8">
        <v>62.5</v>
      </c>
      <c r="L462" s="9">
        <v>6</v>
      </c>
      <c r="M462" s="9">
        <v>8</v>
      </c>
      <c r="N462" s="9">
        <v>14</v>
      </c>
      <c r="O462" s="9">
        <v>10</v>
      </c>
      <c r="P462" s="9">
        <v>14</v>
      </c>
      <c r="Q462" s="9">
        <v>8</v>
      </c>
      <c r="R462" s="9">
        <v>4</v>
      </c>
      <c r="S462" s="9">
        <v>16</v>
      </c>
      <c r="T462" s="8">
        <v>116</v>
      </c>
      <c r="U462" s="8">
        <v>0</v>
      </c>
      <c r="V462" s="8">
        <v>0</v>
      </c>
      <c r="W462" s="7">
        <v>-1.2</v>
      </c>
      <c r="X462" s="7">
        <v>110.6</v>
      </c>
      <c r="Y462" s="7">
        <v>116.8</v>
      </c>
      <c r="Z462" s="7">
        <v>-6.2</v>
      </c>
      <c r="AA462" s="7">
        <v>7.9</v>
      </c>
      <c r="AB462" s="7">
        <v>0.64</v>
      </c>
      <c r="AC462" s="7">
        <v>10.1</v>
      </c>
      <c r="AD462" s="7">
        <v>3.3</v>
      </c>
      <c r="AE462" s="7">
        <v>5.3</v>
      </c>
      <c r="AF462" s="7">
        <v>4.3</v>
      </c>
      <c r="AG462" s="7">
        <v>15.7</v>
      </c>
      <c r="AH462" s="7">
        <v>48.4</v>
      </c>
      <c r="AI462" s="7">
        <v>49.6</v>
      </c>
      <c r="AJ462" s="7">
        <v>21.2</v>
      </c>
      <c r="AK462" s="7">
        <v>108.85</v>
      </c>
      <c r="AL462" s="7">
        <v>3.8</v>
      </c>
      <c r="AM462" s="7">
        <v>331</v>
      </c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1"/>
    </row>
    <row r="463" spans="1:64" ht="13">
      <c r="A463" s="6" t="s">
        <v>965</v>
      </c>
      <c r="B463" s="6" t="s">
        <v>966</v>
      </c>
      <c r="C463" s="31">
        <v>62</v>
      </c>
      <c r="D463" s="24">
        <v>22</v>
      </c>
      <c r="E463" s="24">
        <v>54</v>
      </c>
      <c r="F463" s="8">
        <v>40.700000000000003</v>
      </c>
      <c r="G463" s="9">
        <v>35</v>
      </c>
      <c r="H463" s="8">
        <v>37.1</v>
      </c>
      <c r="I463" s="8">
        <v>5</v>
      </c>
      <c r="J463" s="8">
        <v>8</v>
      </c>
      <c r="K463" s="8">
        <v>62.5</v>
      </c>
      <c r="L463" s="9">
        <v>6</v>
      </c>
      <c r="M463" s="9">
        <v>14</v>
      </c>
      <c r="N463" s="9">
        <v>20</v>
      </c>
      <c r="O463" s="9">
        <v>17</v>
      </c>
      <c r="P463" s="9">
        <v>10</v>
      </c>
      <c r="Q463" s="9">
        <v>7</v>
      </c>
      <c r="R463" s="9">
        <v>2</v>
      </c>
      <c r="S463" s="9">
        <v>18</v>
      </c>
      <c r="T463" s="8">
        <v>128</v>
      </c>
      <c r="U463" s="8">
        <v>1</v>
      </c>
      <c r="V463" s="8">
        <v>0</v>
      </c>
      <c r="W463" s="7">
        <v>4.5</v>
      </c>
      <c r="X463" s="7">
        <v>108.3</v>
      </c>
      <c r="Y463" s="7">
        <v>97.4</v>
      </c>
      <c r="Z463" s="7">
        <v>10.9</v>
      </c>
      <c r="AA463" s="7">
        <v>20.5</v>
      </c>
      <c r="AB463" s="7">
        <v>1.7</v>
      </c>
      <c r="AC463" s="7">
        <v>20</v>
      </c>
      <c r="AD463" s="7">
        <v>4.5999999999999996</v>
      </c>
      <c r="AE463" s="7">
        <v>10.4</v>
      </c>
      <c r="AF463" s="7">
        <v>7.5</v>
      </c>
      <c r="AG463" s="7">
        <v>11.8</v>
      </c>
      <c r="AH463" s="7">
        <v>52.8</v>
      </c>
      <c r="AI463" s="7">
        <v>53.9</v>
      </c>
      <c r="AJ463" s="7">
        <v>22.3</v>
      </c>
      <c r="AK463" s="7">
        <v>105.54</v>
      </c>
      <c r="AL463" s="7">
        <v>9.1</v>
      </c>
      <c r="AM463" s="7">
        <v>265</v>
      </c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1"/>
    </row>
    <row r="464" spans="1:64" ht="13">
      <c r="A464" s="6" t="s">
        <v>967</v>
      </c>
      <c r="B464" s="6" t="s">
        <v>968</v>
      </c>
      <c r="C464" s="31">
        <v>62</v>
      </c>
      <c r="D464" s="24">
        <v>29</v>
      </c>
      <c r="E464" s="24">
        <v>45</v>
      </c>
      <c r="F464" s="8">
        <v>64.400000000000006</v>
      </c>
      <c r="G464" s="9">
        <v>3</v>
      </c>
      <c r="H464" s="8">
        <v>33.299999999999997</v>
      </c>
      <c r="I464" s="8">
        <v>1</v>
      </c>
      <c r="J464" s="8">
        <v>6</v>
      </c>
      <c r="K464" s="8">
        <v>33.299999999999997</v>
      </c>
      <c r="L464" s="9">
        <v>18</v>
      </c>
      <c r="M464" s="9">
        <v>24</v>
      </c>
      <c r="N464" s="9">
        <v>42</v>
      </c>
      <c r="O464" s="9">
        <v>6</v>
      </c>
      <c r="P464" s="9">
        <v>6</v>
      </c>
      <c r="Q464" s="9">
        <v>1</v>
      </c>
      <c r="R464" s="9">
        <v>8</v>
      </c>
      <c r="S464" s="9">
        <v>11</v>
      </c>
      <c r="T464" s="8">
        <v>148</v>
      </c>
      <c r="U464" s="8">
        <v>1</v>
      </c>
      <c r="V464" s="8">
        <v>0</v>
      </c>
      <c r="W464" s="7">
        <v>3.1</v>
      </c>
      <c r="X464" s="7">
        <v>112.6</v>
      </c>
      <c r="Y464" s="7">
        <v>93.6</v>
      </c>
      <c r="Z464" s="7">
        <v>19</v>
      </c>
      <c r="AA464" s="7">
        <v>8</v>
      </c>
      <c r="AB464" s="7">
        <v>1.2</v>
      </c>
      <c r="AC464" s="7">
        <v>10.199999999999999</v>
      </c>
      <c r="AD464" s="7">
        <v>15.1</v>
      </c>
      <c r="AE464" s="7">
        <v>19.2</v>
      </c>
      <c r="AF464" s="7">
        <v>17.2</v>
      </c>
      <c r="AG464" s="7">
        <v>8.5</v>
      </c>
      <c r="AH464" s="7">
        <v>65.599999999999994</v>
      </c>
      <c r="AI464" s="7">
        <v>64</v>
      </c>
      <c r="AJ464" s="7">
        <v>18.2</v>
      </c>
      <c r="AK464" s="7">
        <v>105.38</v>
      </c>
      <c r="AL464" s="7">
        <v>16</v>
      </c>
      <c r="AM464" s="7">
        <v>246</v>
      </c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1"/>
    </row>
    <row r="465" spans="1:64" ht="13">
      <c r="A465" s="6" t="s">
        <v>969</v>
      </c>
      <c r="B465" s="6" t="s">
        <v>970</v>
      </c>
      <c r="C465" s="31">
        <v>62</v>
      </c>
      <c r="D465" s="24">
        <v>22</v>
      </c>
      <c r="E465" s="24">
        <v>68</v>
      </c>
      <c r="F465" s="8">
        <v>31.3</v>
      </c>
      <c r="G465" s="9">
        <v>32</v>
      </c>
      <c r="H465" s="8">
        <v>28.1</v>
      </c>
      <c r="I465" s="8">
        <v>11</v>
      </c>
      <c r="J465" s="8">
        <v>14</v>
      </c>
      <c r="K465" s="8">
        <v>78.599999999999994</v>
      </c>
      <c r="L465" s="9">
        <v>3</v>
      </c>
      <c r="M465" s="9">
        <v>14</v>
      </c>
      <c r="N465" s="9">
        <v>19</v>
      </c>
      <c r="O465" s="9">
        <v>22</v>
      </c>
      <c r="P465" s="9">
        <v>14</v>
      </c>
      <c r="Q465" s="9">
        <v>8</v>
      </c>
      <c r="R465" s="9">
        <v>3</v>
      </c>
      <c r="S465" s="9">
        <v>14</v>
      </c>
      <c r="T465" s="8">
        <v>140</v>
      </c>
      <c r="U465" s="8">
        <v>0</v>
      </c>
      <c r="V465" s="8">
        <v>0</v>
      </c>
      <c r="W465" s="7">
        <v>-2.6</v>
      </c>
      <c r="X465" s="7">
        <v>95.5</v>
      </c>
      <c r="Y465" s="7">
        <v>114.1</v>
      </c>
      <c r="Z465" s="7">
        <v>-18.600000000000001</v>
      </c>
      <c r="AA465" s="7">
        <v>19.100000000000001</v>
      </c>
      <c r="AB465" s="7">
        <v>1.69</v>
      </c>
      <c r="AC465" s="7">
        <v>20.399999999999999</v>
      </c>
      <c r="AD465" s="7">
        <v>2.1</v>
      </c>
      <c r="AE465" s="7">
        <v>7.6</v>
      </c>
      <c r="AF465" s="7">
        <v>4.8</v>
      </c>
      <c r="AG465" s="7">
        <v>12</v>
      </c>
      <c r="AH465" s="7">
        <v>38.1</v>
      </c>
      <c r="AI465" s="7">
        <v>42.4</v>
      </c>
      <c r="AJ465" s="7">
        <v>19.899999999999999</v>
      </c>
      <c r="AK465" s="7">
        <v>99.45</v>
      </c>
      <c r="AL465" s="7">
        <v>5</v>
      </c>
      <c r="AM465" s="7">
        <v>375</v>
      </c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1"/>
    </row>
    <row r="466" spans="1:64" ht="13">
      <c r="A466" s="6" t="s">
        <v>971</v>
      </c>
      <c r="B466" s="6" t="s">
        <v>972</v>
      </c>
      <c r="C466" s="31">
        <v>61</v>
      </c>
      <c r="D466" s="24">
        <v>27</v>
      </c>
      <c r="E466" s="24">
        <v>67</v>
      </c>
      <c r="F466" s="8">
        <v>41.8</v>
      </c>
      <c r="G466" s="9">
        <v>8</v>
      </c>
      <c r="H466" s="8">
        <v>50</v>
      </c>
      <c r="I466" s="8">
        <v>0</v>
      </c>
      <c r="J466" s="8">
        <v>0</v>
      </c>
      <c r="K466" s="8">
        <v>100</v>
      </c>
      <c r="L466" s="9">
        <v>6</v>
      </c>
      <c r="M466" s="9">
        <v>15</v>
      </c>
      <c r="N466" s="9">
        <v>21</v>
      </c>
      <c r="O466" s="9">
        <v>27</v>
      </c>
      <c r="P466" s="9">
        <v>15</v>
      </c>
      <c r="Q466" s="9">
        <v>11</v>
      </c>
      <c r="R466" s="9">
        <v>2</v>
      </c>
      <c r="S466" s="9">
        <v>13</v>
      </c>
      <c r="T466" s="8">
        <v>147</v>
      </c>
      <c r="U466" s="8">
        <v>0</v>
      </c>
      <c r="V466" s="8">
        <v>0</v>
      </c>
      <c r="W466" s="7">
        <v>0.2</v>
      </c>
      <c r="X466" s="7">
        <v>109.3</v>
      </c>
      <c r="Y466" s="7">
        <v>105.7</v>
      </c>
      <c r="Z466" s="7">
        <v>3.6</v>
      </c>
      <c r="AA466" s="7">
        <v>20.8</v>
      </c>
      <c r="AB466" s="7">
        <v>1.8</v>
      </c>
      <c r="AC466" s="7">
        <v>24.8</v>
      </c>
      <c r="AD466" s="7">
        <v>3.6</v>
      </c>
      <c r="AE466" s="7">
        <v>7.7</v>
      </c>
      <c r="AF466" s="7">
        <v>5.8</v>
      </c>
      <c r="AG466" s="7">
        <v>13.8</v>
      </c>
      <c r="AH466" s="7">
        <v>44.8</v>
      </c>
      <c r="AI466" s="7">
        <v>45.2</v>
      </c>
      <c r="AJ466" s="7">
        <v>19.600000000000001</v>
      </c>
      <c r="AK466" s="7">
        <v>99.36</v>
      </c>
      <c r="AL466" s="7">
        <v>6.5</v>
      </c>
      <c r="AM466" s="7">
        <v>377</v>
      </c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1"/>
    </row>
    <row r="467" spans="1:64" ht="13">
      <c r="A467" s="6" t="s">
        <v>973</v>
      </c>
      <c r="B467" s="6" t="s">
        <v>974</v>
      </c>
      <c r="C467" s="31">
        <v>59</v>
      </c>
      <c r="D467" s="24">
        <v>22</v>
      </c>
      <c r="E467" s="24">
        <v>63</v>
      </c>
      <c r="F467" s="8">
        <v>34.9</v>
      </c>
      <c r="G467" s="9">
        <v>47</v>
      </c>
      <c r="H467" s="8">
        <v>31.9</v>
      </c>
      <c r="I467" s="8">
        <v>0</v>
      </c>
      <c r="J467" s="8">
        <v>1</v>
      </c>
      <c r="K467" s="8">
        <v>0</v>
      </c>
      <c r="L467" s="9">
        <v>5</v>
      </c>
      <c r="M467" s="9">
        <v>22</v>
      </c>
      <c r="N467" s="9">
        <v>27</v>
      </c>
      <c r="O467" s="9">
        <v>3</v>
      </c>
      <c r="P467" s="9">
        <v>4</v>
      </c>
      <c r="Q467" s="9">
        <v>4</v>
      </c>
      <c r="R467" s="9">
        <v>2</v>
      </c>
      <c r="S467" s="9">
        <v>12</v>
      </c>
      <c r="T467" s="8">
        <v>110</v>
      </c>
      <c r="U467" s="8">
        <v>0</v>
      </c>
      <c r="V467" s="8">
        <v>0</v>
      </c>
      <c r="W467" s="7">
        <v>5.4</v>
      </c>
      <c r="X467" s="7">
        <v>114.2</v>
      </c>
      <c r="Y467" s="7">
        <v>100.5</v>
      </c>
      <c r="Z467" s="7">
        <v>13.7</v>
      </c>
      <c r="AA467" s="7">
        <v>2.2000000000000002</v>
      </c>
      <c r="AB467" s="7">
        <v>0.75</v>
      </c>
      <c r="AC467" s="7">
        <v>4.3</v>
      </c>
      <c r="AD467" s="7">
        <v>2.6</v>
      </c>
      <c r="AE467" s="7">
        <v>11.9</v>
      </c>
      <c r="AF467" s="7">
        <v>7.2</v>
      </c>
      <c r="AG467" s="7">
        <v>5.7</v>
      </c>
      <c r="AH467" s="7">
        <v>46.8</v>
      </c>
      <c r="AI467" s="7">
        <v>46.5</v>
      </c>
      <c r="AJ467" s="7">
        <v>15.5</v>
      </c>
      <c r="AK467" s="7">
        <v>104.92</v>
      </c>
      <c r="AL467" s="7">
        <v>4.5999999999999996</v>
      </c>
      <c r="AM467" s="7">
        <v>372</v>
      </c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1"/>
    </row>
    <row r="468" spans="1:64" ht="13">
      <c r="A468" s="6" t="s">
        <v>975</v>
      </c>
      <c r="B468" s="6" t="s">
        <v>976</v>
      </c>
      <c r="C468" s="31">
        <v>58</v>
      </c>
      <c r="D468" s="24">
        <v>26</v>
      </c>
      <c r="E468" s="24">
        <v>49</v>
      </c>
      <c r="F468" s="8">
        <v>53.1</v>
      </c>
      <c r="G468" s="8">
        <v>0</v>
      </c>
      <c r="H468" s="8">
        <v>0</v>
      </c>
      <c r="I468" s="8">
        <v>7</v>
      </c>
      <c r="J468" s="8">
        <v>9</v>
      </c>
      <c r="K468" s="8">
        <v>75</v>
      </c>
      <c r="L468" s="9">
        <v>20</v>
      </c>
      <c r="M468" s="9">
        <v>31</v>
      </c>
      <c r="N468" s="9">
        <v>51</v>
      </c>
      <c r="O468" s="9">
        <v>19</v>
      </c>
      <c r="P468" s="9">
        <v>14</v>
      </c>
      <c r="Q468" s="9">
        <v>3</v>
      </c>
      <c r="R468" s="9">
        <v>9</v>
      </c>
      <c r="S468" s="9">
        <v>27</v>
      </c>
      <c r="T468" s="8">
        <v>172</v>
      </c>
      <c r="U468" s="8">
        <v>0</v>
      </c>
      <c r="V468" s="8">
        <v>0</v>
      </c>
      <c r="W468" s="7">
        <v>-1.3</v>
      </c>
      <c r="X468" s="7">
        <v>103.9</v>
      </c>
      <c r="Y468" s="7">
        <v>110.1</v>
      </c>
      <c r="Z468" s="7">
        <v>-6.1</v>
      </c>
      <c r="AA468" s="7">
        <v>19.399999999999999</v>
      </c>
      <c r="AB468" s="7">
        <v>1.29</v>
      </c>
      <c r="AC468" s="7">
        <v>21.2</v>
      </c>
      <c r="AD468" s="7">
        <v>12.7</v>
      </c>
      <c r="AE468" s="7">
        <v>21</v>
      </c>
      <c r="AF468" s="7">
        <v>16.5</v>
      </c>
      <c r="AG468" s="7">
        <v>16.5</v>
      </c>
      <c r="AH468" s="7">
        <v>53.1</v>
      </c>
      <c r="AI468" s="7">
        <v>55.2</v>
      </c>
      <c r="AJ468" s="7">
        <v>18.2</v>
      </c>
      <c r="AK468" s="7">
        <v>100.37</v>
      </c>
      <c r="AL468" s="7">
        <v>10</v>
      </c>
      <c r="AM468" s="7">
        <v>305</v>
      </c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1"/>
    </row>
    <row r="469" spans="1:64" ht="13">
      <c r="A469" s="6" t="s">
        <v>977</v>
      </c>
      <c r="B469" s="6" t="s">
        <v>978</v>
      </c>
      <c r="C469" s="31">
        <v>56</v>
      </c>
      <c r="D469" s="24">
        <v>21</v>
      </c>
      <c r="E469" s="24">
        <v>58</v>
      </c>
      <c r="F469" s="8">
        <v>36.200000000000003</v>
      </c>
      <c r="G469" s="9">
        <v>26</v>
      </c>
      <c r="H469" s="8">
        <v>26.9</v>
      </c>
      <c r="I469" s="8">
        <v>6</v>
      </c>
      <c r="J469" s="8">
        <v>10</v>
      </c>
      <c r="K469" s="8">
        <v>70</v>
      </c>
      <c r="L469" s="9">
        <v>14</v>
      </c>
      <c r="M469" s="9">
        <v>37</v>
      </c>
      <c r="N469" s="9">
        <v>50</v>
      </c>
      <c r="O469" s="9">
        <v>22</v>
      </c>
      <c r="P469" s="9">
        <v>14</v>
      </c>
      <c r="Q469" s="9">
        <v>6</v>
      </c>
      <c r="R469" s="9">
        <v>2</v>
      </c>
      <c r="S469" s="9">
        <v>19</v>
      </c>
      <c r="T469" s="8">
        <v>160</v>
      </c>
      <c r="U469" s="8">
        <v>1</v>
      </c>
      <c r="V469" s="8">
        <v>0</v>
      </c>
      <c r="W469" s="7">
        <v>-3.1</v>
      </c>
      <c r="X469" s="7">
        <v>97.3</v>
      </c>
      <c r="Y469" s="7">
        <v>108.7</v>
      </c>
      <c r="Z469" s="7">
        <v>-11.5</v>
      </c>
      <c r="AA469" s="7">
        <v>17</v>
      </c>
      <c r="AB469" s="7">
        <v>1.53</v>
      </c>
      <c r="AC469" s="7">
        <v>22.8</v>
      </c>
      <c r="AD469" s="7">
        <v>5.9</v>
      </c>
      <c r="AE469" s="7">
        <v>15.8</v>
      </c>
      <c r="AF469" s="7">
        <v>10.7</v>
      </c>
      <c r="AG469" s="7">
        <v>14.9</v>
      </c>
      <c r="AH469" s="7">
        <v>42.2</v>
      </c>
      <c r="AI469" s="7">
        <v>44.9</v>
      </c>
      <c r="AJ469" s="7">
        <v>15.7</v>
      </c>
      <c r="AK469" s="7">
        <v>99.59</v>
      </c>
      <c r="AL469" s="7">
        <v>6.7</v>
      </c>
      <c r="AM469" s="7">
        <v>437</v>
      </c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1"/>
    </row>
    <row r="470" spans="1:64" ht="13">
      <c r="A470" s="6" t="s">
        <v>979</v>
      </c>
      <c r="B470" s="6" t="s">
        <v>980</v>
      </c>
      <c r="C470" s="31">
        <v>56</v>
      </c>
      <c r="D470" s="24">
        <v>21</v>
      </c>
      <c r="E470" s="24">
        <v>71</v>
      </c>
      <c r="F470" s="8">
        <v>30</v>
      </c>
      <c r="G470" s="9">
        <v>36</v>
      </c>
      <c r="H470" s="8">
        <v>25</v>
      </c>
      <c r="I470" s="8">
        <v>5</v>
      </c>
      <c r="J470" s="8">
        <v>6</v>
      </c>
      <c r="K470" s="8">
        <v>83.3</v>
      </c>
      <c r="L470" s="9">
        <v>3</v>
      </c>
      <c r="M470" s="9">
        <v>20</v>
      </c>
      <c r="N470" s="9">
        <v>23</v>
      </c>
      <c r="O470" s="9">
        <v>21</v>
      </c>
      <c r="P470" s="9">
        <v>5</v>
      </c>
      <c r="Q470" s="9">
        <v>2</v>
      </c>
      <c r="R470" s="9">
        <v>3</v>
      </c>
      <c r="S470" s="9">
        <v>17</v>
      </c>
      <c r="T470" s="8">
        <v>125</v>
      </c>
      <c r="U470" s="8">
        <v>0</v>
      </c>
      <c r="V470" s="8">
        <v>0</v>
      </c>
      <c r="W470" s="7">
        <v>-1.9</v>
      </c>
      <c r="X470" s="7">
        <v>106.1</v>
      </c>
      <c r="Y470" s="7">
        <v>113.9</v>
      </c>
      <c r="Z470" s="7">
        <v>-7.8</v>
      </c>
      <c r="AA470" s="7">
        <v>19.100000000000001</v>
      </c>
      <c r="AB470" s="7">
        <v>4.2</v>
      </c>
      <c r="AC470" s="7">
        <v>21.2</v>
      </c>
      <c r="AD470" s="7">
        <v>1.7</v>
      </c>
      <c r="AE470" s="7">
        <v>11.4</v>
      </c>
      <c r="AF470" s="7">
        <v>6.6</v>
      </c>
      <c r="AG470" s="7">
        <v>5.0999999999999996</v>
      </c>
      <c r="AH470" s="7">
        <v>36.4</v>
      </c>
      <c r="AI470" s="7">
        <v>38.5</v>
      </c>
      <c r="AJ470" s="7">
        <v>20.2</v>
      </c>
      <c r="AK470" s="7">
        <v>100.86</v>
      </c>
      <c r="AL470" s="7">
        <v>4.5</v>
      </c>
      <c r="AM470" s="7">
        <v>345</v>
      </c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1"/>
    </row>
    <row r="471" spans="1:64" ht="13">
      <c r="A471" s="6" t="s">
        <v>981</v>
      </c>
      <c r="B471" s="6" t="s">
        <v>982</v>
      </c>
      <c r="C471" s="31">
        <v>55</v>
      </c>
      <c r="D471" s="24">
        <v>17</v>
      </c>
      <c r="E471" s="24">
        <v>52</v>
      </c>
      <c r="F471" s="8">
        <v>32.700000000000003</v>
      </c>
      <c r="G471" s="9">
        <v>44</v>
      </c>
      <c r="H471" s="8">
        <v>29.5</v>
      </c>
      <c r="I471" s="8">
        <v>8</v>
      </c>
      <c r="J471" s="8">
        <v>10</v>
      </c>
      <c r="K471" s="8">
        <v>80</v>
      </c>
      <c r="L471" s="9">
        <v>3</v>
      </c>
      <c r="M471" s="9">
        <v>6</v>
      </c>
      <c r="N471" s="9">
        <v>9</v>
      </c>
      <c r="O471" s="9">
        <v>12</v>
      </c>
      <c r="P471" s="9">
        <v>8</v>
      </c>
      <c r="Q471" s="9">
        <v>3</v>
      </c>
      <c r="R471" s="9">
        <v>1</v>
      </c>
      <c r="S471" s="9">
        <v>17</v>
      </c>
      <c r="T471" s="8">
        <v>88</v>
      </c>
      <c r="U471" s="8">
        <v>0</v>
      </c>
      <c r="V471" s="8">
        <v>0</v>
      </c>
      <c r="W471" s="7">
        <v>-10</v>
      </c>
      <c r="X471" s="7">
        <v>98.8</v>
      </c>
      <c r="Y471" s="7">
        <v>119.3</v>
      </c>
      <c r="Z471" s="7">
        <v>-20.5</v>
      </c>
      <c r="AA471" s="7">
        <v>12.6</v>
      </c>
      <c r="AB471" s="7">
        <v>1.5</v>
      </c>
      <c r="AC471" s="7">
        <v>15.6</v>
      </c>
      <c r="AD471" s="7">
        <v>1.8</v>
      </c>
      <c r="AE471" s="7">
        <v>4.5999999999999996</v>
      </c>
      <c r="AF471" s="7">
        <v>3</v>
      </c>
      <c r="AG471" s="7">
        <v>10.4</v>
      </c>
      <c r="AH471" s="7">
        <v>45.2</v>
      </c>
      <c r="AI471" s="7">
        <v>48.8</v>
      </c>
      <c r="AJ471" s="7">
        <v>17.7</v>
      </c>
      <c r="AK471" s="7">
        <v>105.16</v>
      </c>
      <c r="AL471" s="7">
        <v>2.4</v>
      </c>
      <c r="AM471" s="7">
        <v>330</v>
      </c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1"/>
    </row>
    <row r="472" spans="1:64" ht="13">
      <c r="A472" s="6" t="s">
        <v>983</v>
      </c>
      <c r="B472" s="6" t="s">
        <v>984</v>
      </c>
      <c r="C472" s="31">
        <v>55</v>
      </c>
      <c r="D472" s="24">
        <v>18</v>
      </c>
      <c r="E472" s="24">
        <v>40</v>
      </c>
      <c r="F472" s="8">
        <v>41.5</v>
      </c>
      <c r="G472" s="9">
        <v>33</v>
      </c>
      <c r="H472" s="8">
        <v>39.4</v>
      </c>
      <c r="I472" s="8">
        <v>8</v>
      </c>
      <c r="J472" s="8">
        <v>10</v>
      </c>
      <c r="K472" s="8">
        <v>77.8</v>
      </c>
      <c r="L472" s="9">
        <v>10</v>
      </c>
      <c r="M472" s="9">
        <v>30</v>
      </c>
      <c r="N472" s="9">
        <v>40</v>
      </c>
      <c r="O472" s="9">
        <v>13</v>
      </c>
      <c r="P472" s="9">
        <v>8</v>
      </c>
      <c r="Q472" s="9">
        <v>5</v>
      </c>
      <c r="R472" s="9">
        <v>3</v>
      </c>
      <c r="S472" s="9">
        <v>18</v>
      </c>
      <c r="T472" s="8">
        <v>135</v>
      </c>
      <c r="U472" s="8">
        <v>0</v>
      </c>
      <c r="V472" s="8">
        <v>0</v>
      </c>
      <c r="W472" s="7">
        <v>1.8</v>
      </c>
      <c r="X472" s="7">
        <v>115.7</v>
      </c>
      <c r="Y472" s="7">
        <v>102.9</v>
      </c>
      <c r="Z472" s="7">
        <v>12.8</v>
      </c>
      <c r="AA472" s="7">
        <v>9.5</v>
      </c>
      <c r="AB472" s="7">
        <v>1.63</v>
      </c>
      <c r="AC472" s="7">
        <v>19.7</v>
      </c>
      <c r="AD472" s="7">
        <v>5.0999999999999996</v>
      </c>
      <c r="AE472" s="7">
        <v>16.100000000000001</v>
      </c>
      <c r="AF472" s="7">
        <v>10.8</v>
      </c>
      <c r="AG472" s="7">
        <v>12.1</v>
      </c>
      <c r="AH472" s="7">
        <v>57.3</v>
      </c>
      <c r="AI472" s="7">
        <v>60.1</v>
      </c>
      <c r="AJ472" s="7">
        <v>12.1</v>
      </c>
      <c r="AK472" s="7">
        <v>96.96</v>
      </c>
      <c r="AL472" s="7">
        <v>7.8</v>
      </c>
      <c r="AM472" s="7">
        <v>375</v>
      </c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1"/>
    </row>
    <row r="473" spans="1:64" ht="13">
      <c r="A473" s="6" t="s">
        <v>985</v>
      </c>
      <c r="B473" s="6" t="s">
        <v>986</v>
      </c>
      <c r="C473" s="31">
        <v>54</v>
      </c>
      <c r="D473" s="24">
        <v>18</v>
      </c>
      <c r="E473" s="24">
        <v>43</v>
      </c>
      <c r="F473" s="8">
        <v>41.9</v>
      </c>
      <c r="G473" s="9">
        <v>21</v>
      </c>
      <c r="H473" s="8">
        <v>38.1</v>
      </c>
      <c r="I473" s="8">
        <v>10</v>
      </c>
      <c r="J473" s="8">
        <v>12</v>
      </c>
      <c r="K473" s="8">
        <v>83.3</v>
      </c>
      <c r="L473" s="9">
        <v>5</v>
      </c>
      <c r="M473" s="9">
        <v>13</v>
      </c>
      <c r="N473" s="9">
        <v>18</v>
      </c>
      <c r="O473" s="9">
        <v>31</v>
      </c>
      <c r="P473" s="9">
        <v>9</v>
      </c>
      <c r="Q473" s="9">
        <v>4</v>
      </c>
      <c r="R473" s="9">
        <v>4</v>
      </c>
      <c r="S473" s="9">
        <v>13</v>
      </c>
      <c r="T473" s="8">
        <v>137</v>
      </c>
      <c r="U473" s="8">
        <v>0</v>
      </c>
      <c r="V473" s="8">
        <v>0</v>
      </c>
      <c r="W473" s="7">
        <v>-4</v>
      </c>
      <c r="X473" s="7">
        <v>109.9</v>
      </c>
      <c r="Y473" s="7">
        <v>115.6</v>
      </c>
      <c r="Z473" s="7">
        <v>-5.7</v>
      </c>
      <c r="AA473" s="7">
        <v>27.4</v>
      </c>
      <c r="AB473" s="7">
        <v>3.44</v>
      </c>
      <c r="AC473" s="7">
        <v>34.799999999999997</v>
      </c>
      <c r="AD473" s="7">
        <v>2.8</v>
      </c>
      <c r="AE473" s="7">
        <v>8.6999999999999993</v>
      </c>
      <c r="AF473" s="7">
        <v>5.5</v>
      </c>
      <c r="AG473" s="7">
        <v>10.1</v>
      </c>
      <c r="AH473" s="7">
        <v>51.2</v>
      </c>
      <c r="AI473" s="7">
        <v>55.9</v>
      </c>
      <c r="AJ473" s="7">
        <v>14.5</v>
      </c>
      <c r="AK473" s="7">
        <v>101.72</v>
      </c>
      <c r="AL473" s="7">
        <v>8.5</v>
      </c>
      <c r="AM473" s="7">
        <v>342</v>
      </c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1"/>
    </row>
    <row r="474" spans="1:64" ht="13">
      <c r="A474" s="6" t="s">
        <v>987</v>
      </c>
      <c r="B474" s="6" t="s">
        <v>988</v>
      </c>
      <c r="C474" s="31">
        <v>53</v>
      </c>
      <c r="D474" s="24">
        <v>18</v>
      </c>
      <c r="E474" s="24">
        <v>47</v>
      </c>
      <c r="F474" s="8">
        <v>38.299999999999997</v>
      </c>
      <c r="G474" s="9">
        <v>19</v>
      </c>
      <c r="H474" s="8">
        <v>21.1</v>
      </c>
      <c r="I474" s="8">
        <v>13</v>
      </c>
      <c r="J474" s="8">
        <v>18</v>
      </c>
      <c r="K474" s="8">
        <v>72.2</v>
      </c>
      <c r="L474" s="9">
        <v>5</v>
      </c>
      <c r="M474" s="9">
        <v>16</v>
      </c>
      <c r="N474" s="9">
        <v>21</v>
      </c>
      <c r="O474" s="9">
        <v>17</v>
      </c>
      <c r="P474" s="9">
        <v>8</v>
      </c>
      <c r="Q474" s="9">
        <v>3</v>
      </c>
      <c r="R474" s="9">
        <v>2</v>
      </c>
      <c r="S474" s="9">
        <v>9</v>
      </c>
      <c r="T474" s="8">
        <v>111</v>
      </c>
      <c r="U474" s="8">
        <v>0</v>
      </c>
      <c r="V474" s="8">
        <v>0</v>
      </c>
      <c r="W474" s="7">
        <v>-2.2999999999999998</v>
      </c>
      <c r="X474" s="7">
        <v>95.3</v>
      </c>
      <c r="Y474" s="7">
        <v>103.3</v>
      </c>
      <c r="Z474" s="7">
        <v>-8</v>
      </c>
      <c r="AA474" s="7">
        <v>21.3</v>
      </c>
      <c r="AB474" s="7">
        <v>2.13</v>
      </c>
      <c r="AC474" s="7">
        <v>21.3</v>
      </c>
      <c r="AD474" s="7">
        <v>3.5</v>
      </c>
      <c r="AE474" s="7">
        <v>12.3</v>
      </c>
      <c r="AF474" s="7">
        <v>7.7</v>
      </c>
      <c r="AG474" s="7">
        <v>10</v>
      </c>
      <c r="AH474" s="7">
        <v>42.6</v>
      </c>
      <c r="AI474" s="7">
        <v>48.3</v>
      </c>
      <c r="AJ474" s="7">
        <v>20.3</v>
      </c>
      <c r="AK474" s="7">
        <v>106.96</v>
      </c>
      <c r="AL474" s="7">
        <v>8.6</v>
      </c>
      <c r="AM474" s="7">
        <v>275</v>
      </c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1"/>
    </row>
    <row r="475" spans="1:64" ht="13">
      <c r="A475" s="6" t="s">
        <v>989</v>
      </c>
      <c r="B475" s="6" t="s">
        <v>990</v>
      </c>
      <c r="C475" s="31">
        <v>53</v>
      </c>
      <c r="D475" s="24">
        <v>20</v>
      </c>
      <c r="E475" s="24">
        <v>40</v>
      </c>
      <c r="F475" s="8">
        <v>50</v>
      </c>
      <c r="G475" s="9">
        <v>28</v>
      </c>
      <c r="H475" s="8">
        <v>39.299999999999997</v>
      </c>
      <c r="I475" s="8">
        <v>2</v>
      </c>
      <c r="J475" s="8">
        <v>3</v>
      </c>
      <c r="K475" s="8">
        <v>66.7</v>
      </c>
      <c r="L475" s="9">
        <v>21</v>
      </c>
      <c r="M475" s="9">
        <v>26</v>
      </c>
      <c r="N475" s="9">
        <v>47</v>
      </c>
      <c r="O475" s="9">
        <v>15</v>
      </c>
      <c r="P475" s="9">
        <v>3</v>
      </c>
      <c r="Q475" s="9">
        <v>5</v>
      </c>
      <c r="R475" s="9">
        <v>4</v>
      </c>
      <c r="S475" s="9">
        <v>5</v>
      </c>
      <c r="T475" s="8">
        <v>156</v>
      </c>
      <c r="U475" s="8">
        <v>1</v>
      </c>
      <c r="V475" s="8">
        <v>0</v>
      </c>
      <c r="W475" s="7">
        <v>-3.1</v>
      </c>
      <c r="X475" s="7">
        <v>115.8</v>
      </c>
      <c r="Y475" s="7">
        <v>122.1</v>
      </c>
      <c r="Z475" s="7">
        <v>-6.3</v>
      </c>
      <c r="AA475" s="7">
        <v>10.1</v>
      </c>
      <c r="AB475" s="7">
        <v>5</v>
      </c>
      <c r="AC475" s="7">
        <v>25.4</v>
      </c>
      <c r="AD475" s="7">
        <v>9.9</v>
      </c>
      <c r="AE475" s="7">
        <v>14.1</v>
      </c>
      <c r="AF475" s="7">
        <v>11.8</v>
      </c>
      <c r="AG475" s="7">
        <v>5.0999999999999996</v>
      </c>
      <c r="AH475" s="7">
        <v>63.8</v>
      </c>
      <c r="AI475" s="7">
        <v>64.099999999999994</v>
      </c>
      <c r="AJ475" s="7">
        <v>9.3000000000000007</v>
      </c>
      <c r="AK475" s="7">
        <v>99.08</v>
      </c>
      <c r="AL475" s="7">
        <v>8.9</v>
      </c>
      <c r="AM475" s="7">
        <v>405</v>
      </c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1"/>
    </row>
    <row r="476" spans="1:64" ht="13">
      <c r="A476" s="13" t="s">
        <v>991</v>
      </c>
      <c r="B476" s="6" t="s">
        <v>992</v>
      </c>
      <c r="C476" s="31">
        <v>53</v>
      </c>
      <c r="D476" s="24">
        <v>19</v>
      </c>
      <c r="E476" s="24">
        <v>36</v>
      </c>
      <c r="F476" s="8">
        <v>54.3</v>
      </c>
      <c r="G476" s="9">
        <v>24</v>
      </c>
      <c r="H476" s="8">
        <v>56.5</v>
      </c>
      <c r="I476" s="8">
        <v>2</v>
      </c>
      <c r="J476" s="8">
        <v>5</v>
      </c>
      <c r="K476" s="8">
        <v>50</v>
      </c>
      <c r="L476" s="9">
        <v>5</v>
      </c>
      <c r="M476" s="9">
        <v>19</v>
      </c>
      <c r="N476" s="9">
        <v>24</v>
      </c>
      <c r="O476" s="9">
        <v>2</v>
      </c>
      <c r="P476" s="9">
        <v>5</v>
      </c>
      <c r="Q476" s="9">
        <v>2</v>
      </c>
      <c r="R476" s="9">
        <v>2</v>
      </c>
      <c r="S476" s="9">
        <v>7</v>
      </c>
      <c r="T476" s="8">
        <v>98</v>
      </c>
      <c r="U476" s="8">
        <v>0</v>
      </c>
      <c r="V476" s="8">
        <v>0</v>
      </c>
      <c r="W476" s="7">
        <v>1.2</v>
      </c>
      <c r="X476" s="7">
        <v>114.6</v>
      </c>
      <c r="Y476" s="7">
        <v>102.1</v>
      </c>
      <c r="Z476" s="7">
        <v>12.4</v>
      </c>
      <c r="AA476" s="7">
        <v>4.2</v>
      </c>
      <c r="AB476" s="7">
        <v>0.6</v>
      </c>
      <c r="AC476" s="7">
        <v>6.7</v>
      </c>
      <c r="AD476" s="7">
        <v>3.8</v>
      </c>
      <c r="AE476" s="7">
        <v>18.899999999999999</v>
      </c>
      <c r="AF476" s="7">
        <v>10.5</v>
      </c>
      <c r="AG476" s="7">
        <v>11.1</v>
      </c>
      <c r="AH476" s="7">
        <v>72.900000000000006</v>
      </c>
      <c r="AI476" s="7">
        <v>72.099999999999994</v>
      </c>
      <c r="AJ476" s="7">
        <v>15.1</v>
      </c>
      <c r="AK476" s="7">
        <v>104.77</v>
      </c>
      <c r="AL476" s="7">
        <v>12.2</v>
      </c>
      <c r="AM476" s="7">
        <v>233</v>
      </c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1"/>
    </row>
    <row r="477" spans="1:64" ht="13">
      <c r="A477" s="6" t="s">
        <v>993</v>
      </c>
      <c r="B477" s="6" t="s">
        <v>994</v>
      </c>
      <c r="C477" s="31">
        <v>53</v>
      </c>
      <c r="D477" s="24">
        <v>17</v>
      </c>
      <c r="E477" s="24">
        <v>59</v>
      </c>
      <c r="F477" s="8">
        <v>30</v>
      </c>
      <c r="G477" s="9">
        <v>28</v>
      </c>
      <c r="H477" s="8">
        <v>21.4</v>
      </c>
      <c r="I477" s="8">
        <v>11</v>
      </c>
      <c r="J477" s="8">
        <v>11</v>
      </c>
      <c r="K477" s="8">
        <v>91.7</v>
      </c>
      <c r="L477" s="9">
        <v>8</v>
      </c>
      <c r="M477" s="9">
        <v>20</v>
      </c>
      <c r="N477" s="9">
        <v>28</v>
      </c>
      <c r="O477" s="9">
        <v>31</v>
      </c>
      <c r="P477" s="9">
        <v>11</v>
      </c>
      <c r="Q477" s="9">
        <v>17</v>
      </c>
      <c r="R477" s="9">
        <v>3</v>
      </c>
      <c r="S477" s="9">
        <v>22</v>
      </c>
      <c r="T477" s="8">
        <v>182</v>
      </c>
      <c r="U477" s="8">
        <v>0</v>
      </c>
      <c r="V477" s="8">
        <v>0</v>
      </c>
      <c r="W477" s="7">
        <v>-1</v>
      </c>
      <c r="X477" s="7">
        <v>106.6</v>
      </c>
      <c r="Y477" s="7">
        <v>111.1</v>
      </c>
      <c r="Z477" s="7">
        <v>-4.5</v>
      </c>
      <c r="AA477" s="7">
        <v>17.100000000000001</v>
      </c>
      <c r="AB477" s="7">
        <v>3.1</v>
      </c>
      <c r="AC477" s="7">
        <v>29</v>
      </c>
      <c r="AD477" s="7">
        <v>3.6</v>
      </c>
      <c r="AE477" s="7">
        <v>9</v>
      </c>
      <c r="AF477" s="7">
        <v>6.1</v>
      </c>
      <c r="AG477" s="7">
        <v>9.3000000000000007</v>
      </c>
      <c r="AH477" s="7">
        <v>35</v>
      </c>
      <c r="AI477" s="7">
        <v>40.6</v>
      </c>
      <c r="AJ477" s="7">
        <v>12.9</v>
      </c>
      <c r="AK477" s="7">
        <v>105.94</v>
      </c>
      <c r="AL477" s="7">
        <v>5.0999999999999996</v>
      </c>
      <c r="AM477" s="7">
        <v>498</v>
      </c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1"/>
    </row>
    <row r="478" spans="1:64" ht="13">
      <c r="A478" s="6" t="s">
        <v>995</v>
      </c>
      <c r="B478" s="6" t="s">
        <v>996</v>
      </c>
      <c r="C478" s="31">
        <v>52</v>
      </c>
      <c r="D478" s="24">
        <v>19</v>
      </c>
      <c r="E478" s="24">
        <v>39</v>
      </c>
      <c r="F478" s="8">
        <v>48.7</v>
      </c>
      <c r="G478" s="9">
        <v>18</v>
      </c>
      <c r="H478" s="8">
        <v>33.299999999999997</v>
      </c>
      <c r="I478" s="8">
        <v>8</v>
      </c>
      <c r="J478" s="8">
        <v>14</v>
      </c>
      <c r="K478" s="8">
        <v>57.1</v>
      </c>
      <c r="L478" s="9">
        <v>7</v>
      </c>
      <c r="M478" s="9">
        <v>15</v>
      </c>
      <c r="N478" s="9">
        <v>22</v>
      </c>
      <c r="O478" s="9">
        <v>4</v>
      </c>
      <c r="P478" s="9">
        <v>8</v>
      </c>
      <c r="Q478" s="9">
        <v>4</v>
      </c>
      <c r="R478" s="9">
        <v>3</v>
      </c>
      <c r="S478" s="9">
        <v>14</v>
      </c>
      <c r="T478" s="8">
        <v>97</v>
      </c>
      <c r="U478" s="8">
        <v>0</v>
      </c>
      <c r="V478" s="8">
        <v>0</v>
      </c>
      <c r="W478" s="7">
        <v>-5.2</v>
      </c>
      <c r="X478" s="7">
        <v>113.6</v>
      </c>
      <c r="Y478" s="7">
        <v>124.3</v>
      </c>
      <c r="Z478" s="7">
        <v>-10.7</v>
      </c>
      <c r="AA478" s="7">
        <v>4</v>
      </c>
      <c r="AB478" s="7">
        <v>0.5</v>
      </c>
      <c r="AC478" s="7">
        <v>7.1</v>
      </c>
      <c r="AD478" s="7">
        <v>4.7</v>
      </c>
      <c r="AE478" s="7">
        <v>11.5</v>
      </c>
      <c r="AF478" s="7">
        <v>7.9</v>
      </c>
      <c r="AG478" s="7">
        <v>14.3</v>
      </c>
      <c r="AH478" s="7">
        <v>56.4</v>
      </c>
      <c r="AI478" s="7">
        <v>57.6</v>
      </c>
      <c r="AJ478" s="7">
        <v>15.4</v>
      </c>
      <c r="AK478" s="7">
        <v>101.4</v>
      </c>
      <c r="AL478" s="7">
        <v>5</v>
      </c>
      <c r="AM478" s="7">
        <v>301</v>
      </c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1"/>
    </row>
    <row r="479" spans="1:64" ht="13">
      <c r="A479" s="6" t="s">
        <v>997</v>
      </c>
      <c r="B479" s="6" t="s">
        <v>998</v>
      </c>
      <c r="C479" s="31">
        <v>48</v>
      </c>
      <c r="D479" s="24">
        <v>20</v>
      </c>
      <c r="E479" s="24">
        <v>30</v>
      </c>
      <c r="F479" s="8">
        <v>67.7</v>
      </c>
      <c r="G479" s="8">
        <v>0</v>
      </c>
      <c r="H479" s="8">
        <v>0</v>
      </c>
      <c r="I479" s="8">
        <v>5</v>
      </c>
      <c r="J479" s="8">
        <v>13</v>
      </c>
      <c r="K479" s="8">
        <v>46.2</v>
      </c>
      <c r="L479" s="9">
        <v>15</v>
      </c>
      <c r="M479" s="9">
        <v>38</v>
      </c>
      <c r="N479" s="9">
        <v>50</v>
      </c>
      <c r="O479" s="9">
        <v>10</v>
      </c>
      <c r="P479" s="9">
        <v>20</v>
      </c>
      <c r="Q479" s="8">
        <v>0</v>
      </c>
      <c r="R479" s="9">
        <v>15</v>
      </c>
      <c r="S479" s="9">
        <v>33</v>
      </c>
      <c r="T479" s="8">
        <v>153</v>
      </c>
      <c r="U479" s="8">
        <v>0</v>
      </c>
      <c r="V479" s="8">
        <v>0</v>
      </c>
      <c r="W479" s="7">
        <v>-2.5</v>
      </c>
      <c r="X479" s="7">
        <v>97.6</v>
      </c>
      <c r="Y479" s="7">
        <v>110.1</v>
      </c>
      <c r="Z479" s="7">
        <v>-12.4</v>
      </c>
      <c r="AA479" s="7">
        <v>7.5</v>
      </c>
      <c r="AB479" s="7">
        <v>0.52</v>
      </c>
      <c r="AC479" s="7">
        <v>15.9</v>
      </c>
      <c r="AD479" s="7">
        <v>6.6</v>
      </c>
      <c r="AE479" s="7">
        <v>15.1</v>
      </c>
      <c r="AF479" s="7">
        <v>11.2</v>
      </c>
      <c r="AG479" s="7">
        <v>30.4</v>
      </c>
      <c r="AH479" s="7">
        <v>67.7</v>
      </c>
      <c r="AI479" s="7">
        <v>65.400000000000006</v>
      </c>
      <c r="AJ479" s="7">
        <v>11.3</v>
      </c>
      <c r="AK479" s="7">
        <v>102.57</v>
      </c>
      <c r="AL479" s="7">
        <v>4.8</v>
      </c>
      <c r="AM479" s="7">
        <v>462</v>
      </c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1"/>
    </row>
    <row r="480" spans="1:64" ht="13">
      <c r="A480" s="6" t="s">
        <v>999</v>
      </c>
      <c r="B480" s="6" t="s">
        <v>1000</v>
      </c>
      <c r="C480" s="31">
        <v>46</v>
      </c>
      <c r="D480" s="24">
        <v>18</v>
      </c>
      <c r="E480" s="24">
        <v>36</v>
      </c>
      <c r="F480" s="8">
        <v>50</v>
      </c>
      <c r="G480" s="9">
        <v>15</v>
      </c>
      <c r="H480" s="8">
        <v>26.7</v>
      </c>
      <c r="I480" s="8">
        <v>6</v>
      </c>
      <c r="J480" s="8">
        <v>8</v>
      </c>
      <c r="K480" s="8">
        <v>75</v>
      </c>
      <c r="L480" s="9">
        <v>7</v>
      </c>
      <c r="M480" s="9">
        <v>10</v>
      </c>
      <c r="N480" s="9">
        <v>17</v>
      </c>
      <c r="O480" s="9">
        <v>6</v>
      </c>
      <c r="P480" s="9">
        <v>4</v>
      </c>
      <c r="Q480" s="9">
        <v>1</v>
      </c>
      <c r="R480" s="9">
        <v>4</v>
      </c>
      <c r="S480" s="9">
        <v>6</v>
      </c>
      <c r="T480" s="8">
        <v>88</v>
      </c>
      <c r="U480" s="8">
        <v>0</v>
      </c>
      <c r="V480" s="8">
        <v>0</v>
      </c>
      <c r="W480" s="7">
        <v>-0.2</v>
      </c>
      <c r="X480" s="7">
        <v>112.7</v>
      </c>
      <c r="Y480" s="7">
        <v>115.6</v>
      </c>
      <c r="Z480" s="7">
        <v>-2.9</v>
      </c>
      <c r="AA480" s="7">
        <v>8.6</v>
      </c>
      <c r="AB480" s="7">
        <v>1.25</v>
      </c>
      <c r="AC480" s="7">
        <v>10.199999999999999</v>
      </c>
      <c r="AD480" s="7">
        <v>6.9</v>
      </c>
      <c r="AE480" s="7">
        <v>14.9</v>
      </c>
      <c r="AF480" s="7">
        <v>10.1</v>
      </c>
      <c r="AG480" s="7">
        <v>8.1999999999999993</v>
      </c>
      <c r="AH480" s="7">
        <v>55.6</v>
      </c>
      <c r="AI480" s="7">
        <v>58.2</v>
      </c>
      <c r="AJ480" s="7">
        <v>20.2</v>
      </c>
      <c r="AK480" s="7">
        <v>103.28</v>
      </c>
      <c r="AL480" s="7">
        <v>10.4</v>
      </c>
      <c r="AM480" s="7">
        <v>181</v>
      </c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1"/>
    </row>
    <row r="481" spans="1:64" ht="13">
      <c r="A481" s="6" t="s">
        <v>1001</v>
      </c>
      <c r="B481" s="6" t="s">
        <v>1002</v>
      </c>
      <c r="C481" s="31">
        <v>46</v>
      </c>
      <c r="D481" s="24">
        <v>15</v>
      </c>
      <c r="E481" s="24">
        <v>37</v>
      </c>
      <c r="F481" s="8">
        <v>43.2</v>
      </c>
      <c r="G481" s="9">
        <v>11</v>
      </c>
      <c r="H481" s="8">
        <v>10</v>
      </c>
      <c r="I481" s="8">
        <v>13</v>
      </c>
      <c r="J481" s="8">
        <v>20</v>
      </c>
      <c r="K481" s="8">
        <v>68.400000000000006</v>
      </c>
      <c r="L481" s="9">
        <v>11</v>
      </c>
      <c r="M481" s="9">
        <v>20</v>
      </c>
      <c r="N481" s="9">
        <v>31</v>
      </c>
      <c r="O481" s="9">
        <v>9</v>
      </c>
      <c r="P481" s="9">
        <v>7</v>
      </c>
      <c r="Q481" s="9">
        <v>2</v>
      </c>
      <c r="R481" s="9">
        <v>2</v>
      </c>
      <c r="S481" s="9">
        <v>22</v>
      </c>
      <c r="T481" s="8">
        <v>108</v>
      </c>
      <c r="U481" s="8">
        <v>0</v>
      </c>
      <c r="V481" s="8">
        <v>0</v>
      </c>
      <c r="W481" s="7">
        <v>-0.9</v>
      </c>
      <c r="X481" s="7">
        <v>104.4</v>
      </c>
      <c r="Y481" s="7">
        <v>110.7</v>
      </c>
      <c r="Z481" s="7">
        <v>-6.3</v>
      </c>
      <c r="AA481" s="7">
        <v>6.2</v>
      </c>
      <c r="AB481" s="7">
        <v>1.5</v>
      </c>
      <c r="AC481" s="7">
        <v>15</v>
      </c>
      <c r="AD481" s="7">
        <v>5.4</v>
      </c>
      <c r="AE481" s="7">
        <v>10.6</v>
      </c>
      <c r="AF481" s="7">
        <v>7.8</v>
      </c>
      <c r="AG481" s="7">
        <v>10</v>
      </c>
      <c r="AH481" s="7">
        <v>44.6</v>
      </c>
      <c r="AI481" s="7">
        <v>50.7</v>
      </c>
      <c r="AJ481" s="7">
        <v>10.9</v>
      </c>
      <c r="AK481" s="7">
        <v>107.55</v>
      </c>
      <c r="AL481" s="7">
        <v>4</v>
      </c>
      <c r="AM481" s="7">
        <v>409</v>
      </c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1"/>
    </row>
    <row r="482" spans="1:64" ht="13">
      <c r="A482" s="6" t="s">
        <v>1003</v>
      </c>
      <c r="B482" s="6" t="s">
        <v>1004</v>
      </c>
      <c r="C482" s="31">
        <v>43</v>
      </c>
      <c r="D482" s="24">
        <v>16</v>
      </c>
      <c r="E482" s="24">
        <v>25</v>
      </c>
      <c r="F482" s="8">
        <v>64</v>
      </c>
      <c r="G482" s="9">
        <v>17</v>
      </c>
      <c r="H482" s="8">
        <v>52.9</v>
      </c>
      <c r="I482" s="8">
        <v>2</v>
      </c>
      <c r="J482" s="8">
        <v>2</v>
      </c>
      <c r="K482" s="8">
        <v>100</v>
      </c>
      <c r="L482" s="9">
        <v>4</v>
      </c>
      <c r="M482" s="9">
        <v>7</v>
      </c>
      <c r="N482" s="9">
        <v>11</v>
      </c>
      <c r="O482" s="9">
        <v>2</v>
      </c>
      <c r="P482" s="9">
        <v>4</v>
      </c>
      <c r="Q482" s="8">
        <v>0</v>
      </c>
      <c r="R482" s="8">
        <v>0</v>
      </c>
      <c r="S482" s="9">
        <v>10</v>
      </c>
      <c r="T482" s="8">
        <v>55</v>
      </c>
      <c r="U482" s="8">
        <v>0</v>
      </c>
      <c r="V482" s="8">
        <v>0</v>
      </c>
      <c r="W482" s="7">
        <v>4.8</v>
      </c>
      <c r="X482" s="7">
        <v>104</v>
      </c>
      <c r="Y482" s="7">
        <v>84.2</v>
      </c>
      <c r="Z482" s="7">
        <v>19.8</v>
      </c>
      <c r="AA482" s="7">
        <v>4.7</v>
      </c>
      <c r="AB482" s="7">
        <v>0.5</v>
      </c>
      <c r="AC482" s="7">
        <v>6.3</v>
      </c>
      <c r="AD482" s="7">
        <v>5.7</v>
      </c>
      <c r="AE482" s="7">
        <v>9.3000000000000007</v>
      </c>
      <c r="AF482" s="7">
        <v>7.6</v>
      </c>
      <c r="AG482" s="7">
        <v>12.5</v>
      </c>
      <c r="AH482" s="7">
        <v>82</v>
      </c>
      <c r="AI482" s="7">
        <v>83.1</v>
      </c>
      <c r="AJ482" s="7">
        <v>18.100000000000001</v>
      </c>
      <c r="AK482" s="7">
        <v>101.64</v>
      </c>
      <c r="AL482" s="7">
        <v>12.2</v>
      </c>
      <c r="AM482" s="7">
        <v>151</v>
      </c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1"/>
    </row>
    <row r="483" spans="1:64" ht="13">
      <c r="A483" s="6" t="s">
        <v>1005</v>
      </c>
      <c r="B483" s="6" t="s">
        <v>1006</v>
      </c>
      <c r="C483" s="31">
        <v>43</v>
      </c>
      <c r="D483" s="24">
        <v>18</v>
      </c>
      <c r="E483" s="24">
        <v>26</v>
      </c>
      <c r="F483" s="8">
        <v>69.2</v>
      </c>
      <c r="G483" s="9">
        <v>6</v>
      </c>
      <c r="H483" s="8">
        <v>42.9</v>
      </c>
      <c r="I483" s="8">
        <v>5</v>
      </c>
      <c r="J483" s="8">
        <v>10</v>
      </c>
      <c r="K483" s="8">
        <v>44.4</v>
      </c>
      <c r="L483" s="9">
        <v>6</v>
      </c>
      <c r="M483" s="9">
        <v>22</v>
      </c>
      <c r="N483" s="9">
        <v>29</v>
      </c>
      <c r="O483" s="9">
        <v>5</v>
      </c>
      <c r="P483" s="9">
        <v>5</v>
      </c>
      <c r="Q483" s="9">
        <v>5</v>
      </c>
      <c r="R483" s="9">
        <v>5</v>
      </c>
      <c r="S483" s="9">
        <v>11</v>
      </c>
      <c r="T483" s="8">
        <v>106</v>
      </c>
      <c r="U483" s="8">
        <v>0</v>
      </c>
      <c r="V483" s="8">
        <v>0</v>
      </c>
      <c r="W483" s="7">
        <v>0.3</v>
      </c>
      <c r="X483" s="7">
        <v>105.5</v>
      </c>
      <c r="Y483" s="7">
        <v>104.1</v>
      </c>
      <c r="Z483" s="7">
        <v>1.3</v>
      </c>
      <c r="AA483" s="7">
        <v>5.8</v>
      </c>
      <c r="AB483" s="7">
        <v>1</v>
      </c>
      <c r="AC483" s="7">
        <v>10.5</v>
      </c>
      <c r="AD483" s="7">
        <v>6.7</v>
      </c>
      <c r="AE483" s="7">
        <v>18.8</v>
      </c>
      <c r="AF483" s="7">
        <v>13.6</v>
      </c>
      <c r="AG483" s="7">
        <v>10.5</v>
      </c>
      <c r="AH483" s="7">
        <v>75</v>
      </c>
      <c r="AI483" s="7">
        <v>71.8</v>
      </c>
      <c r="AJ483" s="7">
        <v>14.5</v>
      </c>
      <c r="AK483" s="7">
        <v>106.64</v>
      </c>
      <c r="AL483" s="7">
        <v>11.4</v>
      </c>
      <c r="AM483" s="7">
        <v>219</v>
      </c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1"/>
    </row>
    <row r="484" spans="1:64" ht="13">
      <c r="A484" s="6" t="s">
        <v>1007</v>
      </c>
      <c r="B484" s="6" t="s">
        <v>1008</v>
      </c>
      <c r="C484" s="31">
        <v>42</v>
      </c>
      <c r="D484" s="24">
        <v>12</v>
      </c>
      <c r="E484" s="24">
        <v>28</v>
      </c>
      <c r="F484" s="8">
        <v>42.9</v>
      </c>
      <c r="G484" s="9">
        <v>15</v>
      </c>
      <c r="H484" s="8">
        <v>40</v>
      </c>
      <c r="I484" s="8">
        <v>12</v>
      </c>
      <c r="J484" s="8">
        <v>15</v>
      </c>
      <c r="K484" s="8">
        <v>80</v>
      </c>
      <c r="L484" s="9">
        <v>3</v>
      </c>
      <c r="M484" s="9">
        <v>3</v>
      </c>
      <c r="N484" s="9">
        <v>6</v>
      </c>
      <c r="O484" s="9">
        <v>12</v>
      </c>
      <c r="P484" s="9">
        <v>8</v>
      </c>
      <c r="Q484" s="9">
        <v>3</v>
      </c>
      <c r="R484" s="9">
        <v>1</v>
      </c>
      <c r="S484" s="9">
        <v>10</v>
      </c>
      <c r="T484" s="8">
        <v>71</v>
      </c>
      <c r="U484" s="8">
        <v>0</v>
      </c>
      <c r="V484" s="8">
        <v>0</v>
      </c>
      <c r="W484" s="7">
        <v>-7.8</v>
      </c>
      <c r="X484" s="7">
        <v>100.4</v>
      </c>
      <c r="Y484" s="7">
        <v>120.4</v>
      </c>
      <c r="Z484" s="7">
        <v>-20</v>
      </c>
      <c r="AA484" s="7">
        <v>17.600000000000001</v>
      </c>
      <c r="AB484" s="7">
        <v>1.5</v>
      </c>
      <c r="AC484" s="7">
        <v>21.8</v>
      </c>
      <c r="AD484" s="7">
        <v>2.5</v>
      </c>
      <c r="AE484" s="7">
        <v>2.5</v>
      </c>
      <c r="AF484" s="7">
        <v>2.5</v>
      </c>
      <c r="AG484" s="7">
        <v>14.5</v>
      </c>
      <c r="AH484" s="7">
        <v>53.6</v>
      </c>
      <c r="AI484" s="7">
        <v>60.7</v>
      </c>
      <c r="AJ484" s="7">
        <v>15.9</v>
      </c>
      <c r="AK484" s="7">
        <v>100.89</v>
      </c>
      <c r="AL484" s="7">
        <v>5.7</v>
      </c>
      <c r="AM484" s="7">
        <v>235</v>
      </c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1"/>
    </row>
    <row r="485" spans="1:64" ht="13">
      <c r="A485" s="6" t="s">
        <v>1009</v>
      </c>
      <c r="B485" s="6" t="s">
        <v>1010</v>
      </c>
      <c r="C485" s="31">
        <v>38</v>
      </c>
      <c r="D485" s="24">
        <v>14</v>
      </c>
      <c r="E485" s="24">
        <v>33</v>
      </c>
      <c r="F485" s="8">
        <v>43.8</v>
      </c>
      <c r="G485" s="9">
        <v>23</v>
      </c>
      <c r="H485" s="8">
        <v>37.5</v>
      </c>
      <c r="I485" s="8">
        <v>1</v>
      </c>
      <c r="J485" s="8">
        <v>3</v>
      </c>
      <c r="K485" s="8">
        <v>50</v>
      </c>
      <c r="L485" s="9">
        <v>5</v>
      </c>
      <c r="M485" s="9">
        <v>16</v>
      </c>
      <c r="N485" s="9">
        <v>21</v>
      </c>
      <c r="O485" s="9">
        <v>10</v>
      </c>
      <c r="P485" s="9">
        <v>4</v>
      </c>
      <c r="Q485" s="9">
        <v>3</v>
      </c>
      <c r="R485" s="9">
        <v>3</v>
      </c>
      <c r="S485" s="9">
        <v>17</v>
      </c>
      <c r="T485" s="8">
        <v>86</v>
      </c>
      <c r="U485" s="8">
        <v>0</v>
      </c>
      <c r="V485" s="8">
        <v>0</v>
      </c>
      <c r="W485" s="7">
        <v>-1.1000000000000001</v>
      </c>
      <c r="X485" s="7">
        <v>107.8</v>
      </c>
      <c r="Y485" s="7">
        <v>114.8</v>
      </c>
      <c r="Z485" s="7">
        <v>-7</v>
      </c>
      <c r="AA485" s="7">
        <v>10.6</v>
      </c>
      <c r="AB485" s="7">
        <v>2.5</v>
      </c>
      <c r="AC485" s="7">
        <v>21.3</v>
      </c>
      <c r="AD485" s="7">
        <v>3.6</v>
      </c>
      <c r="AE485" s="7">
        <v>11.5</v>
      </c>
      <c r="AF485" s="7">
        <v>7.6</v>
      </c>
      <c r="AG485" s="7">
        <v>8.5</v>
      </c>
      <c r="AH485" s="7">
        <v>57.8</v>
      </c>
      <c r="AI485" s="7">
        <v>57.8</v>
      </c>
      <c r="AJ485" s="7">
        <v>11.6</v>
      </c>
      <c r="AK485" s="7">
        <v>97.1</v>
      </c>
      <c r="AL485" s="7">
        <v>5.4</v>
      </c>
      <c r="AM485" s="7">
        <v>282</v>
      </c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1"/>
    </row>
    <row r="486" spans="1:64" ht="13">
      <c r="A486" s="6" t="s">
        <v>1011</v>
      </c>
      <c r="B486" s="6" t="s">
        <v>1012</v>
      </c>
      <c r="C486" s="31">
        <v>37</v>
      </c>
      <c r="D486" s="24">
        <v>13</v>
      </c>
      <c r="E486" s="24">
        <v>38</v>
      </c>
      <c r="F486" s="8">
        <v>34.200000000000003</v>
      </c>
      <c r="G486" s="9">
        <v>30</v>
      </c>
      <c r="H486" s="8">
        <v>36.700000000000003</v>
      </c>
      <c r="I486" s="8">
        <v>0</v>
      </c>
      <c r="J486" s="8">
        <v>0</v>
      </c>
      <c r="K486" s="8">
        <v>0</v>
      </c>
      <c r="L486" s="8">
        <v>0</v>
      </c>
      <c r="M486" s="9">
        <v>7</v>
      </c>
      <c r="N486" s="9">
        <v>7</v>
      </c>
      <c r="O486" s="9">
        <v>8</v>
      </c>
      <c r="P486" s="9">
        <v>2</v>
      </c>
      <c r="Q486" s="9">
        <v>1</v>
      </c>
      <c r="R486" s="9">
        <v>1</v>
      </c>
      <c r="S486" s="9">
        <v>4</v>
      </c>
      <c r="T486" s="8">
        <v>61</v>
      </c>
      <c r="U486" s="8">
        <v>0</v>
      </c>
      <c r="V486" s="8">
        <v>0</v>
      </c>
      <c r="W486" s="7">
        <v>-3.4</v>
      </c>
      <c r="X486" s="16">
        <v>89</v>
      </c>
      <c r="Y486" s="16">
        <v>110.5</v>
      </c>
      <c r="Z486" s="16">
        <v>-21.5</v>
      </c>
      <c r="AA486" s="16">
        <v>20</v>
      </c>
      <c r="AB486" s="16">
        <v>4</v>
      </c>
      <c r="AC486" s="16">
        <v>16.7</v>
      </c>
      <c r="AD486" s="16">
        <v>0</v>
      </c>
      <c r="AE486" s="16">
        <v>7.5</v>
      </c>
      <c r="AF486" s="16">
        <v>3.6</v>
      </c>
      <c r="AG486" s="16">
        <v>4.2</v>
      </c>
      <c r="AH486" s="16">
        <v>48.7</v>
      </c>
      <c r="AI486" s="16">
        <v>48.7</v>
      </c>
      <c r="AJ486" s="16">
        <v>20.100000000000001</v>
      </c>
      <c r="AK486" s="16">
        <v>104.3</v>
      </c>
      <c r="AL486" s="16">
        <v>8</v>
      </c>
      <c r="AM486" s="16">
        <v>163</v>
      </c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1"/>
    </row>
    <row r="487" spans="1:64" ht="13">
      <c r="A487" s="6" t="s">
        <v>1013</v>
      </c>
      <c r="B487" s="6" t="s">
        <v>1014</v>
      </c>
      <c r="C487" s="31">
        <v>36</v>
      </c>
      <c r="D487" s="24">
        <v>12</v>
      </c>
      <c r="E487" s="24">
        <v>26</v>
      </c>
      <c r="F487" s="8">
        <v>46.2</v>
      </c>
      <c r="G487" s="9">
        <v>15</v>
      </c>
      <c r="H487" s="8">
        <v>40</v>
      </c>
      <c r="I487" s="8">
        <v>7</v>
      </c>
      <c r="J487" s="8">
        <v>9</v>
      </c>
      <c r="K487" s="8">
        <v>75</v>
      </c>
      <c r="L487" s="9">
        <v>5</v>
      </c>
      <c r="M487" s="9">
        <v>15</v>
      </c>
      <c r="N487" s="9">
        <v>20</v>
      </c>
      <c r="O487" s="9">
        <v>9</v>
      </c>
      <c r="P487" s="9">
        <v>2</v>
      </c>
      <c r="Q487" s="8">
        <v>0</v>
      </c>
      <c r="R487" s="8">
        <v>0</v>
      </c>
      <c r="S487" s="9">
        <v>7</v>
      </c>
      <c r="T487" s="8">
        <v>73</v>
      </c>
      <c r="U487" s="8">
        <v>0</v>
      </c>
      <c r="V487" s="8">
        <v>0</v>
      </c>
      <c r="W487" s="7">
        <v>0.7</v>
      </c>
      <c r="X487" s="7">
        <v>105.2</v>
      </c>
      <c r="Y487" s="7">
        <v>102.4</v>
      </c>
      <c r="Z487" s="7">
        <v>2.8</v>
      </c>
      <c r="AA487" s="7">
        <v>17.3</v>
      </c>
      <c r="AB487" s="7">
        <v>9</v>
      </c>
      <c r="AC487" s="7">
        <v>23.1</v>
      </c>
      <c r="AD487" s="7">
        <v>6</v>
      </c>
      <c r="AE487" s="7">
        <v>16.5</v>
      </c>
      <c r="AF487" s="7">
        <v>11.5</v>
      </c>
      <c r="AG487" s="7">
        <v>2.6</v>
      </c>
      <c r="AH487" s="7">
        <v>57.7</v>
      </c>
      <c r="AI487" s="7">
        <v>61</v>
      </c>
      <c r="AJ487" s="7">
        <v>15.1</v>
      </c>
      <c r="AK487" s="7">
        <v>108.61</v>
      </c>
      <c r="AL487" s="7">
        <v>12.7</v>
      </c>
      <c r="AM487" s="7">
        <v>172</v>
      </c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1"/>
    </row>
    <row r="488" spans="1:64" ht="13">
      <c r="A488" s="6" t="s">
        <v>1015</v>
      </c>
      <c r="B488" s="6" t="s">
        <v>1016</v>
      </c>
      <c r="C488" s="31">
        <v>36</v>
      </c>
      <c r="D488" s="24">
        <v>13</v>
      </c>
      <c r="E488" s="24">
        <v>32</v>
      </c>
      <c r="F488" s="8">
        <v>40.6</v>
      </c>
      <c r="G488" s="9">
        <v>10</v>
      </c>
      <c r="H488" s="8">
        <v>20</v>
      </c>
      <c r="I488" s="8">
        <v>8</v>
      </c>
      <c r="J488" s="8">
        <v>11</v>
      </c>
      <c r="K488" s="8">
        <v>72.7</v>
      </c>
      <c r="L488" s="9">
        <v>9</v>
      </c>
      <c r="M488" s="9">
        <v>12</v>
      </c>
      <c r="N488" s="9">
        <v>21</v>
      </c>
      <c r="O488" s="9">
        <v>2</v>
      </c>
      <c r="P488" s="9">
        <v>2</v>
      </c>
      <c r="Q488" s="8">
        <v>0</v>
      </c>
      <c r="R488" s="9">
        <v>1</v>
      </c>
      <c r="S488" s="9">
        <v>9</v>
      </c>
      <c r="T488" s="8">
        <v>65</v>
      </c>
      <c r="U488" s="8">
        <v>1</v>
      </c>
      <c r="V488" s="8">
        <v>0</v>
      </c>
      <c r="W488" s="7">
        <v>1.4</v>
      </c>
      <c r="X488" s="7">
        <v>96.4</v>
      </c>
      <c r="Y488" s="7">
        <v>92</v>
      </c>
      <c r="Z488" s="7">
        <v>4.4000000000000004</v>
      </c>
      <c r="AA488" s="7">
        <v>5.3</v>
      </c>
      <c r="AB488" s="7">
        <v>1</v>
      </c>
      <c r="AC488" s="7">
        <v>5</v>
      </c>
      <c r="AD488" s="7">
        <v>11.7</v>
      </c>
      <c r="AE488" s="7">
        <v>14.5</v>
      </c>
      <c r="AF488" s="7">
        <v>13.1</v>
      </c>
      <c r="AG488" s="7">
        <v>5</v>
      </c>
      <c r="AH488" s="7">
        <v>43.8</v>
      </c>
      <c r="AI488" s="7">
        <v>48.9</v>
      </c>
      <c r="AJ488" s="7">
        <v>23</v>
      </c>
      <c r="AK488" s="7">
        <v>104.1</v>
      </c>
      <c r="AL488" s="7">
        <v>9.6</v>
      </c>
      <c r="AM488" s="7">
        <v>138</v>
      </c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1"/>
    </row>
    <row r="489" spans="1:64" ht="13">
      <c r="A489" s="6" t="s">
        <v>1017</v>
      </c>
      <c r="B489" s="6" t="s">
        <v>1018</v>
      </c>
      <c r="C489" s="31">
        <v>36</v>
      </c>
      <c r="D489" s="24">
        <v>13</v>
      </c>
      <c r="E489" s="24">
        <v>29</v>
      </c>
      <c r="F489" s="8">
        <v>40</v>
      </c>
      <c r="G489" s="9">
        <v>21</v>
      </c>
      <c r="H489" s="8">
        <v>47.6</v>
      </c>
      <c r="I489" s="8">
        <v>2</v>
      </c>
      <c r="J489" s="8">
        <v>2</v>
      </c>
      <c r="K489" s="8">
        <v>100</v>
      </c>
      <c r="L489" s="9">
        <v>8</v>
      </c>
      <c r="M489" s="9">
        <v>17</v>
      </c>
      <c r="N489" s="9">
        <v>25</v>
      </c>
      <c r="O489" s="9">
        <v>4</v>
      </c>
      <c r="P489" s="9">
        <v>4</v>
      </c>
      <c r="Q489" s="9">
        <v>4</v>
      </c>
      <c r="R489" s="8">
        <v>0</v>
      </c>
      <c r="S489" s="9">
        <v>13</v>
      </c>
      <c r="T489" s="8">
        <v>86</v>
      </c>
      <c r="U489" s="8">
        <v>0</v>
      </c>
      <c r="V489" s="8">
        <v>0</v>
      </c>
      <c r="W489" s="7">
        <v>-1</v>
      </c>
      <c r="X489" s="7">
        <v>99.6</v>
      </c>
      <c r="Y489" s="7">
        <v>106.3</v>
      </c>
      <c r="Z489" s="7">
        <v>-6.7</v>
      </c>
      <c r="AA489" s="7">
        <v>5.8</v>
      </c>
      <c r="AB489" s="7">
        <v>1.25</v>
      </c>
      <c r="AC489" s="7">
        <v>12.5</v>
      </c>
      <c r="AD489" s="7">
        <v>6</v>
      </c>
      <c r="AE489" s="7">
        <v>11.9</v>
      </c>
      <c r="AF489" s="7">
        <v>8.8000000000000007</v>
      </c>
      <c r="AG489" s="7">
        <v>10</v>
      </c>
      <c r="AH489" s="7">
        <v>56.7</v>
      </c>
      <c r="AI489" s="7">
        <v>58.3</v>
      </c>
      <c r="AJ489" s="7">
        <v>11.5</v>
      </c>
      <c r="AK489" s="7">
        <v>102.63</v>
      </c>
      <c r="AL489" s="7">
        <v>6.5</v>
      </c>
      <c r="AM489" s="7">
        <v>266</v>
      </c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1"/>
    </row>
    <row r="490" spans="1:64" ht="13">
      <c r="A490" s="6" t="s">
        <v>1019</v>
      </c>
      <c r="B490" s="6" t="s">
        <v>1020</v>
      </c>
      <c r="C490" s="31">
        <v>35</v>
      </c>
      <c r="D490" s="24">
        <v>14</v>
      </c>
      <c r="E490" s="24">
        <v>23</v>
      </c>
      <c r="F490" s="8">
        <v>60.9</v>
      </c>
      <c r="G490" s="8">
        <v>0</v>
      </c>
      <c r="H490" s="8">
        <v>0</v>
      </c>
      <c r="I490" s="8">
        <v>7</v>
      </c>
      <c r="J490" s="8">
        <v>14</v>
      </c>
      <c r="K490" s="8">
        <v>50</v>
      </c>
      <c r="L490" s="9">
        <v>11</v>
      </c>
      <c r="M490" s="9">
        <v>17</v>
      </c>
      <c r="N490" s="9">
        <v>28</v>
      </c>
      <c r="O490" s="9">
        <v>5</v>
      </c>
      <c r="P490" s="9">
        <v>5</v>
      </c>
      <c r="Q490" s="9">
        <v>3</v>
      </c>
      <c r="R490" s="9">
        <v>8</v>
      </c>
      <c r="S490" s="9">
        <v>14</v>
      </c>
      <c r="T490" s="8">
        <v>104</v>
      </c>
      <c r="U490" s="8">
        <v>0</v>
      </c>
      <c r="V490" s="8">
        <v>0</v>
      </c>
      <c r="W490" s="7">
        <v>2</v>
      </c>
      <c r="X490" s="7">
        <v>112.5</v>
      </c>
      <c r="Y490" s="7">
        <v>107.1</v>
      </c>
      <c r="Z490" s="7">
        <v>5.4</v>
      </c>
      <c r="AA490" s="7">
        <v>7.9</v>
      </c>
      <c r="AB490" s="7">
        <v>1</v>
      </c>
      <c r="AC490" s="7">
        <v>12.5</v>
      </c>
      <c r="AD490" s="7">
        <v>12.6</v>
      </c>
      <c r="AE490" s="7">
        <v>16.8</v>
      </c>
      <c r="AF490" s="7">
        <v>14.9</v>
      </c>
      <c r="AG490" s="7">
        <v>12.5</v>
      </c>
      <c r="AH490" s="7">
        <v>60.9</v>
      </c>
      <c r="AI490" s="7">
        <v>60</v>
      </c>
      <c r="AJ490" s="7">
        <v>16.399999999999999</v>
      </c>
      <c r="AK490" s="7">
        <v>105.29</v>
      </c>
      <c r="AL490" s="7">
        <v>9.5</v>
      </c>
      <c r="AM490" s="7">
        <v>184</v>
      </c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1"/>
    </row>
    <row r="491" spans="1:64" ht="13">
      <c r="A491" s="6" t="s">
        <v>1021</v>
      </c>
      <c r="B491" s="6" t="s">
        <v>1022</v>
      </c>
      <c r="C491" s="31">
        <v>35</v>
      </c>
      <c r="D491" s="24">
        <v>11</v>
      </c>
      <c r="E491" s="24">
        <v>31</v>
      </c>
      <c r="F491" s="8">
        <v>36.700000000000003</v>
      </c>
      <c r="G491" s="9">
        <v>22</v>
      </c>
      <c r="H491" s="8">
        <v>30.4</v>
      </c>
      <c r="I491" s="8">
        <v>7</v>
      </c>
      <c r="J491" s="8">
        <v>9</v>
      </c>
      <c r="K491" s="8">
        <v>77.8</v>
      </c>
      <c r="L491" s="8">
        <v>0</v>
      </c>
      <c r="M491" s="9">
        <v>11</v>
      </c>
      <c r="N491" s="9">
        <v>11</v>
      </c>
      <c r="O491" s="9">
        <v>20</v>
      </c>
      <c r="P491" s="9">
        <v>4</v>
      </c>
      <c r="Q491" s="9">
        <v>2</v>
      </c>
      <c r="R491" s="8">
        <v>0</v>
      </c>
      <c r="S491" s="9">
        <v>9</v>
      </c>
      <c r="T491" s="8">
        <v>79</v>
      </c>
      <c r="U491" s="8">
        <v>0</v>
      </c>
      <c r="V491" s="8">
        <v>0</v>
      </c>
      <c r="W491" s="7">
        <v>1.2</v>
      </c>
      <c r="X491" s="7">
        <v>114.6</v>
      </c>
      <c r="Y491" s="7">
        <v>102.5</v>
      </c>
      <c r="Z491" s="7">
        <v>12.1</v>
      </c>
      <c r="AA491" s="7">
        <v>25.7</v>
      </c>
      <c r="AB491" s="7">
        <v>3.8</v>
      </c>
      <c r="AC491" s="7">
        <v>32.799999999999997</v>
      </c>
      <c r="AD491" s="7">
        <v>0</v>
      </c>
      <c r="AE491" s="7">
        <v>11.4</v>
      </c>
      <c r="AF491" s="7">
        <v>6.3</v>
      </c>
      <c r="AG491" s="7">
        <v>8.6</v>
      </c>
      <c r="AH491" s="7">
        <v>48.3</v>
      </c>
      <c r="AI491" s="7">
        <v>53</v>
      </c>
      <c r="AJ491" s="7">
        <v>16.7</v>
      </c>
      <c r="AK491" s="7">
        <v>106.19</v>
      </c>
      <c r="AL491" s="7">
        <v>8.6</v>
      </c>
      <c r="AM491" s="7">
        <v>206</v>
      </c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1"/>
    </row>
    <row r="492" spans="1:64" ht="13">
      <c r="A492" s="13" t="s">
        <v>1023</v>
      </c>
      <c r="B492" s="6" t="s">
        <v>1024</v>
      </c>
      <c r="C492" s="31">
        <v>35</v>
      </c>
      <c r="D492" s="24">
        <v>14</v>
      </c>
      <c r="E492" s="24">
        <v>45</v>
      </c>
      <c r="F492" s="8">
        <v>31.1</v>
      </c>
      <c r="G492" s="9">
        <v>21</v>
      </c>
      <c r="H492" s="8">
        <v>19</v>
      </c>
      <c r="I492" s="8">
        <v>3</v>
      </c>
      <c r="J492" s="8">
        <v>6</v>
      </c>
      <c r="K492" s="8">
        <v>50</v>
      </c>
      <c r="L492" s="9">
        <v>5</v>
      </c>
      <c r="M492" s="9">
        <v>10</v>
      </c>
      <c r="N492" s="9">
        <v>13</v>
      </c>
      <c r="O492" s="9">
        <v>16</v>
      </c>
      <c r="P492" s="9">
        <v>3</v>
      </c>
      <c r="Q492" s="9">
        <v>3</v>
      </c>
      <c r="R492" s="8">
        <v>0</v>
      </c>
      <c r="S492" s="9">
        <v>5</v>
      </c>
      <c r="T492" s="8">
        <v>80</v>
      </c>
      <c r="U492" s="8">
        <v>0</v>
      </c>
      <c r="V492" s="8">
        <v>0</v>
      </c>
      <c r="W492" s="7">
        <v>0.1</v>
      </c>
      <c r="X492" s="7">
        <v>109.2</v>
      </c>
      <c r="Y492" s="7">
        <v>105.7</v>
      </c>
      <c r="Z492" s="7">
        <v>3.5</v>
      </c>
      <c r="AA492" s="7">
        <v>18.8</v>
      </c>
      <c r="AB492" s="7">
        <v>5.33</v>
      </c>
      <c r="AC492" s="7">
        <v>23.9</v>
      </c>
      <c r="AD492" s="7">
        <v>3.1</v>
      </c>
      <c r="AE492" s="7">
        <v>7</v>
      </c>
      <c r="AF492" s="7">
        <v>5</v>
      </c>
      <c r="AG492" s="7">
        <v>4.5</v>
      </c>
      <c r="AH492" s="7">
        <v>35.6</v>
      </c>
      <c r="AI492" s="7">
        <v>36.700000000000003</v>
      </c>
      <c r="AJ492" s="7">
        <v>18.7</v>
      </c>
      <c r="AK492" s="7">
        <v>98.56</v>
      </c>
      <c r="AL492" s="7">
        <v>4.9000000000000004</v>
      </c>
      <c r="AM492" s="7">
        <v>240</v>
      </c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1"/>
    </row>
    <row r="493" spans="1:64" ht="13">
      <c r="A493" s="6" t="s">
        <v>1025</v>
      </c>
      <c r="B493" s="6" t="s">
        <v>1026</v>
      </c>
      <c r="C493" s="31">
        <v>34</v>
      </c>
      <c r="D493" s="24">
        <v>13</v>
      </c>
      <c r="E493" s="24">
        <v>34</v>
      </c>
      <c r="F493" s="8">
        <v>35.299999999999997</v>
      </c>
      <c r="G493" s="9">
        <v>18</v>
      </c>
      <c r="H493" s="8">
        <v>22.2</v>
      </c>
      <c r="I493" s="8">
        <v>5</v>
      </c>
      <c r="J493" s="8">
        <v>6</v>
      </c>
      <c r="K493" s="8">
        <v>71.400000000000006</v>
      </c>
      <c r="L493" s="9">
        <v>2</v>
      </c>
      <c r="M493" s="9">
        <v>11</v>
      </c>
      <c r="N493" s="9">
        <v>13</v>
      </c>
      <c r="O493" s="9">
        <v>13</v>
      </c>
      <c r="P493" s="9">
        <v>13</v>
      </c>
      <c r="Q493" s="9">
        <v>5</v>
      </c>
      <c r="R493" s="9">
        <v>2</v>
      </c>
      <c r="S493" s="9">
        <v>2</v>
      </c>
      <c r="T493" s="8">
        <v>74</v>
      </c>
      <c r="U493" s="8">
        <v>0</v>
      </c>
      <c r="V493" s="8">
        <v>0</v>
      </c>
      <c r="W493" s="7">
        <v>-1.8</v>
      </c>
      <c r="X493" s="7">
        <v>91.7</v>
      </c>
      <c r="Y493" s="7">
        <v>105.4</v>
      </c>
      <c r="Z493" s="7">
        <v>-13.7</v>
      </c>
      <c r="AA493" s="7">
        <v>27.7</v>
      </c>
      <c r="AB493" s="7">
        <v>1</v>
      </c>
      <c r="AC493" s="7">
        <v>20.6</v>
      </c>
      <c r="AD493" s="7">
        <v>2</v>
      </c>
      <c r="AE493" s="7">
        <v>11.8</v>
      </c>
      <c r="AF493" s="7">
        <v>6.7</v>
      </c>
      <c r="AG493" s="7">
        <v>20.6</v>
      </c>
      <c r="AH493" s="7">
        <v>41.2</v>
      </c>
      <c r="AI493" s="7">
        <v>44.5</v>
      </c>
      <c r="AJ493" s="7">
        <v>22.8</v>
      </c>
      <c r="AK493" s="7">
        <v>94.28</v>
      </c>
      <c r="AL493" s="7">
        <v>7.9</v>
      </c>
      <c r="AM493" s="7">
        <v>181</v>
      </c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1"/>
    </row>
    <row r="494" spans="1:64" ht="13">
      <c r="A494" s="6" t="s">
        <v>1027</v>
      </c>
      <c r="B494" s="6" t="s">
        <v>1028</v>
      </c>
      <c r="C494" s="31">
        <v>34</v>
      </c>
      <c r="D494" s="24">
        <v>14</v>
      </c>
      <c r="E494" s="24">
        <v>22</v>
      </c>
      <c r="F494" s="8">
        <v>63.6</v>
      </c>
      <c r="G494" s="8">
        <v>0</v>
      </c>
      <c r="H494" s="8">
        <v>0</v>
      </c>
      <c r="I494" s="8">
        <v>6</v>
      </c>
      <c r="J494" s="8">
        <v>10</v>
      </c>
      <c r="K494" s="8">
        <v>60</v>
      </c>
      <c r="L494" s="9">
        <v>12</v>
      </c>
      <c r="M494" s="9">
        <v>28</v>
      </c>
      <c r="N494" s="9">
        <v>39</v>
      </c>
      <c r="O494" s="9">
        <v>6</v>
      </c>
      <c r="P494" s="9">
        <v>4</v>
      </c>
      <c r="Q494" s="9">
        <v>1</v>
      </c>
      <c r="R494" s="9">
        <v>3</v>
      </c>
      <c r="S494" s="9">
        <v>15</v>
      </c>
      <c r="T494" s="8">
        <v>97</v>
      </c>
      <c r="U494" s="8">
        <v>1</v>
      </c>
      <c r="V494" s="8">
        <v>0</v>
      </c>
      <c r="W494" s="7">
        <v>-6.8</v>
      </c>
      <c r="X494" s="7">
        <v>101.4</v>
      </c>
      <c r="Y494" s="7">
        <v>130.5</v>
      </c>
      <c r="Z494" s="7">
        <v>-29.1</v>
      </c>
      <c r="AA494" s="7">
        <v>5.6</v>
      </c>
      <c r="AB494" s="7">
        <v>1.25</v>
      </c>
      <c r="AC494" s="7">
        <v>13.9</v>
      </c>
      <c r="AD494" s="7">
        <v>7.9</v>
      </c>
      <c r="AE494" s="7">
        <v>19.399999999999999</v>
      </c>
      <c r="AF494" s="7">
        <v>13.4</v>
      </c>
      <c r="AG494" s="7">
        <v>11.1</v>
      </c>
      <c r="AH494" s="7">
        <v>63.6</v>
      </c>
      <c r="AI494" s="7">
        <v>64.400000000000006</v>
      </c>
      <c r="AJ494" s="7">
        <v>9.6999999999999993</v>
      </c>
      <c r="AK494" s="7">
        <v>104.42</v>
      </c>
      <c r="AL494" s="7">
        <v>7.2</v>
      </c>
      <c r="AM494" s="7">
        <v>276</v>
      </c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1"/>
    </row>
    <row r="495" spans="1:64" ht="13">
      <c r="A495" s="6" t="s">
        <v>1029</v>
      </c>
      <c r="B495" s="6" t="s">
        <v>1030</v>
      </c>
      <c r="C495" s="31">
        <v>33</v>
      </c>
      <c r="D495" s="24">
        <v>13</v>
      </c>
      <c r="E495" s="24">
        <v>53</v>
      </c>
      <c r="F495" s="8">
        <v>24.5</v>
      </c>
      <c r="G495" s="9">
        <v>33</v>
      </c>
      <c r="H495" s="8">
        <v>15.6</v>
      </c>
      <c r="I495" s="8">
        <v>3</v>
      </c>
      <c r="J495" s="8">
        <v>3</v>
      </c>
      <c r="K495" s="8">
        <v>75</v>
      </c>
      <c r="L495" s="9">
        <v>10</v>
      </c>
      <c r="M495" s="9">
        <v>33</v>
      </c>
      <c r="N495" s="9">
        <v>43</v>
      </c>
      <c r="O495" s="9">
        <v>7</v>
      </c>
      <c r="P495" s="9">
        <v>13</v>
      </c>
      <c r="Q495" s="9">
        <v>10</v>
      </c>
      <c r="R495" s="9">
        <v>7</v>
      </c>
      <c r="S495" s="9">
        <v>17</v>
      </c>
      <c r="T495" s="8">
        <v>129</v>
      </c>
      <c r="U495" s="8">
        <v>0</v>
      </c>
      <c r="V495" s="8">
        <v>0</v>
      </c>
      <c r="W495" s="7">
        <v>-0.4</v>
      </c>
      <c r="X495" s="7">
        <v>106.6</v>
      </c>
      <c r="Y495" s="7">
        <v>108.9</v>
      </c>
      <c r="Z495" s="7">
        <v>-2.2999999999999998</v>
      </c>
      <c r="AA495" s="7">
        <v>4.3</v>
      </c>
      <c r="AB495" s="7">
        <v>0.5</v>
      </c>
      <c r="AC495" s="7">
        <v>9.3000000000000007</v>
      </c>
      <c r="AD495" s="7">
        <v>4.0999999999999996</v>
      </c>
      <c r="AE495" s="7">
        <v>14.6</v>
      </c>
      <c r="AF495" s="7">
        <v>9.1</v>
      </c>
      <c r="AG495" s="7">
        <v>18.7</v>
      </c>
      <c r="AH495" s="7">
        <v>29.2</v>
      </c>
      <c r="AI495" s="7">
        <v>31</v>
      </c>
      <c r="AJ495" s="7">
        <v>12.5</v>
      </c>
      <c r="AK495" s="7">
        <v>97.6</v>
      </c>
      <c r="AL495" s="7">
        <v>2.2000000000000002</v>
      </c>
      <c r="AM495" s="7">
        <v>469</v>
      </c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1"/>
    </row>
    <row r="496" spans="1:64" ht="13">
      <c r="A496" s="6" t="s">
        <v>1031</v>
      </c>
      <c r="B496" s="6" t="s">
        <v>1032</v>
      </c>
      <c r="C496" s="31">
        <v>33</v>
      </c>
      <c r="D496" s="24">
        <v>13</v>
      </c>
      <c r="E496" s="24">
        <v>31</v>
      </c>
      <c r="F496" s="8">
        <v>43.3</v>
      </c>
      <c r="G496" s="9">
        <v>13</v>
      </c>
      <c r="H496" s="8">
        <v>23.1</v>
      </c>
      <c r="I496" s="8">
        <v>2</v>
      </c>
      <c r="J496" s="8">
        <v>9</v>
      </c>
      <c r="K496" s="8">
        <v>33.299999999999997</v>
      </c>
      <c r="L496" s="9">
        <v>9</v>
      </c>
      <c r="M496" s="9">
        <v>13</v>
      </c>
      <c r="N496" s="9">
        <v>22</v>
      </c>
      <c r="O496" s="9">
        <v>15</v>
      </c>
      <c r="P496" s="9">
        <v>11</v>
      </c>
      <c r="Q496" s="9">
        <v>2</v>
      </c>
      <c r="R496" s="8">
        <v>0</v>
      </c>
      <c r="S496" s="9">
        <v>11</v>
      </c>
      <c r="T496" s="8">
        <v>77</v>
      </c>
      <c r="U496" s="8">
        <v>0</v>
      </c>
      <c r="V496" s="8">
        <v>0</v>
      </c>
      <c r="W496" s="7">
        <v>0.4</v>
      </c>
      <c r="X496" s="7">
        <v>91.2</v>
      </c>
      <c r="Y496" s="7">
        <v>89</v>
      </c>
      <c r="Z496" s="7">
        <v>2.1</v>
      </c>
      <c r="AA496" s="7">
        <v>19.7</v>
      </c>
      <c r="AB496" s="7">
        <v>1.36</v>
      </c>
      <c r="AC496" s="7">
        <v>25.4</v>
      </c>
      <c r="AD496" s="7">
        <v>6.8</v>
      </c>
      <c r="AE496" s="7">
        <v>10</v>
      </c>
      <c r="AF496" s="7">
        <v>8.5</v>
      </c>
      <c r="AG496" s="7">
        <v>18.600000000000001</v>
      </c>
      <c r="AH496" s="7">
        <v>48.3</v>
      </c>
      <c r="AI496" s="7">
        <v>47.1</v>
      </c>
      <c r="AJ496" s="7">
        <v>15.6</v>
      </c>
      <c r="AK496" s="7">
        <v>103.79</v>
      </c>
      <c r="AL496" s="7">
        <v>5.7</v>
      </c>
      <c r="AM496" s="7">
        <v>249</v>
      </c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1"/>
    </row>
    <row r="497" spans="1:64" ht="13">
      <c r="A497" s="6" t="s">
        <v>1033</v>
      </c>
      <c r="B497" s="6" t="s">
        <v>1034</v>
      </c>
      <c r="C497" s="31">
        <v>32</v>
      </c>
      <c r="D497" s="24">
        <v>13</v>
      </c>
      <c r="E497" s="24">
        <v>25</v>
      </c>
      <c r="F497" s="8">
        <v>58.3</v>
      </c>
      <c r="G497" s="9">
        <v>8</v>
      </c>
      <c r="H497" s="8">
        <v>25</v>
      </c>
      <c r="I497" s="8">
        <v>4</v>
      </c>
      <c r="J497" s="8">
        <v>4</v>
      </c>
      <c r="K497" s="8">
        <v>75</v>
      </c>
      <c r="L497" s="9">
        <v>6</v>
      </c>
      <c r="M497" s="9">
        <v>15</v>
      </c>
      <c r="N497" s="9">
        <v>23</v>
      </c>
      <c r="O497" s="9">
        <v>4</v>
      </c>
      <c r="P497" s="9">
        <v>2</v>
      </c>
      <c r="Q497" s="8">
        <v>0</v>
      </c>
      <c r="R497" s="9">
        <v>4</v>
      </c>
      <c r="S497" s="9">
        <v>11</v>
      </c>
      <c r="T497" s="8">
        <v>76</v>
      </c>
      <c r="U497" s="8">
        <v>0</v>
      </c>
      <c r="V497" s="8">
        <v>0</v>
      </c>
      <c r="W497" s="7">
        <v>-0.1</v>
      </c>
      <c r="X497" s="7">
        <v>91.9</v>
      </c>
      <c r="Y497" s="7">
        <v>91.3</v>
      </c>
      <c r="Z497" s="7">
        <v>0.5</v>
      </c>
      <c r="AA497" s="7">
        <v>11.8</v>
      </c>
      <c r="AB497" s="7">
        <v>2</v>
      </c>
      <c r="AC497" s="7">
        <v>12.5</v>
      </c>
      <c r="AD497" s="7">
        <v>7.9</v>
      </c>
      <c r="AE497" s="7">
        <v>21.9</v>
      </c>
      <c r="AF497" s="7">
        <v>14.8</v>
      </c>
      <c r="AG497" s="7">
        <v>6.3</v>
      </c>
      <c r="AH497" s="7">
        <v>62.5</v>
      </c>
      <c r="AI497" s="7">
        <v>64.099999999999994</v>
      </c>
      <c r="AJ497" s="7">
        <v>17.600000000000001</v>
      </c>
      <c r="AK497" s="7">
        <v>99</v>
      </c>
      <c r="AL497" s="7">
        <v>16.8</v>
      </c>
      <c r="AM497" s="7">
        <v>135</v>
      </c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1"/>
    </row>
    <row r="498" spans="1:64" ht="13">
      <c r="A498" s="6" t="s">
        <v>1035</v>
      </c>
      <c r="B498" s="6" t="s">
        <v>1036</v>
      </c>
      <c r="C498" s="31">
        <v>32</v>
      </c>
      <c r="D498" s="24">
        <v>11</v>
      </c>
      <c r="E498" s="24">
        <v>38</v>
      </c>
      <c r="F498" s="8">
        <v>28.9</v>
      </c>
      <c r="G498" s="9">
        <v>22</v>
      </c>
      <c r="H498" s="8">
        <v>27.3</v>
      </c>
      <c r="I498" s="8">
        <v>4</v>
      </c>
      <c r="J498" s="8">
        <v>4</v>
      </c>
      <c r="K498" s="8">
        <v>100</v>
      </c>
      <c r="L498" s="9">
        <v>6</v>
      </c>
      <c r="M498" s="9">
        <v>6</v>
      </c>
      <c r="N498" s="9">
        <v>12</v>
      </c>
      <c r="O498" s="9">
        <v>12</v>
      </c>
      <c r="P498" s="9">
        <v>8</v>
      </c>
      <c r="Q498" s="9">
        <v>8</v>
      </c>
      <c r="R498" s="9">
        <v>1</v>
      </c>
      <c r="S498" s="9">
        <v>17</v>
      </c>
      <c r="T498" s="8">
        <v>83</v>
      </c>
      <c r="U498" s="8">
        <v>0</v>
      </c>
      <c r="V498" s="8">
        <v>0</v>
      </c>
      <c r="W498" s="7">
        <v>-3.9</v>
      </c>
      <c r="X498" s="7">
        <v>104.1</v>
      </c>
      <c r="Y498" s="7">
        <v>114.7</v>
      </c>
      <c r="Z498" s="7">
        <v>-10.6</v>
      </c>
      <c r="AA498" s="7">
        <v>11.7</v>
      </c>
      <c r="AB498" s="7">
        <v>1.5</v>
      </c>
      <c r="AC498" s="7">
        <v>20</v>
      </c>
      <c r="AD498" s="7">
        <v>3.8</v>
      </c>
      <c r="AE498" s="7">
        <v>4.8</v>
      </c>
      <c r="AF498" s="7">
        <v>4.2</v>
      </c>
      <c r="AG498" s="7">
        <v>13.3</v>
      </c>
      <c r="AH498" s="7">
        <v>36.799999999999997</v>
      </c>
      <c r="AI498" s="7">
        <v>40.200000000000003</v>
      </c>
      <c r="AJ498" s="7">
        <v>13.4</v>
      </c>
      <c r="AK498" s="7">
        <v>100.82</v>
      </c>
      <c r="AL498" s="7">
        <v>1.5</v>
      </c>
      <c r="AM498" s="7">
        <v>315</v>
      </c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1"/>
    </row>
    <row r="499" spans="1:64" ht="13">
      <c r="A499" s="6" t="s">
        <v>1037</v>
      </c>
      <c r="B499" s="6" t="s">
        <v>1038</v>
      </c>
      <c r="C499" s="31">
        <v>32</v>
      </c>
      <c r="D499" s="24">
        <v>11</v>
      </c>
      <c r="E499" s="24">
        <v>35</v>
      </c>
      <c r="F499" s="8">
        <v>31.4</v>
      </c>
      <c r="G499" s="9">
        <v>25</v>
      </c>
      <c r="H499" s="8">
        <v>28</v>
      </c>
      <c r="I499" s="8">
        <v>3</v>
      </c>
      <c r="J499" s="8">
        <v>6</v>
      </c>
      <c r="K499" s="8">
        <v>50</v>
      </c>
      <c r="L499" s="9">
        <v>9</v>
      </c>
      <c r="M499" s="9">
        <v>12</v>
      </c>
      <c r="N499" s="9">
        <v>21</v>
      </c>
      <c r="O499" s="9">
        <v>8</v>
      </c>
      <c r="P499" s="9">
        <v>3</v>
      </c>
      <c r="Q499" s="9">
        <v>10</v>
      </c>
      <c r="R499" s="9">
        <v>1</v>
      </c>
      <c r="S499" s="9">
        <v>18</v>
      </c>
      <c r="T499" s="8">
        <v>99</v>
      </c>
      <c r="U499" s="8">
        <v>0</v>
      </c>
      <c r="V499" s="8">
        <v>0</v>
      </c>
      <c r="W499" s="7">
        <v>3.1</v>
      </c>
      <c r="X499" s="7">
        <v>113.2</v>
      </c>
      <c r="Y499" s="7">
        <v>103.5</v>
      </c>
      <c r="Z499" s="7">
        <v>9.6999999999999993</v>
      </c>
      <c r="AA499" s="7">
        <v>7.3</v>
      </c>
      <c r="AB499" s="7">
        <v>2.67</v>
      </c>
      <c r="AC499" s="7">
        <v>16.3</v>
      </c>
      <c r="AD499" s="7">
        <v>5.8</v>
      </c>
      <c r="AE499" s="7">
        <v>9.1999999999999993</v>
      </c>
      <c r="AF499" s="7">
        <v>7.4</v>
      </c>
      <c r="AG499" s="7">
        <v>6.1</v>
      </c>
      <c r="AH499" s="7">
        <v>41.4</v>
      </c>
      <c r="AI499" s="7">
        <v>42.5</v>
      </c>
      <c r="AJ499" s="7">
        <v>12</v>
      </c>
      <c r="AK499" s="7">
        <v>99.3</v>
      </c>
      <c r="AL499" s="7">
        <v>3.7</v>
      </c>
      <c r="AM499" s="7">
        <v>287</v>
      </c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1"/>
    </row>
    <row r="500" spans="1:64" ht="13">
      <c r="A500" s="6" t="s">
        <v>1039</v>
      </c>
      <c r="B500" s="6" t="s">
        <v>1040</v>
      </c>
      <c r="C500" s="31">
        <v>31</v>
      </c>
      <c r="D500" s="24">
        <v>12</v>
      </c>
      <c r="E500" s="24">
        <v>41</v>
      </c>
      <c r="F500" s="8">
        <v>31.7</v>
      </c>
      <c r="G500" s="9">
        <v>17</v>
      </c>
      <c r="H500" s="8">
        <v>17.600000000000001</v>
      </c>
      <c r="I500" s="8">
        <v>2</v>
      </c>
      <c r="J500" s="8">
        <v>5</v>
      </c>
      <c r="K500" s="8">
        <v>75</v>
      </c>
      <c r="L500" s="8">
        <v>0</v>
      </c>
      <c r="M500" s="9">
        <v>12</v>
      </c>
      <c r="N500" s="9">
        <v>12</v>
      </c>
      <c r="O500" s="9">
        <v>12</v>
      </c>
      <c r="P500" s="9">
        <v>5</v>
      </c>
      <c r="Q500" s="9">
        <v>2</v>
      </c>
      <c r="R500" s="8">
        <v>0</v>
      </c>
      <c r="S500" s="9">
        <v>10</v>
      </c>
      <c r="T500" s="8">
        <v>67</v>
      </c>
      <c r="U500" s="8">
        <v>0</v>
      </c>
      <c r="V500" s="8">
        <v>0</v>
      </c>
      <c r="W500" s="7">
        <v>-1</v>
      </c>
      <c r="X500" s="7">
        <v>94.2</v>
      </c>
      <c r="Y500" s="7">
        <v>105.1</v>
      </c>
      <c r="Z500" s="7">
        <v>-10.9</v>
      </c>
      <c r="AA500" s="7">
        <v>13.6</v>
      </c>
      <c r="AB500" s="7">
        <v>2.2000000000000002</v>
      </c>
      <c r="AC500" s="7">
        <v>18.600000000000001</v>
      </c>
      <c r="AD500" s="7">
        <v>0.8</v>
      </c>
      <c r="AE500" s="7">
        <v>8.6999999999999993</v>
      </c>
      <c r="AF500" s="7">
        <v>4.7</v>
      </c>
      <c r="AG500" s="7">
        <v>8.5</v>
      </c>
      <c r="AH500" s="7">
        <v>35.4</v>
      </c>
      <c r="AI500" s="7">
        <v>37.4</v>
      </c>
      <c r="AJ500" s="7">
        <v>16.5</v>
      </c>
      <c r="AK500" s="7">
        <v>105.44</v>
      </c>
      <c r="AL500" s="7">
        <v>2.9</v>
      </c>
      <c r="AM500" s="7">
        <v>259</v>
      </c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1"/>
    </row>
    <row r="501" spans="1:64" ht="13">
      <c r="A501" s="6" t="s">
        <v>1041</v>
      </c>
      <c r="B501" s="6" t="s">
        <v>1042</v>
      </c>
      <c r="C501" s="31">
        <v>31</v>
      </c>
      <c r="D501" s="24">
        <v>11</v>
      </c>
      <c r="E501" s="24">
        <v>31</v>
      </c>
      <c r="F501" s="8">
        <v>32.299999999999997</v>
      </c>
      <c r="G501" s="9">
        <v>20</v>
      </c>
      <c r="H501" s="8">
        <v>31.6</v>
      </c>
      <c r="I501" s="8">
        <v>4</v>
      </c>
      <c r="J501" s="8">
        <v>5</v>
      </c>
      <c r="K501" s="8">
        <v>66.7</v>
      </c>
      <c r="L501" s="9">
        <v>4</v>
      </c>
      <c r="M501" s="9">
        <v>14</v>
      </c>
      <c r="N501" s="9">
        <v>18</v>
      </c>
      <c r="O501" s="9">
        <v>5</v>
      </c>
      <c r="P501" s="9">
        <v>4</v>
      </c>
      <c r="Q501" s="9">
        <v>4</v>
      </c>
      <c r="R501" s="9">
        <v>2</v>
      </c>
      <c r="S501" s="9">
        <v>7</v>
      </c>
      <c r="T501" s="8">
        <v>70</v>
      </c>
      <c r="U501" s="8">
        <v>0</v>
      </c>
      <c r="V501" s="8">
        <v>0</v>
      </c>
      <c r="W501" s="7">
        <v>-0.9</v>
      </c>
      <c r="X501" s="7">
        <v>103.8</v>
      </c>
      <c r="Y501" s="7">
        <v>113</v>
      </c>
      <c r="Z501" s="7">
        <v>-9.1999999999999993</v>
      </c>
      <c r="AA501" s="7">
        <v>6.3</v>
      </c>
      <c r="AB501" s="7">
        <v>1.25</v>
      </c>
      <c r="AC501" s="7">
        <v>11.9</v>
      </c>
      <c r="AD501" s="7">
        <v>2.8</v>
      </c>
      <c r="AE501" s="7">
        <v>12.8</v>
      </c>
      <c r="AF501" s="7">
        <v>8</v>
      </c>
      <c r="AG501" s="7">
        <v>9.5</v>
      </c>
      <c r="AH501" s="7">
        <v>41.9</v>
      </c>
      <c r="AI501" s="7">
        <v>44.6</v>
      </c>
      <c r="AJ501" s="7">
        <v>14.2</v>
      </c>
      <c r="AK501" s="7">
        <v>100.38</v>
      </c>
      <c r="AL501" s="7">
        <v>4.7</v>
      </c>
      <c r="AM501" s="7">
        <v>235</v>
      </c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1"/>
    </row>
    <row r="502" spans="1:64" ht="13">
      <c r="A502" s="6" t="s">
        <v>1043</v>
      </c>
      <c r="B502" s="6" t="s">
        <v>1044</v>
      </c>
      <c r="C502" s="31">
        <v>30</v>
      </c>
      <c r="D502" s="24">
        <v>11</v>
      </c>
      <c r="E502" s="24">
        <v>33</v>
      </c>
      <c r="F502" s="8">
        <v>33.299999999999997</v>
      </c>
      <c r="G502" s="9">
        <v>21</v>
      </c>
      <c r="H502" s="8">
        <v>28.6</v>
      </c>
      <c r="I502" s="8">
        <v>2</v>
      </c>
      <c r="J502" s="8">
        <v>2</v>
      </c>
      <c r="K502" s="8">
        <v>100</v>
      </c>
      <c r="L502" s="9">
        <v>2</v>
      </c>
      <c r="M502" s="9">
        <v>10</v>
      </c>
      <c r="N502" s="9">
        <v>12</v>
      </c>
      <c r="O502" s="9">
        <v>14</v>
      </c>
      <c r="P502" s="9">
        <v>6</v>
      </c>
      <c r="Q502" s="9">
        <v>7</v>
      </c>
      <c r="R502" s="9">
        <v>2</v>
      </c>
      <c r="S502" s="9">
        <v>7</v>
      </c>
      <c r="T502" s="8">
        <v>87</v>
      </c>
      <c r="U502" s="8">
        <v>0</v>
      </c>
      <c r="V502" s="8">
        <v>0</v>
      </c>
      <c r="W502" s="7">
        <v>4</v>
      </c>
      <c r="X502" s="7">
        <v>113.5</v>
      </c>
      <c r="Y502" s="7">
        <v>86.3</v>
      </c>
      <c r="Z502" s="7">
        <v>27.3</v>
      </c>
      <c r="AA502" s="7">
        <v>25.5</v>
      </c>
      <c r="AB502" s="7">
        <v>2.8</v>
      </c>
      <c r="AC502" s="7">
        <v>26.4</v>
      </c>
      <c r="AD502" s="7">
        <v>2.5</v>
      </c>
      <c r="AE502" s="7">
        <v>11.6</v>
      </c>
      <c r="AF502" s="7">
        <v>7.3</v>
      </c>
      <c r="AG502" s="7">
        <v>9.4</v>
      </c>
      <c r="AH502" s="7">
        <v>42.4</v>
      </c>
      <c r="AI502" s="7">
        <v>44.3</v>
      </c>
      <c r="AJ502" s="7">
        <v>21.2</v>
      </c>
      <c r="AK502" s="7">
        <v>105.02</v>
      </c>
      <c r="AL502" s="7">
        <v>11</v>
      </c>
      <c r="AM502" s="7">
        <v>155</v>
      </c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1"/>
    </row>
    <row r="503" spans="1:64" ht="13">
      <c r="A503" s="6" t="s">
        <v>1045</v>
      </c>
      <c r="B503" s="6" t="s">
        <v>1046</v>
      </c>
      <c r="C503" s="31">
        <v>29</v>
      </c>
      <c r="D503" s="24">
        <v>8</v>
      </c>
      <c r="E503" s="24">
        <v>27</v>
      </c>
      <c r="F503" s="8">
        <v>33.299999999999997</v>
      </c>
      <c r="G503" s="9">
        <v>8</v>
      </c>
      <c r="H503" s="8">
        <v>0</v>
      </c>
      <c r="I503" s="8">
        <v>13</v>
      </c>
      <c r="J503" s="8">
        <v>17</v>
      </c>
      <c r="K503" s="8">
        <v>75</v>
      </c>
      <c r="L503" s="9">
        <v>11</v>
      </c>
      <c r="M503" s="9">
        <v>25</v>
      </c>
      <c r="N503" s="9">
        <v>36</v>
      </c>
      <c r="O503" s="9">
        <v>4</v>
      </c>
      <c r="P503" s="9">
        <v>6</v>
      </c>
      <c r="Q503" s="9">
        <v>4</v>
      </c>
      <c r="R503" s="8">
        <v>0</v>
      </c>
      <c r="S503" s="9">
        <v>8</v>
      </c>
      <c r="T503" s="8">
        <v>88</v>
      </c>
      <c r="U503" s="8">
        <v>0</v>
      </c>
      <c r="V503" s="8">
        <v>0</v>
      </c>
      <c r="W503" s="7">
        <v>-1.4</v>
      </c>
      <c r="X503" s="7">
        <v>89.6</v>
      </c>
      <c r="Y503" s="7">
        <v>102.2</v>
      </c>
      <c r="Z503" s="7">
        <v>-12.6</v>
      </c>
      <c r="AA503" s="7">
        <v>7.8</v>
      </c>
      <c r="AB503" s="7">
        <v>0.83</v>
      </c>
      <c r="AC503" s="7">
        <v>11.1</v>
      </c>
      <c r="AD503" s="7">
        <v>9.1</v>
      </c>
      <c r="AE503" s="7">
        <v>19.8</v>
      </c>
      <c r="AF503" s="7">
        <v>14.8</v>
      </c>
      <c r="AG503" s="7">
        <v>13.3</v>
      </c>
      <c r="AH503" s="7">
        <v>33.299999999999997</v>
      </c>
      <c r="AI503" s="7">
        <v>44.1</v>
      </c>
      <c r="AJ503" s="7">
        <v>15</v>
      </c>
      <c r="AK503" s="7">
        <v>104.34</v>
      </c>
      <c r="AL503" s="7">
        <v>9.9</v>
      </c>
      <c r="AM503" s="7">
        <v>230</v>
      </c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1"/>
    </row>
    <row r="504" spans="1:64" ht="13">
      <c r="A504" s="6" t="s">
        <v>1047</v>
      </c>
      <c r="B504" s="6" t="s">
        <v>1048</v>
      </c>
      <c r="C504" s="31">
        <v>29</v>
      </c>
      <c r="D504" s="24">
        <v>10</v>
      </c>
      <c r="E504" s="24">
        <v>30</v>
      </c>
      <c r="F504" s="8">
        <v>32.299999999999997</v>
      </c>
      <c r="G504" s="9">
        <v>19</v>
      </c>
      <c r="H504" s="8">
        <v>31.6</v>
      </c>
      <c r="I504" s="8">
        <v>2</v>
      </c>
      <c r="J504" s="8">
        <v>2</v>
      </c>
      <c r="K504" s="8">
        <v>100</v>
      </c>
      <c r="L504" s="8">
        <v>0</v>
      </c>
      <c r="M504" s="9">
        <v>8</v>
      </c>
      <c r="N504" s="9">
        <v>8</v>
      </c>
      <c r="O504" s="9">
        <v>4</v>
      </c>
      <c r="P504" s="9">
        <v>4</v>
      </c>
      <c r="Q504" s="9">
        <v>2</v>
      </c>
      <c r="R504" s="8">
        <v>0</v>
      </c>
      <c r="S504" s="9">
        <v>2</v>
      </c>
      <c r="T504" s="8">
        <v>46</v>
      </c>
      <c r="U504" s="8">
        <v>0</v>
      </c>
      <c r="V504" s="8">
        <v>0</v>
      </c>
      <c r="W504" s="7">
        <v>-2.1</v>
      </c>
      <c r="X504" s="7">
        <v>80.5</v>
      </c>
      <c r="Y504" s="7">
        <v>108.8</v>
      </c>
      <c r="Z504" s="7">
        <v>-28.3</v>
      </c>
      <c r="AA504" s="7">
        <v>8.3000000000000007</v>
      </c>
      <c r="AB504" s="7">
        <v>1</v>
      </c>
      <c r="AC504" s="7">
        <v>7.9</v>
      </c>
      <c r="AD504" s="7">
        <v>0</v>
      </c>
      <c r="AE504" s="7">
        <v>11.3</v>
      </c>
      <c r="AF504" s="7">
        <v>5.6</v>
      </c>
      <c r="AG504" s="7">
        <v>7.9</v>
      </c>
      <c r="AH504" s="7">
        <v>41.9</v>
      </c>
      <c r="AI504" s="7">
        <v>43.9</v>
      </c>
      <c r="AJ504" s="7">
        <v>20.8</v>
      </c>
      <c r="AK504" s="7">
        <v>104.75</v>
      </c>
      <c r="AL504" s="7">
        <v>6.2</v>
      </c>
      <c r="AM504" s="7">
        <v>149</v>
      </c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1"/>
    </row>
    <row r="505" spans="1:64" ht="13">
      <c r="A505" s="6" t="s">
        <v>1049</v>
      </c>
      <c r="B505" s="6" t="s">
        <v>1050</v>
      </c>
      <c r="C505" s="31">
        <v>28</v>
      </c>
      <c r="D505" s="24">
        <v>11</v>
      </c>
      <c r="E505" s="24">
        <v>27</v>
      </c>
      <c r="F505" s="8">
        <v>40.700000000000003</v>
      </c>
      <c r="G505" s="9">
        <v>8</v>
      </c>
      <c r="H505" s="8">
        <v>37.5</v>
      </c>
      <c r="I505" s="8">
        <v>3</v>
      </c>
      <c r="J505" s="8">
        <v>4</v>
      </c>
      <c r="K505" s="8">
        <v>75</v>
      </c>
      <c r="L505" s="9">
        <v>1</v>
      </c>
      <c r="M505" s="9">
        <v>5</v>
      </c>
      <c r="N505" s="9">
        <v>6</v>
      </c>
      <c r="O505" s="9">
        <v>13</v>
      </c>
      <c r="P505" s="9">
        <v>6</v>
      </c>
      <c r="Q505" s="9">
        <v>3</v>
      </c>
      <c r="R505" s="9">
        <v>2</v>
      </c>
      <c r="S505" s="9">
        <v>10</v>
      </c>
      <c r="T505" s="8">
        <v>64</v>
      </c>
      <c r="U505" s="8">
        <v>0</v>
      </c>
      <c r="V505" s="8">
        <v>0</v>
      </c>
      <c r="W505" s="7">
        <v>-9.8000000000000007</v>
      </c>
      <c r="X505" s="7">
        <v>95.6</v>
      </c>
      <c r="Y505" s="7">
        <v>119.3</v>
      </c>
      <c r="Z505" s="7">
        <v>-23.6</v>
      </c>
      <c r="AA505" s="7">
        <v>25.5</v>
      </c>
      <c r="AB505" s="7">
        <v>2.17</v>
      </c>
      <c r="AC505" s="7">
        <v>27.1</v>
      </c>
      <c r="AD505" s="7">
        <v>1.3</v>
      </c>
      <c r="AE505" s="7">
        <v>5.7</v>
      </c>
      <c r="AF505" s="7">
        <v>3.6</v>
      </c>
      <c r="AG505" s="7">
        <v>12.5</v>
      </c>
      <c r="AH505" s="7">
        <v>46.3</v>
      </c>
      <c r="AI505" s="7">
        <v>48.7</v>
      </c>
      <c r="AJ505" s="7">
        <v>19.3</v>
      </c>
      <c r="AK505" s="7">
        <v>97.05</v>
      </c>
      <c r="AL505" s="7">
        <v>5.7</v>
      </c>
      <c r="AM505" s="7">
        <v>160</v>
      </c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1"/>
    </row>
    <row r="506" spans="1:64" ht="13">
      <c r="A506" s="6" t="s">
        <v>1051</v>
      </c>
      <c r="B506" s="6" t="s">
        <v>1052</v>
      </c>
      <c r="C506" s="31">
        <v>28</v>
      </c>
      <c r="D506" s="24">
        <v>11</v>
      </c>
      <c r="E506" s="24">
        <v>31</v>
      </c>
      <c r="F506" s="8">
        <v>35.5</v>
      </c>
      <c r="G506" s="9">
        <v>11</v>
      </c>
      <c r="H506" s="8">
        <v>18.2</v>
      </c>
      <c r="I506" s="8">
        <v>4</v>
      </c>
      <c r="J506" s="8">
        <v>6</v>
      </c>
      <c r="K506" s="8">
        <v>66.7</v>
      </c>
      <c r="L506" s="8">
        <v>0</v>
      </c>
      <c r="M506" s="9">
        <v>8</v>
      </c>
      <c r="N506" s="9">
        <v>8</v>
      </c>
      <c r="O506" s="9">
        <v>8</v>
      </c>
      <c r="P506" s="9">
        <v>6</v>
      </c>
      <c r="Q506" s="9">
        <v>6</v>
      </c>
      <c r="R506" s="9">
        <v>3</v>
      </c>
      <c r="S506" s="9">
        <v>1</v>
      </c>
      <c r="T506" s="8">
        <v>69</v>
      </c>
      <c r="U506" s="8">
        <v>0</v>
      </c>
      <c r="V506" s="8">
        <v>0</v>
      </c>
      <c r="W506" s="7">
        <v>-0.4</v>
      </c>
      <c r="X506" s="7">
        <v>105.7</v>
      </c>
      <c r="Y506" s="7">
        <v>108.2</v>
      </c>
      <c r="Z506" s="7">
        <v>-2.5</v>
      </c>
      <c r="AA506" s="7">
        <v>14.5</v>
      </c>
      <c r="AB506" s="7">
        <v>1.33</v>
      </c>
      <c r="AC506" s="7">
        <v>16.7</v>
      </c>
      <c r="AD506" s="7">
        <v>0</v>
      </c>
      <c r="AE506" s="7">
        <v>11.5</v>
      </c>
      <c r="AF506" s="7">
        <v>6.3</v>
      </c>
      <c r="AG506" s="7">
        <v>12.5</v>
      </c>
      <c r="AH506" s="7">
        <v>38.700000000000003</v>
      </c>
      <c r="AI506" s="7">
        <v>41.6</v>
      </c>
      <c r="AJ506" s="7">
        <v>23.5</v>
      </c>
      <c r="AK506" s="7">
        <v>109.7</v>
      </c>
      <c r="AL506" s="7">
        <v>6.3</v>
      </c>
      <c r="AM506" s="7">
        <v>158</v>
      </c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1"/>
    </row>
    <row r="507" spans="1:64" ht="13">
      <c r="A507" s="6" t="s">
        <v>1053</v>
      </c>
      <c r="B507" s="6" t="s">
        <v>1054</v>
      </c>
      <c r="C507" s="31">
        <v>26</v>
      </c>
      <c r="D507" s="24">
        <v>12</v>
      </c>
      <c r="E507" s="24">
        <v>34</v>
      </c>
      <c r="F507" s="8">
        <v>32.4</v>
      </c>
      <c r="G507" s="9">
        <v>18</v>
      </c>
      <c r="H507" s="8">
        <v>5.9</v>
      </c>
      <c r="I507" s="8">
        <v>4</v>
      </c>
      <c r="J507" s="8">
        <v>4</v>
      </c>
      <c r="K507" s="8">
        <v>100</v>
      </c>
      <c r="L507" s="9">
        <v>8</v>
      </c>
      <c r="M507" s="9">
        <v>10</v>
      </c>
      <c r="N507" s="9">
        <v>18</v>
      </c>
      <c r="O507" s="9">
        <v>6</v>
      </c>
      <c r="P507" s="9">
        <v>6</v>
      </c>
      <c r="Q507" s="9">
        <v>6</v>
      </c>
      <c r="R507" s="9">
        <v>6</v>
      </c>
      <c r="S507" s="9">
        <v>18</v>
      </c>
      <c r="T507" s="8">
        <v>78</v>
      </c>
      <c r="U507" s="8">
        <v>0</v>
      </c>
      <c r="V507" s="8">
        <v>0</v>
      </c>
      <c r="W507" s="7">
        <v>-2.2999999999999998</v>
      </c>
      <c r="X507" s="7">
        <v>89.4</v>
      </c>
      <c r="Y507" s="7">
        <v>107.4</v>
      </c>
      <c r="Z507" s="7">
        <v>-18</v>
      </c>
      <c r="AA507" s="7">
        <v>6</v>
      </c>
      <c r="AB507" s="7">
        <v>1</v>
      </c>
      <c r="AC507" s="7">
        <v>11.1</v>
      </c>
      <c r="AD507" s="7">
        <v>5.7</v>
      </c>
      <c r="AE507" s="7">
        <v>6.7</v>
      </c>
      <c r="AF507" s="7">
        <v>6.2</v>
      </c>
      <c r="AG507" s="7">
        <v>11.1</v>
      </c>
      <c r="AH507" s="7">
        <v>33.799999999999997</v>
      </c>
      <c r="AI507" s="7">
        <v>36.799999999999997</v>
      </c>
      <c r="AJ507" s="7">
        <v>12.8</v>
      </c>
      <c r="AK507" s="7">
        <v>104.76</v>
      </c>
      <c r="AL507" s="7">
        <v>1.3</v>
      </c>
      <c r="AM507" s="7">
        <v>274</v>
      </c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1"/>
    </row>
    <row r="508" spans="1:64" ht="13">
      <c r="A508" s="6" t="s">
        <v>1055</v>
      </c>
      <c r="B508" s="6" t="s">
        <v>1056</v>
      </c>
      <c r="C508" s="31">
        <v>24</v>
      </c>
      <c r="D508" s="24">
        <v>9</v>
      </c>
      <c r="E508" s="24">
        <v>22</v>
      </c>
      <c r="F508" s="8">
        <v>40.9</v>
      </c>
      <c r="G508" s="9">
        <v>10</v>
      </c>
      <c r="H508" s="8">
        <v>50</v>
      </c>
      <c r="I508" s="8">
        <v>0</v>
      </c>
      <c r="J508" s="8">
        <v>0</v>
      </c>
      <c r="K508" s="8">
        <v>0</v>
      </c>
      <c r="L508" s="9">
        <v>3</v>
      </c>
      <c r="M508" s="9">
        <v>12</v>
      </c>
      <c r="N508" s="9">
        <v>15</v>
      </c>
      <c r="O508" s="9">
        <v>7</v>
      </c>
      <c r="P508" s="9">
        <v>3</v>
      </c>
      <c r="Q508" s="9">
        <v>2</v>
      </c>
      <c r="R508" s="8">
        <v>0</v>
      </c>
      <c r="S508" s="9">
        <v>3</v>
      </c>
      <c r="T508" s="8">
        <v>53</v>
      </c>
      <c r="U508" s="8">
        <v>0</v>
      </c>
      <c r="V508" s="8">
        <v>0</v>
      </c>
      <c r="W508" s="7">
        <v>-1.5</v>
      </c>
      <c r="X508" s="7">
        <v>89.9</v>
      </c>
      <c r="Y508" s="7">
        <v>104.4</v>
      </c>
      <c r="Z508" s="7">
        <v>-14.5</v>
      </c>
      <c r="AA508" s="7">
        <v>13.3</v>
      </c>
      <c r="AB508" s="7">
        <v>2</v>
      </c>
      <c r="AC508" s="7">
        <v>19.399999999999999</v>
      </c>
      <c r="AD508" s="7">
        <v>4.0999999999999996</v>
      </c>
      <c r="AE508" s="7">
        <v>14.8</v>
      </c>
      <c r="AF508" s="7">
        <v>9.6999999999999993</v>
      </c>
      <c r="AG508" s="7">
        <v>9.6999999999999993</v>
      </c>
      <c r="AH508" s="7">
        <v>52.3</v>
      </c>
      <c r="AI508" s="7">
        <v>52.3</v>
      </c>
      <c r="AJ508" s="7">
        <v>14</v>
      </c>
      <c r="AK508" s="7">
        <v>101.56</v>
      </c>
      <c r="AL508" s="7">
        <v>9</v>
      </c>
      <c r="AM508" s="7">
        <v>158</v>
      </c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1"/>
    </row>
    <row r="509" spans="1:64" ht="13">
      <c r="A509" s="6" t="s">
        <v>1057</v>
      </c>
      <c r="B509" s="6" t="s">
        <v>1058</v>
      </c>
      <c r="C509" s="31">
        <v>24</v>
      </c>
      <c r="D509" s="24">
        <v>10</v>
      </c>
      <c r="E509" s="24">
        <v>22</v>
      </c>
      <c r="F509" s="8">
        <v>39.1</v>
      </c>
      <c r="G509" s="9">
        <v>11</v>
      </c>
      <c r="H509" s="8">
        <v>36.4</v>
      </c>
      <c r="I509" s="8">
        <v>2</v>
      </c>
      <c r="J509" s="8">
        <v>5</v>
      </c>
      <c r="K509" s="8">
        <v>50</v>
      </c>
      <c r="L509" s="9">
        <v>2</v>
      </c>
      <c r="M509" s="9">
        <v>5</v>
      </c>
      <c r="N509" s="9">
        <v>5</v>
      </c>
      <c r="O509" s="9">
        <v>6</v>
      </c>
      <c r="P509" s="9">
        <v>5</v>
      </c>
      <c r="Q509" s="9">
        <v>2</v>
      </c>
      <c r="R509" s="9">
        <v>2</v>
      </c>
      <c r="S509" s="9">
        <v>10</v>
      </c>
      <c r="T509" s="8">
        <v>43</v>
      </c>
      <c r="U509" s="8">
        <v>0</v>
      </c>
      <c r="V509" s="8">
        <v>0</v>
      </c>
      <c r="W509" s="7">
        <v>0.7</v>
      </c>
      <c r="X509" s="7">
        <v>103.8</v>
      </c>
      <c r="Y509" s="7">
        <v>99.2</v>
      </c>
      <c r="Z509" s="7">
        <v>4.5999999999999996</v>
      </c>
      <c r="AA509" s="7">
        <v>15.4</v>
      </c>
      <c r="AB509" s="7">
        <v>1.2</v>
      </c>
      <c r="AC509" s="7">
        <v>17.100000000000001</v>
      </c>
      <c r="AD509" s="7">
        <v>1.6</v>
      </c>
      <c r="AE509" s="7">
        <v>6.5</v>
      </c>
      <c r="AF509" s="7">
        <v>4</v>
      </c>
      <c r="AG509" s="7">
        <v>14.3</v>
      </c>
      <c r="AH509" s="7">
        <v>47.8</v>
      </c>
      <c r="AI509" s="7">
        <v>48.5</v>
      </c>
      <c r="AJ509" s="7">
        <v>19.5</v>
      </c>
      <c r="AK509" s="7">
        <v>109.79</v>
      </c>
      <c r="AL509" s="7">
        <v>3.1</v>
      </c>
      <c r="AM509" s="7">
        <v>132</v>
      </c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1"/>
    </row>
    <row r="510" spans="1:64" ht="13">
      <c r="A510" s="6" t="s">
        <v>1059</v>
      </c>
      <c r="B510" s="6" t="s">
        <v>1060</v>
      </c>
      <c r="C510" s="31">
        <v>24</v>
      </c>
      <c r="D510" s="24">
        <v>10</v>
      </c>
      <c r="E510" s="24">
        <v>13</v>
      </c>
      <c r="F510" s="8">
        <v>76.900000000000006</v>
      </c>
      <c r="G510" s="8">
        <v>0</v>
      </c>
      <c r="H510" s="8">
        <v>0</v>
      </c>
      <c r="I510" s="8">
        <v>4</v>
      </c>
      <c r="J510" s="8">
        <v>5</v>
      </c>
      <c r="K510" s="8">
        <v>80</v>
      </c>
      <c r="L510" s="9">
        <v>6</v>
      </c>
      <c r="M510" s="9">
        <v>15</v>
      </c>
      <c r="N510" s="9">
        <v>21</v>
      </c>
      <c r="O510" s="9">
        <v>2</v>
      </c>
      <c r="P510" s="9">
        <v>2</v>
      </c>
      <c r="Q510" s="9">
        <v>1</v>
      </c>
      <c r="R510" s="9">
        <v>5</v>
      </c>
      <c r="S510" s="9">
        <v>9</v>
      </c>
      <c r="T510" s="8">
        <v>68</v>
      </c>
      <c r="U510" s="8">
        <v>0</v>
      </c>
      <c r="V510" s="8">
        <v>0</v>
      </c>
      <c r="W510" s="7">
        <v>-2.8</v>
      </c>
      <c r="X510" s="7">
        <v>114.9</v>
      </c>
      <c r="Y510" s="7">
        <v>123.5</v>
      </c>
      <c r="Z510" s="7">
        <v>-8.6</v>
      </c>
      <c r="AA510" s="7">
        <v>5</v>
      </c>
      <c r="AB510" s="7">
        <v>1</v>
      </c>
      <c r="AC510" s="7">
        <v>10.5</v>
      </c>
      <c r="AD510" s="7">
        <v>12.2</v>
      </c>
      <c r="AE510" s="7">
        <v>26.8</v>
      </c>
      <c r="AF510" s="7">
        <v>20</v>
      </c>
      <c r="AG510" s="7">
        <v>10.5</v>
      </c>
      <c r="AH510" s="7">
        <v>76.900000000000006</v>
      </c>
      <c r="AI510" s="7">
        <v>78.900000000000006</v>
      </c>
      <c r="AJ510" s="7">
        <v>13.3</v>
      </c>
      <c r="AK510" s="7">
        <v>108.58</v>
      </c>
      <c r="AL510" s="7">
        <v>12.5</v>
      </c>
      <c r="AM510" s="7">
        <v>114</v>
      </c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1"/>
    </row>
    <row r="511" spans="1:64" ht="13">
      <c r="A511" s="6" t="s">
        <v>1061</v>
      </c>
      <c r="B511" s="6" t="s">
        <v>1062</v>
      </c>
      <c r="C511" s="31">
        <v>23</v>
      </c>
      <c r="D511" s="24">
        <v>10</v>
      </c>
      <c r="E511" s="24">
        <v>26</v>
      </c>
      <c r="F511" s="8">
        <v>38.5</v>
      </c>
      <c r="G511" s="9">
        <v>16</v>
      </c>
      <c r="H511" s="8">
        <v>26.7</v>
      </c>
      <c r="I511" s="8">
        <v>0</v>
      </c>
      <c r="J511" s="8">
        <v>0</v>
      </c>
      <c r="K511" s="8">
        <v>0</v>
      </c>
      <c r="L511" s="9">
        <v>7</v>
      </c>
      <c r="M511" s="9">
        <v>26</v>
      </c>
      <c r="N511" s="9">
        <v>33</v>
      </c>
      <c r="O511" s="9">
        <v>9</v>
      </c>
      <c r="P511" s="9">
        <v>10</v>
      </c>
      <c r="Q511" s="9">
        <v>3</v>
      </c>
      <c r="R511" s="9">
        <v>3</v>
      </c>
      <c r="S511" s="9">
        <v>10</v>
      </c>
      <c r="T511" s="8">
        <v>79</v>
      </c>
      <c r="U511" s="8">
        <v>0</v>
      </c>
      <c r="V511" s="8">
        <v>0</v>
      </c>
      <c r="W511" s="7">
        <v>-1.4</v>
      </c>
      <c r="X511" s="7">
        <v>93.5</v>
      </c>
      <c r="Y511" s="7">
        <v>100.3</v>
      </c>
      <c r="Z511" s="7">
        <v>-6.9</v>
      </c>
      <c r="AA511" s="7">
        <v>9.5</v>
      </c>
      <c r="AB511" s="7">
        <v>0.82</v>
      </c>
      <c r="AC511" s="7">
        <v>19.600000000000001</v>
      </c>
      <c r="AD511" s="7">
        <v>3.8</v>
      </c>
      <c r="AE511" s="7">
        <v>17</v>
      </c>
      <c r="AF511" s="7">
        <v>10.199999999999999</v>
      </c>
      <c r="AG511" s="7">
        <v>23.9</v>
      </c>
      <c r="AH511" s="7">
        <v>46.2</v>
      </c>
      <c r="AI511" s="7">
        <v>46.2</v>
      </c>
      <c r="AJ511" s="7">
        <v>10.9</v>
      </c>
      <c r="AK511" s="7">
        <v>102.84</v>
      </c>
      <c r="AL511" s="7">
        <v>6.2</v>
      </c>
      <c r="AM511" s="7">
        <v>292</v>
      </c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1"/>
    </row>
    <row r="512" spans="1:64" ht="13">
      <c r="A512" s="6" t="s">
        <v>1063</v>
      </c>
      <c r="B512" s="6" t="s">
        <v>1064</v>
      </c>
      <c r="C512" s="31">
        <v>23</v>
      </c>
      <c r="D512" s="24">
        <v>7</v>
      </c>
      <c r="E512" s="24">
        <v>22</v>
      </c>
      <c r="F512" s="8">
        <v>31.8</v>
      </c>
      <c r="G512" s="9">
        <v>15</v>
      </c>
      <c r="H512" s="8">
        <v>26.7</v>
      </c>
      <c r="I512" s="8">
        <v>5</v>
      </c>
      <c r="J512" s="8">
        <v>6</v>
      </c>
      <c r="K512" s="8">
        <v>83.3</v>
      </c>
      <c r="L512" s="9">
        <v>6</v>
      </c>
      <c r="M512" s="9">
        <v>14</v>
      </c>
      <c r="N512" s="9">
        <v>20</v>
      </c>
      <c r="O512" s="9">
        <v>6</v>
      </c>
      <c r="P512" s="9">
        <v>4</v>
      </c>
      <c r="Q512" s="9">
        <v>3</v>
      </c>
      <c r="R512" s="8">
        <v>0</v>
      </c>
      <c r="S512" s="9">
        <v>10</v>
      </c>
      <c r="T512" s="8">
        <v>61</v>
      </c>
      <c r="U512" s="8">
        <v>0</v>
      </c>
      <c r="V512" s="8">
        <v>0</v>
      </c>
      <c r="W512" s="7">
        <v>-2</v>
      </c>
      <c r="X512" s="7">
        <v>101.9</v>
      </c>
      <c r="Y512" s="7">
        <v>109.2</v>
      </c>
      <c r="Z512" s="7">
        <v>-7.4</v>
      </c>
      <c r="AA512" s="7">
        <v>7.7</v>
      </c>
      <c r="AB512" s="7">
        <v>1.5</v>
      </c>
      <c r="AC512" s="7">
        <v>17.600000000000001</v>
      </c>
      <c r="AD512" s="7">
        <v>5.5</v>
      </c>
      <c r="AE512" s="7">
        <v>13.3</v>
      </c>
      <c r="AF512" s="7">
        <v>9.3000000000000007</v>
      </c>
      <c r="AG512" s="7">
        <v>11.8</v>
      </c>
      <c r="AH512" s="7">
        <v>40.9</v>
      </c>
      <c r="AI512" s="7">
        <v>46.7</v>
      </c>
      <c r="AJ512" s="7">
        <v>11.3</v>
      </c>
      <c r="AK512" s="7">
        <v>100.89</v>
      </c>
      <c r="AL512" s="7">
        <v>4.8</v>
      </c>
      <c r="AM512" s="7">
        <v>215</v>
      </c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1"/>
    </row>
    <row r="513" spans="1:64" ht="13">
      <c r="A513" s="6" t="s">
        <v>1065</v>
      </c>
      <c r="B513" s="6" t="s">
        <v>1066</v>
      </c>
      <c r="C513" s="31">
        <v>23</v>
      </c>
      <c r="D513" s="24">
        <v>9</v>
      </c>
      <c r="E513" s="24">
        <v>18</v>
      </c>
      <c r="F513" s="8">
        <v>50</v>
      </c>
      <c r="G513" s="9">
        <v>8</v>
      </c>
      <c r="H513" s="8">
        <v>12.5</v>
      </c>
      <c r="I513" s="8">
        <v>4</v>
      </c>
      <c r="J513" s="8">
        <v>5</v>
      </c>
      <c r="K513" s="8">
        <v>80</v>
      </c>
      <c r="L513" s="9">
        <v>2</v>
      </c>
      <c r="M513" s="9">
        <v>7</v>
      </c>
      <c r="N513" s="9">
        <v>9</v>
      </c>
      <c r="O513" s="9">
        <v>11</v>
      </c>
      <c r="P513" s="9">
        <v>1</v>
      </c>
      <c r="Q513" s="8">
        <v>0</v>
      </c>
      <c r="R513" s="9">
        <v>1</v>
      </c>
      <c r="S513" s="9">
        <v>3</v>
      </c>
      <c r="T513" s="8">
        <v>52</v>
      </c>
      <c r="U513" s="8">
        <v>0</v>
      </c>
      <c r="V513" s="8">
        <v>0</v>
      </c>
      <c r="W513" s="7">
        <v>0.1</v>
      </c>
      <c r="X513" s="7">
        <v>107.4</v>
      </c>
      <c r="Y513" s="7">
        <v>105.3</v>
      </c>
      <c r="Z513" s="7">
        <v>2.2000000000000002</v>
      </c>
      <c r="AA513" s="7">
        <v>37.9</v>
      </c>
      <c r="AB513" s="7">
        <v>11</v>
      </c>
      <c r="AC513" s="7">
        <v>34.4</v>
      </c>
      <c r="AD513" s="7">
        <v>4.5</v>
      </c>
      <c r="AE513" s="7">
        <v>14.9</v>
      </c>
      <c r="AF513" s="7">
        <v>9.9</v>
      </c>
      <c r="AG513" s="7">
        <v>3.1</v>
      </c>
      <c r="AH513" s="7">
        <v>52.8</v>
      </c>
      <c r="AI513" s="7">
        <v>56.9</v>
      </c>
      <c r="AJ513" s="7">
        <v>19.3</v>
      </c>
      <c r="AK513" s="7">
        <v>99.93</v>
      </c>
      <c r="AL513" s="7">
        <v>15.9</v>
      </c>
      <c r="AM513" s="7">
        <v>94</v>
      </c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1"/>
    </row>
    <row r="514" spans="1:64" ht="13">
      <c r="A514" s="13" t="s">
        <v>1067</v>
      </c>
      <c r="B514" s="6" t="s">
        <v>1068</v>
      </c>
      <c r="C514" s="31">
        <v>22</v>
      </c>
      <c r="D514" s="24">
        <v>8</v>
      </c>
      <c r="E514" s="24">
        <v>16</v>
      </c>
      <c r="F514" s="8">
        <v>53.3</v>
      </c>
      <c r="G514" s="9">
        <v>10</v>
      </c>
      <c r="H514" s="8">
        <v>30</v>
      </c>
      <c r="I514" s="8">
        <v>2</v>
      </c>
      <c r="J514" s="8">
        <v>2</v>
      </c>
      <c r="K514" s="8">
        <v>100</v>
      </c>
      <c r="L514" s="9">
        <v>4</v>
      </c>
      <c r="M514" s="9">
        <v>6</v>
      </c>
      <c r="N514" s="9">
        <v>10</v>
      </c>
      <c r="O514" s="9">
        <v>4</v>
      </c>
      <c r="P514" s="9">
        <v>2</v>
      </c>
      <c r="Q514" s="9">
        <v>1</v>
      </c>
      <c r="R514" s="9">
        <v>1</v>
      </c>
      <c r="S514" s="9">
        <v>11</v>
      </c>
      <c r="T514" s="8">
        <v>41</v>
      </c>
      <c r="U514" s="8">
        <v>0</v>
      </c>
      <c r="V514" s="8">
        <v>0</v>
      </c>
      <c r="W514" s="7">
        <v>-0.7</v>
      </c>
      <c r="X514" s="7">
        <v>117.9</v>
      </c>
      <c r="Y514" s="7">
        <v>126.4</v>
      </c>
      <c r="Z514" s="7">
        <v>-8.6</v>
      </c>
      <c r="AA514" s="7">
        <v>6.4</v>
      </c>
      <c r="AB514" s="7">
        <v>1.5</v>
      </c>
      <c r="AC514" s="7">
        <v>14.3</v>
      </c>
      <c r="AD514" s="7">
        <v>6.5</v>
      </c>
      <c r="AE514" s="7">
        <v>10.199999999999999</v>
      </c>
      <c r="AF514" s="7">
        <v>8.6</v>
      </c>
      <c r="AG514" s="7">
        <v>9.5</v>
      </c>
      <c r="AH514" s="7">
        <v>63.3</v>
      </c>
      <c r="AI514" s="7">
        <v>66.099999999999994</v>
      </c>
      <c r="AJ514" s="7">
        <v>13</v>
      </c>
      <c r="AK514" s="7">
        <v>110.79</v>
      </c>
      <c r="AL514" s="7">
        <v>4.7</v>
      </c>
      <c r="AM514" s="7">
        <v>123</v>
      </c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1"/>
    </row>
    <row r="515" spans="1:64" ht="13">
      <c r="A515" s="6" t="s">
        <v>1069</v>
      </c>
      <c r="B515" s="6" t="s">
        <v>1070</v>
      </c>
      <c r="C515" s="31">
        <v>22</v>
      </c>
      <c r="D515" s="24">
        <v>8</v>
      </c>
      <c r="E515" s="24">
        <v>17</v>
      </c>
      <c r="F515" s="8">
        <v>47.1</v>
      </c>
      <c r="G515" s="9">
        <v>10</v>
      </c>
      <c r="H515" s="8">
        <v>30</v>
      </c>
      <c r="I515" s="8">
        <v>3</v>
      </c>
      <c r="J515" s="8">
        <v>6</v>
      </c>
      <c r="K515" s="8">
        <v>50</v>
      </c>
      <c r="L515" s="9">
        <v>3</v>
      </c>
      <c r="M515" s="9">
        <v>8</v>
      </c>
      <c r="N515" s="9">
        <v>11</v>
      </c>
      <c r="O515" s="9">
        <v>4</v>
      </c>
      <c r="P515" s="9">
        <v>1</v>
      </c>
      <c r="Q515" s="9">
        <v>4</v>
      </c>
      <c r="R515" s="8">
        <v>0</v>
      </c>
      <c r="S515" s="9">
        <v>4</v>
      </c>
      <c r="T515" s="8">
        <v>52</v>
      </c>
      <c r="U515" s="8">
        <v>0</v>
      </c>
      <c r="V515" s="8">
        <v>0</v>
      </c>
      <c r="W515" s="7">
        <v>3.8</v>
      </c>
      <c r="X515" s="7">
        <v>116.4</v>
      </c>
      <c r="Y515" s="7">
        <v>103.5</v>
      </c>
      <c r="Z515" s="7">
        <v>12.9</v>
      </c>
      <c r="AA515" s="7">
        <v>10</v>
      </c>
      <c r="AB515" s="7">
        <v>4</v>
      </c>
      <c r="AC515" s="7">
        <v>16</v>
      </c>
      <c r="AD515" s="7">
        <v>4.5999999999999996</v>
      </c>
      <c r="AE515" s="7">
        <v>16.7</v>
      </c>
      <c r="AF515" s="7">
        <v>9.6999999999999993</v>
      </c>
      <c r="AG515" s="7">
        <v>4</v>
      </c>
      <c r="AH515" s="7">
        <v>55.9</v>
      </c>
      <c r="AI515" s="7">
        <v>56</v>
      </c>
      <c r="AJ515" s="7">
        <v>14.2</v>
      </c>
      <c r="AK515" s="7">
        <v>109.95</v>
      </c>
      <c r="AL515" s="7">
        <v>10.1</v>
      </c>
      <c r="AM515" s="7">
        <v>122</v>
      </c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1"/>
    </row>
    <row r="516" spans="1:64" ht="13">
      <c r="A516" s="6" t="s">
        <v>1071</v>
      </c>
      <c r="B516" s="6" t="s">
        <v>1072</v>
      </c>
      <c r="C516" s="31">
        <v>20</v>
      </c>
      <c r="D516" s="24">
        <v>7</v>
      </c>
      <c r="E516" s="24">
        <v>16</v>
      </c>
      <c r="F516" s="8">
        <v>40</v>
      </c>
      <c r="G516" s="9">
        <v>5</v>
      </c>
      <c r="H516" s="8">
        <v>0</v>
      </c>
      <c r="I516" s="8">
        <v>8</v>
      </c>
      <c r="J516" s="8">
        <v>8</v>
      </c>
      <c r="K516" s="8">
        <v>100</v>
      </c>
      <c r="L516" s="9">
        <v>3</v>
      </c>
      <c r="M516" s="9">
        <v>8</v>
      </c>
      <c r="N516" s="9">
        <v>10</v>
      </c>
      <c r="O516" s="8">
        <v>0</v>
      </c>
      <c r="P516" s="9">
        <v>3</v>
      </c>
      <c r="Q516" s="9">
        <v>3</v>
      </c>
      <c r="R516" s="9">
        <v>1</v>
      </c>
      <c r="S516" s="9">
        <v>3</v>
      </c>
      <c r="T516" s="8">
        <v>40</v>
      </c>
      <c r="U516" s="8">
        <v>0</v>
      </c>
      <c r="V516" s="8">
        <v>0</v>
      </c>
      <c r="W516" s="7">
        <v>-0.9</v>
      </c>
      <c r="X516" s="7">
        <v>79.2</v>
      </c>
      <c r="Y516" s="7">
        <v>98.6</v>
      </c>
      <c r="Z516" s="7">
        <v>-19.399999999999999</v>
      </c>
      <c r="AA516" s="7">
        <v>0</v>
      </c>
      <c r="AB516" s="7">
        <v>0</v>
      </c>
      <c r="AC516" s="7">
        <v>0</v>
      </c>
      <c r="AD516" s="7">
        <v>7.3</v>
      </c>
      <c r="AE516" s="7">
        <v>22.9</v>
      </c>
      <c r="AF516" s="7">
        <v>14.5</v>
      </c>
      <c r="AG516" s="7">
        <v>9.5</v>
      </c>
      <c r="AH516" s="7">
        <v>40</v>
      </c>
      <c r="AI516" s="7">
        <v>54</v>
      </c>
      <c r="AJ516" s="7">
        <v>23.9</v>
      </c>
      <c r="AK516" s="7">
        <v>107.87</v>
      </c>
      <c r="AL516" s="7">
        <v>20.2</v>
      </c>
      <c r="AM516" s="7">
        <v>72</v>
      </c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1"/>
    </row>
    <row r="517" spans="1:64" ht="13">
      <c r="A517" s="6" t="s">
        <v>1073</v>
      </c>
      <c r="B517" s="6" t="s">
        <v>1074</v>
      </c>
      <c r="C517" s="31">
        <v>18</v>
      </c>
      <c r="D517" s="24">
        <v>7</v>
      </c>
      <c r="E517" s="24">
        <v>23</v>
      </c>
      <c r="F517" s="8">
        <v>29.2</v>
      </c>
      <c r="G517" s="9">
        <v>13</v>
      </c>
      <c r="H517" s="8">
        <v>15.4</v>
      </c>
      <c r="I517" s="8">
        <v>3</v>
      </c>
      <c r="J517" s="8">
        <v>4</v>
      </c>
      <c r="K517" s="8">
        <v>50</v>
      </c>
      <c r="L517" s="9">
        <v>3</v>
      </c>
      <c r="M517" s="9">
        <v>9</v>
      </c>
      <c r="N517" s="9">
        <v>12</v>
      </c>
      <c r="O517" s="9">
        <v>7</v>
      </c>
      <c r="P517" s="9">
        <v>3</v>
      </c>
      <c r="Q517" s="9">
        <v>5</v>
      </c>
      <c r="R517" s="9">
        <v>1</v>
      </c>
      <c r="S517" s="9">
        <v>4</v>
      </c>
      <c r="T517" s="8">
        <v>57</v>
      </c>
      <c r="U517" s="8">
        <v>0</v>
      </c>
      <c r="V517" s="8">
        <v>0</v>
      </c>
      <c r="W517" s="7">
        <v>-0.8</v>
      </c>
      <c r="X517" s="7">
        <v>97.6</v>
      </c>
      <c r="Y517" s="7">
        <v>105.6</v>
      </c>
      <c r="Z517" s="7">
        <v>-7.9</v>
      </c>
      <c r="AA517" s="7">
        <v>16.7</v>
      </c>
      <c r="AB517" s="7">
        <v>3</v>
      </c>
      <c r="AC517" s="7">
        <v>17.600000000000001</v>
      </c>
      <c r="AD517" s="7">
        <v>5.0999999999999996</v>
      </c>
      <c r="AE517" s="7">
        <v>14.1</v>
      </c>
      <c r="AF517" s="7">
        <v>9.8000000000000007</v>
      </c>
      <c r="AG517" s="7">
        <v>5.9</v>
      </c>
      <c r="AH517" s="7">
        <v>33.299999999999997</v>
      </c>
      <c r="AI517" s="7">
        <v>34.9</v>
      </c>
      <c r="AJ517" s="7">
        <v>19.2</v>
      </c>
      <c r="AK517" s="7">
        <v>103.12</v>
      </c>
      <c r="AL517" s="7">
        <v>7</v>
      </c>
      <c r="AM517" s="7">
        <v>126</v>
      </c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1"/>
    </row>
    <row r="518" spans="1:64" ht="13">
      <c r="A518" s="6" t="s">
        <v>1075</v>
      </c>
      <c r="B518" s="6" t="s">
        <v>1076</v>
      </c>
      <c r="C518" s="31">
        <v>17</v>
      </c>
      <c r="D518" s="24">
        <v>6</v>
      </c>
      <c r="E518" s="24">
        <v>12</v>
      </c>
      <c r="F518" s="8">
        <v>50</v>
      </c>
      <c r="G518" s="9">
        <v>5</v>
      </c>
      <c r="H518" s="8">
        <v>20</v>
      </c>
      <c r="I518" s="8">
        <v>4</v>
      </c>
      <c r="J518" s="8">
        <v>6</v>
      </c>
      <c r="K518" s="8">
        <v>66.7</v>
      </c>
      <c r="L518" s="9">
        <v>1</v>
      </c>
      <c r="M518" s="9">
        <v>4</v>
      </c>
      <c r="N518" s="9">
        <v>5</v>
      </c>
      <c r="O518" s="9">
        <v>10</v>
      </c>
      <c r="P518" s="9">
        <v>8</v>
      </c>
      <c r="Q518" s="9">
        <v>4</v>
      </c>
      <c r="R518" s="9">
        <v>2</v>
      </c>
      <c r="S518" s="9">
        <v>2</v>
      </c>
      <c r="T518" s="8">
        <v>48</v>
      </c>
      <c r="U518" s="8">
        <v>0</v>
      </c>
      <c r="V518" s="8">
        <v>0</v>
      </c>
      <c r="W518" s="7">
        <v>0.4</v>
      </c>
      <c r="X518" s="7">
        <v>118.5</v>
      </c>
      <c r="Y518" s="7">
        <v>117.8</v>
      </c>
      <c r="Z518" s="7">
        <v>0.6</v>
      </c>
      <c r="AA518" s="7">
        <v>21.3</v>
      </c>
      <c r="AB518" s="7">
        <v>1.25</v>
      </c>
      <c r="AC518" s="7">
        <v>30.3</v>
      </c>
      <c r="AD518" s="7">
        <v>1.9</v>
      </c>
      <c r="AE518" s="7">
        <v>5.8</v>
      </c>
      <c r="AF518" s="7">
        <v>4.0999999999999996</v>
      </c>
      <c r="AG518" s="7">
        <v>24.2</v>
      </c>
      <c r="AH518" s="7">
        <v>54.2</v>
      </c>
      <c r="AI518" s="7">
        <v>58.1</v>
      </c>
      <c r="AJ518" s="7">
        <v>16.3</v>
      </c>
      <c r="AK518" s="7">
        <v>100.75</v>
      </c>
      <c r="AL518" s="7">
        <v>6.7</v>
      </c>
      <c r="AM518" s="7">
        <v>130</v>
      </c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1"/>
    </row>
    <row r="519" spans="1:64" ht="13">
      <c r="A519" s="6" t="s">
        <v>1077</v>
      </c>
      <c r="B519" s="6" t="s">
        <v>1078</v>
      </c>
      <c r="C519" s="31">
        <v>17</v>
      </c>
      <c r="D519" s="24">
        <v>8</v>
      </c>
      <c r="E519" s="24">
        <v>21</v>
      </c>
      <c r="F519" s="8">
        <v>38.1</v>
      </c>
      <c r="G519" s="9">
        <v>10</v>
      </c>
      <c r="H519" s="8">
        <v>20</v>
      </c>
      <c r="I519" s="8">
        <v>0</v>
      </c>
      <c r="J519" s="8">
        <v>2</v>
      </c>
      <c r="K519" s="8">
        <v>0</v>
      </c>
      <c r="L519" s="9">
        <v>6</v>
      </c>
      <c r="M519" s="9">
        <v>6</v>
      </c>
      <c r="N519" s="9">
        <v>10</v>
      </c>
      <c r="O519" s="9">
        <v>8</v>
      </c>
      <c r="P519" s="9">
        <v>6</v>
      </c>
      <c r="Q519" s="9">
        <v>6</v>
      </c>
      <c r="R519" s="9">
        <v>2</v>
      </c>
      <c r="S519" s="9">
        <v>11</v>
      </c>
      <c r="T519" s="8">
        <v>57</v>
      </c>
      <c r="U519" s="8">
        <v>0</v>
      </c>
      <c r="V519" s="8">
        <v>0</v>
      </c>
      <c r="W519" s="7">
        <v>-0.6</v>
      </c>
      <c r="X519" s="7">
        <v>95</v>
      </c>
      <c r="Y519" s="7">
        <v>101.9</v>
      </c>
      <c r="Z519" s="7">
        <v>-6.9</v>
      </c>
      <c r="AA519" s="7">
        <v>10.8</v>
      </c>
      <c r="AB519" s="7">
        <v>1.4</v>
      </c>
      <c r="AC519" s="7">
        <v>20.6</v>
      </c>
      <c r="AD519" s="7">
        <v>4.7</v>
      </c>
      <c r="AE519" s="7">
        <v>5.5</v>
      </c>
      <c r="AF519" s="7">
        <v>5.0999999999999996</v>
      </c>
      <c r="AG519" s="7">
        <v>14.7</v>
      </c>
      <c r="AH519" s="7">
        <v>42.9</v>
      </c>
      <c r="AI519" s="7">
        <v>41.1</v>
      </c>
      <c r="AJ519" s="7">
        <v>10.7</v>
      </c>
      <c r="AK519" s="7">
        <v>103.22</v>
      </c>
      <c r="AL519" s="7">
        <v>2</v>
      </c>
      <c r="AM519" s="7">
        <v>218</v>
      </c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1"/>
    </row>
    <row r="520" spans="1:64" ht="13">
      <c r="A520" s="6" t="s">
        <v>1079</v>
      </c>
      <c r="B520" s="6" t="s">
        <v>1080</v>
      </c>
      <c r="C520" s="31">
        <v>16</v>
      </c>
      <c r="D520" s="24">
        <v>5</v>
      </c>
      <c r="E520" s="24">
        <v>13</v>
      </c>
      <c r="F520" s="8">
        <v>38.5</v>
      </c>
      <c r="G520" s="9">
        <v>4</v>
      </c>
      <c r="H520" s="8">
        <v>25</v>
      </c>
      <c r="I520" s="8">
        <v>5</v>
      </c>
      <c r="J520" s="8">
        <v>6</v>
      </c>
      <c r="K520" s="8">
        <v>83.3</v>
      </c>
      <c r="L520" s="9">
        <v>3</v>
      </c>
      <c r="M520" s="9">
        <v>4</v>
      </c>
      <c r="N520" s="9">
        <v>7</v>
      </c>
      <c r="O520" s="9">
        <v>7</v>
      </c>
      <c r="P520" s="9">
        <v>4</v>
      </c>
      <c r="Q520" s="9">
        <v>3</v>
      </c>
      <c r="R520" s="8">
        <v>0</v>
      </c>
      <c r="S520" s="9">
        <v>4</v>
      </c>
      <c r="T520" s="8">
        <v>40</v>
      </c>
      <c r="U520" s="8">
        <v>0</v>
      </c>
      <c r="V520" s="8">
        <v>0</v>
      </c>
      <c r="W520" s="7">
        <v>0.3</v>
      </c>
      <c r="X520" s="7">
        <v>112.8</v>
      </c>
      <c r="Y520" s="7">
        <v>109.1</v>
      </c>
      <c r="Z520" s="7">
        <v>3.7</v>
      </c>
      <c r="AA520" s="7">
        <v>23.3</v>
      </c>
      <c r="AB520" s="7">
        <v>1.75</v>
      </c>
      <c r="AC520" s="7">
        <v>26.9</v>
      </c>
      <c r="AD520" s="7">
        <v>7.7</v>
      </c>
      <c r="AE520" s="7">
        <v>8</v>
      </c>
      <c r="AF520" s="7">
        <v>7.9</v>
      </c>
      <c r="AG520" s="7">
        <v>15.4</v>
      </c>
      <c r="AH520" s="7">
        <v>42.3</v>
      </c>
      <c r="AI520" s="7">
        <v>51.2</v>
      </c>
      <c r="AJ520" s="7">
        <v>19.600000000000001</v>
      </c>
      <c r="AK520" s="7">
        <v>95.6</v>
      </c>
      <c r="AL520" s="7">
        <v>8.4</v>
      </c>
      <c r="AM520" s="7">
        <v>86</v>
      </c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1"/>
    </row>
    <row r="521" spans="1:64" ht="13">
      <c r="A521" s="13" t="s">
        <v>1081</v>
      </c>
      <c r="B521" s="6" t="s">
        <v>1082</v>
      </c>
      <c r="C521" s="31">
        <v>16</v>
      </c>
      <c r="D521" s="24">
        <v>6</v>
      </c>
      <c r="E521" s="24">
        <v>14</v>
      </c>
      <c r="F521" s="8">
        <v>42.9</v>
      </c>
      <c r="G521" s="9">
        <v>6</v>
      </c>
      <c r="H521" s="8">
        <v>50</v>
      </c>
      <c r="I521" s="8">
        <v>1</v>
      </c>
      <c r="J521" s="8">
        <v>2</v>
      </c>
      <c r="K521" s="8">
        <v>50</v>
      </c>
      <c r="L521" s="9">
        <v>1</v>
      </c>
      <c r="M521" s="9">
        <v>4</v>
      </c>
      <c r="N521" s="9">
        <v>5</v>
      </c>
      <c r="O521" s="9">
        <v>4</v>
      </c>
      <c r="P521" s="9">
        <v>2</v>
      </c>
      <c r="Q521" s="9">
        <v>1</v>
      </c>
      <c r="R521" s="8">
        <v>0</v>
      </c>
      <c r="S521" s="9">
        <v>1</v>
      </c>
      <c r="T521" s="8">
        <v>29</v>
      </c>
      <c r="U521" s="8">
        <v>0</v>
      </c>
      <c r="V521" s="8">
        <v>0</v>
      </c>
      <c r="W521" s="7">
        <v>4.7</v>
      </c>
      <c r="X521" s="7">
        <v>128.4</v>
      </c>
      <c r="Y521" s="7">
        <v>91.8</v>
      </c>
      <c r="Z521" s="7">
        <v>36.6</v>
      </c>
      <c r="AA521" s="7">
        <v>13.3</v>
      </c>
      <c r="AB521" s="7">
        <v>2</v>
      </c>
      <c r="AC521" s="7">
        <v>19</v>
      </c>
      <c r="AD521" s="7">
        <v>3.2</v>
      </c>
      <c r="AE521" s="7">
        <v>10</v>
      </c>
      <c r="AF521" s="7">
        <v>7</v>
      </c>
      <c r="AG521" s="7">
        <v>9.5</v>
      </c>
      <c r="AH521" s="7">
        <v>53.6</v>
      </c>
      <c r="AI521" s="7">
        <v>53.8</v>
      </c>
      <c r="AJ521" s="7">
        <v>20.7</v>
      </c>
      <c r="AK521" s="7">
        <v>104.64</v>
      </c>
      <c r="AL521" s="7">
        <v>8.6999999999999993</v>
      </c>
      <c r="AM521" s="7">
        <v>74</v>
      </c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1"/>
    </row>
    <row r="522" spans="1:64" ht="13">
      <c r="A522" s="6" t="s">
        <v>1083</v>
      </c>
      <c r="B522" s="6" t="s">
        <v>1084</v>
      </c>
      <c r="C522" s="31">
        <v>15</v>
      </c>
      <c r="D522" s="24">
        <v>6</v>
      </c>
      <c r="E522" s="24">
        <v>10</v>
      </c>
      <c r="F522" s="8">
        <v>60</v>
      </c>
      <c r="G522" s="9">
        <v>5</v>
      </c>
      <c r="H522" s="8">
        <v>40</v>
      </c>
      <c r="I522" s="8">
        <v>1</v>
      </c>
      <c r="J522" s="8">
        <v>2</v>
      </c>
      <c r="K522" s="8">
        <v>50</v>
      </c>
      <c r="L522" s="9">
        <v>1</v>
      </c>
      <c r="M522" s="9">
        <v>6</v>
      </c>
      <c r="N522" s="9">
        <v>7</v>
      </c>
      <c r="O522" s="9">
        <v>7</v>
      </c>
      <c r="P522" s="9">
        <v>1</v>
      </c>
      <c r="Q522" s="9">
        <v>2</v>
      </c>
      <c r="R522" s="9">
        <v>1</v>
      </c>
      <c r="S522" s="9">
        <v>8</v>
      </c>
      <c r="T522" s="8">
        <v>42</v>
      </c>
      <c r="U522" s="8">
        <v>0</v>
      </c>
      <c r="V522" s="8">
        <v>0</v>
      </c>
      <c r="W522" s="7">
        <v>0</v>
      </c>
      <c r="X522" s="7">
        <v>121.4</v>
      </c>
      <c r="Y522" s="7">
        <v>117.2</v>
      </c>
      <c r="Z522" s="7">
        <v>4.2</v>
      </c>
      <c r="AA522" s="7">
        <v>21.2</v>
      </c>
      <c r="AB522" s="7">
        <v>7</v>
      </c>
      <c r="AC522" s="7">
        <v>36.799999999999997</v>
      </c>
      <c r="AD522" s="7">
        <v>2.4</v>
      </c>
      <c r="AE522" s="7">
        <v>18.2</v>
      </c>
      <c r="AF522" s="7">
        <v>9.5</v>
      </c>
      <c r="AG522" s="7">
        <v>5.3</v>
      </c>
      <c r="AH522" s="7">
        <v>70</v>
      </c>
      <c r="AI522" s="7">
        <v>68.900000000000006</v>
      </c>
      <c r="AJ522" s="7">
        <v>12.1</v>
      </c>
      <c r="AK522" s="7">
        <v>96.83</v>
      </c>
      <c r="AL522" s="7">
        <v>9.5</v>
      </c>
      <c r="AM522" s="7">
        <v>84</v>
      </c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1"/>
    </row>
    <row r="523" spans="1:64" ht="13">
      <c r="A523" s="6" t="s">
        <v>1085</v>
      </c>
      <c r="B523" s="6" t="s">
        <v>1086</v>
      </c>
      <c r="C523" s="31">
        <v>15</v>
      </c>
      <c r="D523" s="24">
        <v>4</v>
      </c>
      <c r="E523" s="24">
        <v>26</v>
      </c>
      <c r="F523" s="8">
        <v>19.2</v>
      </c>
      <c r="G523" s="9">
        <v>15</v>
      </c>
      <c r="H523" s="8">
        <v>20</v>
      </c>
      <c r="I523" s="8">
        <v>2</v>
      </c>
      <c r="J523" s="8">
        <v>4</v>
      </c>
      <c r="K523" s="8">
        <v>50</v>
      </c>
      <c r="L523" s="9">
        <v>4</v>
      </c>
      <c r="M523" s="9">
        <v>13</v>
      </c>
      <c r="N523" s="9">
        <v>18</v>
      </c>
      <c r="O523" s="9">
        <v>4</v>
      </c>
      <c r="P523" s="9">
        <v>2</v>
      </c>
      <c r="Q523" s="9">
        <v>2</v>
      </c>
      <c r="R523" s="9">
        <v>7</v>
      </c>
      <c r="S523" s="9">
        <v>9</v>
      </c>
      <c r="T523" s="8">
        <v>66</v>
      </c>
      <c r="U523" s="8">
        <v>0</v>
      </c>
      <c r="V523" s="8">
        <v>0</v>
      </c>
      <c r="W523" s="7">
        <v>-0.7</v>
      </c>
      <c r="X523" s="7">
        <v>85.6</v>
      </c>
      <c r="Y523" s="7">
        <v>95.8</v>
      </c>
      <c r="Z523" s="7">
        <v>-10.1</v>
      </c>
      <c r="AA523" s="7">
        <v>7.1</v>
      </c>
      <c r="AB523" s="7">
        <v>1.33</v>
      </c>
      <c r="AC523" s="7">
        <v>11.4</v>
      </c>
      <c r="AD523" s="7">
        <v>4.3</v>
      </c>
      <c r="AE523" s="7">
        <v>13.1</v>
      </c>
      <c r="AF523" s="7">
        <v>8.9</v>
      </c>
      <c r="AG523" s="7">
        <v>8.6</v>
      </c>
      <c r="AH523" s="7">
        <v>25</v>
      </c>
      <c r="AI523" s="7">
        <v>27</v>
      </c>
      <c r="AJ523" s="7">
        <v>13.7</v>
      </c>
      <c r="AK523" s="7">
        <v>107.72</v>
      </c>
      <c r="AL523" s="7">
        <v>2.2000000000000002</v>
      </c>
      <c r="AM523" s="7">
        <v>195</v>
      </c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1"/>
    </row>
    <row r="524" spans="1:64" ht="13">
      <c r="A524" s="6" t="s">
        <v>1087</v>
      </c>
      <c r="B524" s="6" t="s">
        <v>1088</v>
      </c>
      <c r="C524" s="31">
        <v>15</v>
      </c>
      <c r="D524" s="24">
        <v>6</v>
      </c>
      <c r="E524" s="24">
        <v>23</v>
      </c>
      <c r="F524" s="8">
        <v>26.1</v>
      </c>
      <c r="G524" s="9">
        <v>15</v>
      </c>
      <c r="H524" s="8">
        <v>20</v>
      </c>
      <c r="I524" s="8">
        <v>0</v>
      </c>
      <c r="J524" s="8">
        <v>0</v>
      </c>
      <c r="K524" s="8">
        <v>0</v>
      </c>
      <c r="L524" s="9">
        <v>2</v>
      </c>
      <c r="M524" s="9">
        <v>10</v>
      </c>
      <c r="N524" s="9">
        <v>11</v>
      </c>
      <c r="O524" s="9">
        <v>23</v>
      </c>
      <c r="P524" s="9">
        <v>10</v>
      </c>
      <c r="Q524" s="9">
        <v>2</v>
      </c>
      <c r="R524" s="8">
        <v>0</v>
      </c>
      <c r="S524" s="9">
        <v>11</v>
      </c>
      <c r="T524" s="8">
        <v>59</v>
      </c>
      <c r="U524" s="8">
        <v>0</v>
      </c>
      <c r="V524" s="8">
        <v>0</v>
      </c>
      <c r="W524" s="7">
        <v>0.1</v>
      </c>
      <c r="X524" s="7">
        <v>108.9</v>
      </c>
      <c r="Y524" s="7">
        <v>113.1</v>
      </c>
      <c r="Z524" s="7">
        <v>-4.2</v>
      </c>
      <c r="AA524" s="7">
        <v>26.1</v>
      </c>
      <c r="AB524" s="7">
        <v>2.56</v>
      </c>
      <c r="AC524" s="7">
        <v>41.8</v>
      </c>
      <c r="AD524" s="7">
        <v>1.7</v>
      </c>
      <c r="AE524" s="7">
        <v>8</v>
      </c>
      <c r="AF524" s="7">
        <v>4.8</v>
      </c>
      <c r="AG524" s="7">
        <v>16.399999999999999</v>
      </c>
      <c r="AH524" s="7">
        <v>32.6</v>
      </c>
      <c r="AI524" s="7">
        <v>32.6</v>
      </c>
      <c r="AJ524" s="7">
        <v>11.3</v>
      </c>
      <c r="AK524" s="7">
        <v>102.03</v>
      </c>
      <c r="AL524" s="7">
        <v>2.5</v>
      </c>
      <c r="AM524" s="7">
        <v>248</v>
      </c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1"/>
    </row>
    <row r="525" spans="1:64" ht="13">
      <c r="A525" s="6" t="s">
        <v>1089</v>
      </c>
      <c r="B525" s="6" t="s">
        <v>1090</v>
      </c>
      <c r="C525" s="31">
        <v>14</v>
      </c>
      <c r="D525" s="24">
        <v>6</v>
      </c>
      <c r="E525" s="24">
        <v>9</v>
      </c>
      <c r="F525" s="8">
        <v>66.7</v>
      </c>
      <c r="G525" s="8">
        <v>0</v>
      </c>
      <c r="H525" s="8">
        <v>0</v>
      </c>
      <c r="I525" s="8">
        <v>2</v>
      </c>
      <c r="J525" s="8">
        <v>3</v>
      </c>
      <c r="K525" s="8">
        <v>66.7</v>
      </c>
      <c r="L525" s="9">
        <v>4</v>
      </c>
      <c r="M525" s="9">
        <v>4</v>
      </c>
      <c r="N525" s="9">
        <v>8</v>
      </c>
      <c r="O525" s="8">
        <v>0</v>
      </c>
      <c r="P525" s="9">
        <v>2</v>
      </c>
      <c r="Q525" s="8">
        <v>0</v>
      </c>
      <c r="R525" s="8">
        <v>0</v>
      </c>
      <c r="S525" s="9">
        <v>3</v>
      </c>
      <c r="T525" s="8">
        <v>22</v>
      </c>
      <c r="U525" s="8">
        <v>0</v>
      </c>
      <c r="V525" s="8">
        <v>0</v>
      </c>
      <c r="W525" s="7">
        <v>7</v>
      </c>
      <c r="X525" s="7">
        <v>117.4</v>
      </c>
      <c r="Y525" s="7">
        <v>104.4</v>
      </c>
      <c r="Z525" s="7">
        <v>12.9</v>
      </c>
      <c r="AA525" s="7">
        <v>0</v>
      </c>
      <c r="AB525" s="7">
        <v>0</v>
      </c>
      <c r="AC525" s="7">
        <v>0</v>
      </c>
      <c r="AD525" s="7">
        <v>12.9</v>
      </c>
      <c r="AE525" s="7">
        <v>20</v>
      </c>
      <c r="AF525" s="7">
        <v>15.7</v>
      </c>
      <c r="AG525" s="7">
        <v>16.7</v>
      </c>
      <c r="AH525" s="7">
        <v>66.7</v>
      </c>
      <c r="AI525" s="7">
        <v>67.8</v>
      </c>
      <c r="AJ525" s="7">
        <v>20</v>
      </c>
      <c r="AK525" s="7">
        <v>97.72</v>
      </c>
      <c r="AL525" s="7">
        <v>14.9</v>
      </c>
      <c r="AM525" s="7">
        <v>46</v>
      </c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1"/>
    </row>
    <row r="526" spans="1:64" ht="13">
      <c r="A526" s="6" t="s">
        <v>1091</v>
      </c>
      <c r="B526" s="6" t="s">
        <v>1092</v>
      </c>
      <c r="C526" s="31">
        <v>14</v>
      </c>
      <c r="D526" s="24">
        <v>5</v>
      </c>
      <c r="E526" s="24">
        <v>17</v>
      </c>
      <c r="F526" s="8">
        <v>29.4</v>
      </c>
      <c r="G526" s="9">
        <v>13</v>
      </c>
      <c r="H526" s="8">
        <v>30.8</v>
      </c>
      <c r="I526" s="8">
        <v>0</v>
      </c>
      <c r="J526" s="8">
        <v>0</v>
      </c>
      <c r="K526" s="8">
        <v>0</v>
      </c>
      <c r="L526" s="9">
        <v>2</v>
      </c>
      <c r="M526" s="9">
        <v>3</v>
      </c>
      <c r="N526" s="9">
        <v>5</v>
      </c>
      <c r="O526" s="9">
        <v>1</v>
      </c>
      <c r="P526" s="9">
        <v>2</v>
      </c>
      <c r="Q526" s="8">
        <v>0</v>
      </c>
      <c r="R526" s="9">
        <v>2</v>
      </c>
      <c r="S526" s="9">
        <v>3</v>
      </c>
      <c r="T526" s="8">
        <v>25</v>
      </c>
      <c r="U526" s="8">
        <v>0</v>
      </c>
      <c r="V526" s="8">
        <v>0</v>
      </c>
      <c r="W526" s="7">
        <v>-1.1000000000000001</v>
      </c>
      <c r="X526" s="7">
        <v>84.7</v>
      </c>
      <c r="Y526" s="7">
        <v>93.9</v>
      </c>
      <c r="Z526" s="7">
        <v>-9.1999999999999993</v>
      </c>
      <c r="AA526" s="7">
        <v>3.8</v>
      </c>
      <c r="AB526" s="7">
        <v>0.5</v>
      </c>
      <c r="AC526" s="7">
        <v>5</v>
      </c>
      <c r="AD526" s="7">
        <v>3.9</v>
      </c>
      <c r="AE526" s="7">
        <v>5.6</v>
      </c>
      <c r="AF526" s="7">
        <v>4.8</v>
      </c>
      <c r="AG526" s="7">
        <v>10</v>
      </c>
      <c r="AH526" s="7">
        <v>41.2</v>
      </c>
      <c r="AI526" s="7">
        <v>41.2</v>
      </c>
      <c r="AJ526" s="7">
        <v>17.600000000000001</v>
      </c>
      <c r="AK526" s="7">
        <v>109.32</v>
      </c>
      <c r="AL526" s="7">
        <v>2</v>
      </c>
      <c r="AM526" s="7">
        <v>98</v>
      </c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1"/>
    </row>
    <row r="527" spans="1:64" ht="13">
      <c r="A527" s="6" t="s">
        <v>1093</v>
      </c>
      <c r="B527" s="6" t="s">
        <v>1094</v>
      </c>
      <c r="C527" s="31">
        <v>14</v>
      </c>
      <c r="D527" s="24">
        <v>6</v>
      </c>
      <c r="E527" s="24">
        <v>19</v>
      </c>
      <c r="F527" s="8">
        <v>31.6</v>
      </c>
      <c r="G527" s="9">
        <v>7</v>
      </c>
      <c r="H527" s="8">
        <v>0</v>
      </c>
      <c r="I527" s="8">
        <v>2</v>
      </c>
      <c r="J527" s="8">
        <v>7</v>
      </c>
      <c r="K527" s="8">
        <v>28.6</v>
      </c>
      <c r="L527" s="9">
        <v>2</v>
      </c>
      <c r="M527" s="9">
        <v>13</v>
      </c>
      <c r="N527" s="9">
        <v>15</v>
      </c>
      <c r="O527" s="9">
        <v>1</v>
      </c>
      <c r="P527" s="9">
        <v>3</v>
      </c>
      <c r="Q527" s="9">
        <v>4</v>
      </c>
      <c r="R527" s="9">
        <v>2</v>
      </c>
      <c r="S527" s="9">
        <v>6</v>
      </c>
      <c r="T527" s="8">
        <v>49</v>
      </c>
      <c r="U527" s="8">
        <v>0</v>
      </c>
      <c r="V527" s="8">
        <v>0</v>
      </c>
      <c r="W527" s="7">
        <v>-5.4</v>
      </c>
      <c r="X527" s="7">
        <v>81.900000000000006</v>
      </c>
      <c r="Y527" s="7">
        <v>119.3</v>
      </c>
      <c r="Z527" s="7">
        <v>-37.299999999999997</v>
      </c>
      <c r="AA527" s="7">
        <v>2.6</v>
      </c>
      <c r="AB527" s="7">
        <v>0.33</v>
      </c>
      <c r="AC527" s="7">
        <v>3.8</v>
      </c>
      <c r="AD527" s="7">
        <v>2.6</v>
      </c>
      <c r="AE527" s="7">
        <v>22.8</v>
      </c>
      <c r="AF527" s="7">
        <v>11.1</v>
      </c>
      <c r="AG527" s="7">
        <v>11.5</v>
      </c>
      <c r="AH527" s="7">
        <v>31.6</v>
      </c>
      <c r="AI527" s="7">
        <v>31.7</v>
      </c>
      <c r="AJ527" s="7">
        <v>15.3</v>
      </c>
      <c r="AK527" s="7">
        <v>102.24</v>
      </c>
      <c r="AL527" s="7">
        <v>2.7</v>
      </c>
      <c r="AM527" s="7">
        <v>144</v>
      </c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1"/>
    </row>
    <row r="528" spans="1:64" ht="13">
      <c r="A528" s="6" t="s">
        <v>1095</v>
      </c>
      <c r="B528" s="6" t="s">
        <v>1096</v>
      </c>
      <c r="C528" s="31">
        <v>14</v>
      </c>
      <c r="D528" s="24">
        <v>5</v>
      </c>
      <c r="E528" s="24">
        <v>11</v>
      </c>
      <c r="F528" s="8">
        <v>45.5</v>
      </c>
      <c r="G528" s="9">
        <v>5</v>
      </c>
      <c r="H528" s="8">
        <v>20</v>
      </c>
      <c r="I528" s="8">
        <v>2</v>
      </c>
      <c r="J528" s="8">
        <v>5</v>
      </c>
      <c r="K528" s="8">
        <v>50</v>
      </c>
      <c r="L528" s="9">
        <v>2</v>
      </c>
      <c r="M528" s="9">
        <v>8</v>
      </c>
      <c r="N528" s="9">
        <v>8</v>
      </c>
      <c r="O528" s="9">
        <v>2</v>
      </c>
      <c r="P528" s="9">
        <v>2</v>
      </c>
      <c r="Q528" s="9">
        <v>2</v>
      </c>
      <c r="R528" s="9">
        <v>2</v>
      </c>
      <c r="S528" s="9">
        <v>2</v>
      </c>
      <c r="T528" s="8">
        <v>32</v>
      </c>
      <c r="U528" s="8">
        <v>0</v>
      </c>
      <c r="V528" s="8">
        <v>0</v>
      </c>
      <c r="W528" s="7">
        <v>1.5</v>
      </c>
      <c r="X528" s="7">
        <v>112</v>
      </c>
      <c r="Y528" s="7">
        <v>92.7</v>
      </c>
      <c r="Z528" s="7">
        <v>19.3</v>
      </c>
      <c r="AA528" s="7">
        <v>2.9</v>
      </c>
      <c r="AB528" s="7">
        <v>1</v>
      </c>
      <c r="AC528" s="7">
        <v>6.7</v>
      </c>
      <c r="AD528" s="7">
        <v>2.2999999999999998</v>
      </c>
      <c r="AE528" s="7">
        <v>14.9</v>
      </c>
      <c r="AF528" s="7">
        <v>8.8000000000000007</v>
      </c>
      <c r="AG528" s="7">
        <v>6.7</v>
      </c>
      <c r="AH528" s="7">
        <v>50</v>
      </c>
      <c r="AI528" s="7">
        <v>50.9</v>
      </c>
      <c r="AJ528" s="7">
        <v>12.2</v>
      </c>
      <c r="AK528" s="7">
        <v>103.01</v>
      </c>
      <c r="AL528" s="7">
        <v>7</v>
      </c>
      <c r="AM528" s="7">
        <v>100</v>
      </c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1"/>
    </row>
    <row r="529" spans="1:64" ht="13">
      <c r="A529" s="6" t="s">
        <v>1097</v>
      </c>
      <c r="B529" s="6" t="s">
        <v>1098</v>
      </c>
      <c r="C529" s="31">
        <v>14</v>
      </c>
      <c r="D529" s="24">
        <v>4</v>
      </c>
      <c r="E529" s="24">
        <v>18</v>
      </c>
      <c r="F529" s="8">
        <v>22.2</v>
      </c>
      <c r="G529" s="9">
        <v>12</v>
      </c>
      <c r="H529" s="8">
        <v>25</v>
      </c>
      <c r="I529" s="8">
        <v>3</v>
      </c>
      <c r="J529" s="8">
        <v>4</v>
      </c>
      <c r="K529" s="8">
        <v>75</v>
      </c>
      <c r="L529" s="9">
        <v>5</v>
      </c>
      <c r="M529" s="9">
        <v>10</v>
      </c>
      <c r="N529" s="9">
        <v>15</v>
      </c>
      <c r="O529" s="9">
        <v>2</v>
      </c>
      <c r="P529" s="9">
        <v>2</v>
      </c>
      <c r="Q529" s="9">
        <v>5</v>
      </c>
      <c r="R529" s="9">
        <v>4</v>
      </c>
      <c r="S529" s="9">
        <v>8</v>
      </c>
      <c r="T529" s="8">
        <v>60</v>
      </c>
      <c r="U529" s="8">
        <v>0</v>
      </c>
      <c r="V529" s="8">
        <v>0</v>
      </c>
      <c r="W529" s="7">
        <v>-7.3</v>
      </c>
      <c r="X529" s="7">
        <v>95.7</v>
      </c>
      <c r="Y529" s="7">
        <v>109.2</v>
      </c>
      <c r="Z529" s="7">
        <v>-13.5</v>
      </c>
      <c r="AA529" s="7">
        <v>4</v>
      </c>
      <c r="AB529" s="7">
        <v>1</v>
      </c>
      <c r="AC529" s="7">
        <v>8.3000000000000007</v>
      </c>
      <c r="AD529" s="7">
        <v>5.4</v>
      </c>
      <c r="AE529" s="7">
        <v>11.5</v>
      </c>
      <c r="AF529" s="7">
        <v>8.3000000000000007</v>
      </c>
      <c r="AG529" s="7">
        <v>8.3000000000000007</v>
      </c>
      <c r="AH529" s="7">
        <v>30.6</v>
      </c>
      <c r="AI529" s="7">
        <v>35.4</v>
      </c>
      <c r="AJ529" s="7">
        <v>11.3</v>
      </c>
      <c r="AK529" s="7">
        <v>105</v>
      </c>
      <c r="AL529" s="7">
        <v>3.6</v>
      </c>
      <c r="AM529" s="7">
        <v>163</v>
      </c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1"/>
    </row>
    <row r="530" spans="1:64" ht="13">
      <c r="A530" s="6" t="s">
        <v>1099</v>
      </c>
      <c r="B530" s="6" t="s">
        <v>1100</v>
      </c>
      <c r="C530" s="31">
        <v>13</v>
      </c>
      <c r="D530" s="24">
        <v>4</v>
      </c>
      <c r="E530" s="24">
        <v>14</v>
      </c>
      <c r="F530" s="8">
        <v>28.6</v>
      </c>
      <c r="G530" s="9">
        <v>4</v>
      </c>
      <c r="H530" s="8">
        <v>0</v>
      </c>
      <c r="I530" s="8">
        <v>5</v>
      </c>
      <c r="J530" s="8">
        <v>7</v>
      </c>
      <c r="K530" s="8">
        <v>83.3</v>
      </c>
      <c r="L530" s="9">
        <v>3</v>
      </c>
      <c r="M530" s="9">
        <v>1</v>
      </c>
      <c r="N530" s="9">
        <v>3</v>
      </c>
      <c r="O530" s="9">
        <v>3</v>
      </c>
      <c r="P530" s="9">
        <v>4</v>
      </c>
      <c r="Q530" s="9">
        <v>1</v>
      </c>
      <c r="R530" s="8">
        <v>0</v>
      </c>
      <c r="S530" s="9">
        <v>3</v>
      </c>
      <c r="T530" s="8">
        <v>18</v>
      </c>
      <c r="U530" s="8">
        <v>0</v>
      </c>
      <c r="V530" s="8">
        <v>0</v>
      </c>
      <c r="W530" s="7">
        <v>-0.3</v>
      </c>
      <c r="X530" s="7">
        <v>89.9</v>
      </c>
      <c r="Y530" s="7">
        <v>97.1</v>
      </c>
      <c r="Z530" s="7">
        <v>-7.2</v>
      </c>
      <c r="AA530" s="7">
        <v>10.5</v>
      </c>
      <c r="AB530" s="7">
        <v>0.5</v>
      </c>
      <c r="AC530" s="7">
        <v>9.1</v>
      </c>
      <c r="AD530" s="7">
        <v>5.6</v>
      </c>
      <c r="AE530" s="7">
        <v>3.4</v>
      </c>
      <c r="AF530" s="7">
        <v>4.5999999999999996</v>
      </c>
      <c r="AG530" s="7">
        <v>18.2</v>
      </c>
      <c r="AH530" s="7">
        <v>28.6</v>
      </c>
      <c r="AI530" s="7">
        <v>39.1</v>
      </c>
      <c r="AJ530" s="7">
        <v>24.4</v>
      </c>
      <c r="AK530" s="7">
        <v>102.7</v>
      </c>
      <c r="AL530" s="7">
        <v>0</v>
      </c>
      <c r="AM530" s="7">
        <v>69</v>
      </c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1"/>
    </row>
    <row r="531" spans="1:64" ht="13">
      <c r="A531" s="6" t="s">
        <v>1101</v>
      </c>
      <c r="B531" s="6" t="s">
        <v>1102</v>
      </c>
      <c r="C531" s="31">
        <v>12</v>
      </c>
      <c r="D531" s="24">
        <v>5</v>
      </c>
      <c r="E531" s="24">
        <v>20</v>
      </c>
      <c r="F531" s="8">
        <v>25</v>
      </c>
      <c r="G531" s="9">
        <v>10</v>
      </c>
      <c r="H531" s="8">
        <v>0</v>
      </c>
      <c r="I531" s="8">
        <v>2</v>
      </c>
      <c r="J531" s="8">
        <v>2</v>
      </c>
      <c r="K531" s="8">
        <v>100</v>
      </c>
      <c r="L531" s="9">
        <v>8</v>
      </c>
      <c r="M531" s="9">
        <v>12</v>
      </c>
      <c r="N531" s="9">
        <v>20</v>
      </c>
      <c r="O531" s="9">
        <v>8</v>
      </c>
      <c r="P531" s="9">
        <v>8</v>
      </c>
      <c r="Q531" s="9">
        <v>1</v>
      </c>
      <c r="R531" s="9">
        <v>1</v>
      </c>
      <c r="S531" s="9">
        <v>6</v>
      </c>
      <c r="T531" s="8">
        <v>46</v>
      </c>
      <c r="U531" s="8">
        <v>0</v>
      </c>
      <c r="V531" s="8">
        <v>0</v>
      </c>
      <c r="W531" s="7">
        <v>-0.1</v>
      </c>
      <c r="X531" s="7">
        <v>109.1</v>
      </c>
      <c r="Y531" s="7">
        <v>109.7</v>
      </c>
      <c r="Z531" s="7">
        <v>-0.5</v>
      </c>
      <c r="AA531" s="7">
        <v>11.3</v>
      </c>
      <c r="AB531" s="7">
        <v>1</v>
      </c>
      <c r="AC531" s="7">
        <v>21.6</v>
      </c>
      <c r="AD531" s="7">
        <v>8.4</v>
      </c>
      <c r="AE531" s="7">
        <v>10.8</v>
      </c>
      <c r="AF531" s="7">
        <v>9.6999999999999993</v>
      </c>
      <c r="AG531" s="7">
        <v>21.6</v>
      </c>
      <c r="AH531" s="7">
        <v>25</v>
      </c>
      <c r="AI531" s="7">
        <v>28.7</v>
      </c>
      <c r="AJ531" s="7">
        <v>13.2</v>
      </c>
      <c r="AK531" s="7">
        <v>101.62</v>
      </c>
      <c r="AL531" s="7">
        <v>2.2000000000000002</v>
      </c>
      <c r="AM531" s="7">
        <v>186</v>
      </c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1"/>
    </row>
    <row r="532" spans="1:64" ht="13">
      <c r="A532" s="6" t="s">
        <v>1103</v>
      </c>
      <c r="B532" s="6" t="s">
        <v>1104</v>
      </c>
      <c r="C532" s="31">
        <v>11</v>
      </c>
      <c r="D532" s="24">
        <v>4</v>
      </c>
      <c r="E532" s="24">
        <v>5</v>
      </c>
      <c r="F532" s="8">
        <v>80</v>
      </c>
      <c r="G532" s="9">
        <v>2</v>
      </c>
      <c r="H532" s="8">
        <v>50</v>
      </c>
      <c r="I532" s="8">
        <v>2</v>
      </c>
      <c r="J532" s="8">
        <v>2</v>
      </c>
      <c r="K532" s="8">
        <v>100</v>
      </c>
      <c r="L532" s="9">
        <v>1</v>
      </c>
      <c r="M532" s="9">
        <v>2</v>
      </c>
      <c r="N532" s="9">
        <v>3</v>
      </c>
      <c r="O532" s="9">
        <v>6</v>
      </c>
      <c r="P532" s="9">
        <v>1</v>
      </c>
      <c r="Q532" s="8">
        <v>0</v>
      </c>
      <c r="R532" s="8">
        <v>0</v>
      </c>
      <c r="S532" s="9">
        <v>2</v>
      </c>
      <c r="T532" s="8">
        <v>23</v>
      </c>
      <c r="U532" s="8">
        <v>0</v>
      </c>
      <c r="V532" s="8">
        <v>0</v>
      </c>
      <c r="W532" s="7">
        <v>-1.2</v>
      </c>
      <c r="X532" s="7">
        <v>110</v>
      </c>
      <c r="Y532" s="7">
        <v>123.5</v>
      </c>
      <c r="Z532" s="7">
        <v>-13.5</v>
      </c>
      <c r="AA532" s="7">
        <v>23.1</v>
      </c>
      <c r="AB532" s="7">
        <v>6</v>
      </c>
      <c r="AC532" s="7">
        <v>46.2</v>
      </c>
      <c r="AD532" s="7">
        <v>4.2</v>
      </c>
      <c r="AE532" s="7">
        <v>5.9</v>
      </c>
      <c r="AF532" s="7">
        <v>5.2</v>
      </c>
      <c r="AG532" s="7">
        <v>7.7</v>
      </c>
      <c r="AH532" s="7">
        <v>90</v>
      </c>
      <c r="AI532" s="7">
        <v>93.5</v>
      </c>
      <c r="AJ532" s="7">
        <v>9.1999999999999993</v>
      </c>
      <c r="AK532" s="7">
        <v>111.64</v>
      </c>
      <c r="AL532" s="7">
        <v>10</v>
      </c>
      <c r="AM532" s="7">
        <v>70</v>
      </c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1"/>
    </row>
    <row r="533" spans="1:64" ht="13">
      <c r="A533" s="6" t="s">
        <v>1105</v>
      </c>
      <c r="B533" s="6" t="s">
        <v>1106</v>
      </c>
      <c r="C533" s="31">
        <v>11</v>
      </c>
      <c r="D533" s="24">
        <v>4</v>
      </c>
      <c r="E533" s="24">
        <v>11</v>
      </c>
      <c r="F533" s="8">
        <v>36.4</v>
      </c>
      <c r="G533" s="9">
        <v>2</v>
      </c>
      <c r="H533" s="8">
        <v>0</v>
      </c>
      <c r="I533" s="8">
        <v>3</v>
      </c>
      <c r="J533" s="8">
        <v>3</v>
      </c>
      <c r="K533" s="8">
        <v>100</v>
      </c>
      <c r="L533" s="9">
        <v>1</v>
      </c>
      <c r="M533" s="9">
        <v>3</v>
      </c>
      <c r="N533" s="9">
        <v>4</v>
      </c>
      <c r="O533" s="8">
        <v>0</v>
      </c>
      <c r="P533" s="9">
        <v>1</v>
      </c>
      <c r="Q533" s="8">
        <v>0</v>
      </c>
      <c r="R533" s="8">
        <v>0</v>
      </c>
      <c r="S533" s="9">
        <v>4</v>
      </c>
      <c r="T533" s="8">
        <v>15</v>
      </c>
      <c r="U533" s="8">
        <v>0</v>
      </c>
      <c r="V533" s="8">
        <v>0</v>
      </c>
      <c r="W533" s="7">
        <v>-1</v>
      </c>
      <c r="X533" s="7">
        <v>88.5</v>
      </c>
      <c r="Y533" s="7">
        <v>101.7</v>
      </c>
      <c r="Z533" s="7">
        <v>-13.2</v>
      </c>
      <c r="AA533" s="7">
        <v>0</v>
      </c>
      <c r="AB533" s="7">
        <v>0</v>
      </c>
      <c r="AC533" s="7">
        <v>0</v>
      </c>
      <c r="AD533" s="7">
        <v>4.2</v>
      </c>
      <c r="AE533" s="7">
        <v>9.6999999999999993</v>
      </c>
      <c r="AF533" s="7">
        <v>7.3</v>
      </c>
      <c r="AG533" s="7">
        <v>7.7</v>
      </c>
      <c r="AH533" s="7">
        <v>36.4</v>
      </c>
      <c r="AI533" s="7">
        <v>44.6</v>
      </c>
      <c r="AJ533" s="7">
        <v>19.399999999999999</v>
      </c>
      <c r="AK533" s="7">
        <v>108.62</v>
      </c>
      <c r="AL533" s="7">
        <v>2.9</v>
      </c>
      <c r="AM533" s="7">
        <v>61</v>
      </c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1"/>
    </row>
    <row r="534" spans="1:64" ht="13">
      <c r="A534" s="6" t="s">
        <v>1107</v>
      </c>
      <c r="B534" s="6" t="s">
        <v>1108</v>
      </c>
      <c r="C534" s="31">
        <v>10</v>
      </c>
      <c r="D534" s="24">
        <v>4</v>
      </c>
      <c r="E534" s="24">
        <v>8</v>
      </c>
      <c r="F534" s="8">
        <v>50</v>
      </c>
      <c r="G534" s="9">
        <v>1</v>
      </c>
      <c r="H534" s="8">
        <v>0</v>
      </c>
      <c r="I534" s="8">
        <v>2</v>
      </c>
      <c r="J534" s="8">
        <v>2</v>
      </c>
      <c r="K534" s="8">
        <v>100</v>
      </c>
      <c r="L534" s="9">
        <v>4</v>
      </c>
      <c r="M534" s="9">
        <v>4</v>
      </c>
      <c r="N534" s="9">
        <v>8</v>
      </c>
      <c r="O534" s="9">
        <v>2</v>
      </c>
      <c r="P534" s="8">
        <v>0</v>
      </c>
      <c r="Q534" s="9">
        <v>1</v>
      </c>
      <c r="R534" s="8">
        <v>0</v>
      </c>
      <c r="S534" s="9">
        <v>3</v>
      </c>
      <c r="T534" s="8">
        <v>26</v>
      </c>
      <c r="U534" s="8">
        <v>0</v>
      </c>
      <c r="V534" s="8">
        <v>0</v>
      </c>
      <c r="W534" s="7">
        <v>-1.3</v>
      </c>
      <c r="X534" s="7">
        <v>120.4</v>
      </c>
      <c r="Y534" s="7">
        <v>130.4</v>
      </c>
      <c r="Z534" s="7">
        <v>-10</v>
      </c>
      <c r="AA534" s="7">
        <v>10.5</v>
      </c>
      <c r="AB534" s="7">
        <v>0</v>
      </c>
      <c r="AC534" s="7">
        <v>18.2</v>
      </c>
      <c r="AD534" s="7">
        <v>16.7</v>
      </c>
      <c r="AE534" s="7">
        <v>13.8</v>
      </c>
      <c r="AF534" s="7">
        <v>15.1</v>
      </c>
      <c r="AG534" s="7">
        <v>0</v>
      </c>
      <c r="AH534" s="7">
        <v>50</v>
      </c>
      <c r="AI534" s="7">
        <v>56.3</v>
      </c>
      <c r="AJ534" s="7">
        <v>14.3</v>
      </c>
      <c r="AK534" s="7">
        <v>106.74</v>
      </c>
      <c r="AL534" s="7">
        <v>9.1999999999999993</v>
      </c>
      <c r="AM534" s="7">
        <v>54</v>
      </c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1"/>
    </row>
    <row r="535" spans="1:64" ht="13">
      <c r="A535" s="6" t="s">
        <v>1109</v>
      </c>
      <c r="B535" s="6" t="s">
        <v>1110</v>
      </c>
      <c r="C535" s="31">
        <v>9</v>
      </c>
      <c r="D535" s="24">
        <v>3</v>
      </c>
      <c r="E535" s="24">
        <v>8</v>
      </c>
      <c r="F535" s="8">
        <v>25</v>
      </c>
      <c r="G535" s="9">
        <v>3</v>
      </c>
      <c r="H535" s="8">
        <v>0</v>
      </c>
      <c r="I535" s="8">
        <v>5</v>
      </c>
      <c r="J535" s="8">
        <v>10</v>
      </c>
      <c r="K535" s="8">
        <v>50</v>
      </c>
      <c r="L535" s="9">
        <v>7</v>
      </c>
      <c r="M535" s="9">
        <v>5</v>
      </c>
      <c r="N535" s="9">
        <v>12</v>
      </c>
      <c r="O535" s="9">
        <v>3</v>
      </c>
      <c r="P535" s="9">
        <v>7</v>
      </c>
      <c r="Q535" s="9">
        <v>3</v>
      </c>
      <c r="R535" s="9">
        <v>3</v>
      </c>
      <c r="S535" s="9">
        <v>9</v>
      </c>
      <c r="T535" s="8">
        <v>33</v>
      </c>
      <c r="U535" s="8">
        <v>0</v>
      </c>
      <c r="V535" s="8">
        <v>0</v>
      </c>
      <c r="W535" s="7">
        <v>-0.4</v>
      </c>
      <c r="X535" s="7">
        <v>80.3</v>
      </c>
      <c r="Y535" s="7">
        <v>85.6</v>
      </c>
      <c r="Z535" s="7">
        <v>-5.3</v>
      </c>
      <c r="AA535" s="7">
        <v>5.6</v>
      </c>
      <c r="AB535" s="7">
        <v>0.33</v>
      </c>
      <c r="AC535" s="7">
        <v>9.5</v>
      </c>
      <c r="AD535" s="7">
        <v>11.1</v>
      </c>
      <c r="AE535" s="7">
        <v>8.5</v>
      </c>
      <c r="AF535" s="7">
        <v>9.8000000000000007</v>
      </c>
      <c r="AG535" s="7">
        <v>28.6</v>
      </c>
      <c r="AH535" s="7">
        <v>25</v>
      </c>
      <c r="AI535" s="7">
        <v>36.299999999999997</v>
      </c>
      <c r="AJ535" s="7">
        <v>12.8</v>
      </c>
      <c r="AK535" s="7">
        <v>106.17</v>
      </c>
      <c r="AL535" s="7">
        <v>-2.5</v>
      </c>
      <c r="AM535" s="7">
        <v>127</v>
      </c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1"/>
    </row>
    <row r="536" spans="1:64" ht="13">
      <c r="A536" s="13" t="s">
        <v>1111</v>
      </c>
      <c r="B536" s="6" t="s">
        <v>1112</v>
      </c>
      <c r="C536" s="31">
        <v>9</v>
      </c>
      <c r="D536" s="24">
        <v>3</v>
      </c>
      <c r="E536" s="24">
        <v>7</v>
      </c>
      <c r="F536" s="8">
        <v>42.9</v>
      </c>
      <c r="G536" s="9">
        <v>6</v>
      </c>
      <c r="H536" s="8">
        <v>50</v>
      </c>
      <c r="I536" s="8">
        <v>0</v>
      </c>
      <c r="J536" s="8">
        <v>0</v>
      </c>
      <c r="K536" s="8">
        <v>0</v>
      </c>
      <c r="L536" s="9">
        <v>4</v>
      </c>
      <c r="M536" s="9">
        <v>4</v>
      </c>
      <c r="N536" s="9">
        <v>8</v>
      </c>
      <c r="O536" s="8">
        <v>0</v>
      </c>
      <c r="P536" s="9">
        <v>1</v>
      </c>
      <c r="Q536" s="9">
        <v>1</v>
      </c>
      <c r="R536" s="9">
        <v>1</v>
      </c>
      <c r="S536" s="9">
        <v>8</v>
      </c>
      <c r="T536" s="8">
        <v>24</v>
      </c>
      <c r="U536" s="8">
        <v>0</v>
      </c>
      <c r="V536" s="8">
        <v>0</v>
      </c>
      <c r="W536" s="7">
        <v>-7.3</v>
      </c>
      <c r="X536" s="7">
        <v>106.1</v>
      </c>
      <c r="Y536" s="7">
        <v>127.4</v>
      </c>
      <c r="Z536" s="7">
        <v>-21.3</v>
      </c>
      <c r="AA536" s="7">
        <v>0</v>
      </c>
      <c r="AB536" s="7">
        <v>0</v>
      </c>
      <c r="AC536" s="7">
        <v>0</v>
      </c>
      <c r="AD536" s="7">
        <v>6.2</v>
      </c>
      <c r="AE536" s="7">
        <v>10.3</v>
      </c>
      <c r="AF536" s="7">
        <v>7.7</v>
      </c>
      <c r="AG536" s="7">
        <v>12.5</v>
      </c>
      <c r="AH536" s="7">
        <v>64.3</v>
      </c>
      <c r="AI536" s="7">
        <v>64.3</v>
      </c>
      <c r="AJ536" s="7">
        <v>5.9</v>
      </c>
      <c r="AK536" s="7">
        <v>94.56</v>
      </c>
      <c r="AL536" s="7">
        <v>1.5</v>
      </c>
      <c r="AM536" s="7">
        <v>115</v>
      </c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1"/>
    </row>
    <row r="537" spans="1:64" ht="13">
      <c r="A537" s="6" t="s">
        <v>1113</v>
      </c>
      <c r="B537" s="6" t="s">
        <v>1114</v>
      </c>
      <c r="C537" s="31">
        <v>9</v>
      </c>
      <c r="D537" s="24">
        <v>2</v>
      </c>
      <c r="E537" s="24">
        <v>7</v>
      </c>
      <c r="F537" s="8">
        <v>28.6</v>
      </c>
      <c r="G537" s="9">
        <v>7</v>
      </c>
      <c r="H537" s="8">
        <v>28.6</v>
      </c>
      <c r="I537" s="8">
        <v>3</v>
      </c>
      <c r="J537" s="8">
        <v>4</v>
      </c>
      <c r="K537" s="8">
        <v>75</v>
      </c>
      <c r="L537" s="8">
        <v>0</v>
      </c>
      <c r="M537" s="9">
        <v>4</v>
      </c>
      <c r="N537" s="9">
        <v>4</v>
      </c>
      <c r="O537" s="8">
        <v>0</v>
      </c>
      <c r="P537" s="9">
        <v>4</v>
      </c>
      <c r="Q537" s="8">
        <v>0</v>
      </c>
      <c r="R537" s="8">
        <v>0</v>
      </c>
      <c r="S537" s="8">
        <v>0</v>
      </c>
      <c r="T537" s="8">
        <v>10</v>
      </c>
      <c r="U537" s="8">
        <v>0</v>
      </c>
      <c r="V537" s="8">
        <v>0</v>
      </c>
      <c r="W537" s="7">
        <v>0.9</v>
      </c>
      <c r="X537" s="7">
        <v>98.4</v>
      </c>
      <c r="Y537" s="7">
        <v>88.7</v>
      </c>
      <c r="Z537" s="7">
        <v>9.6999999999999993</v>
      </c>
      <c r="AA537" s="7">
        <v>0</v>
      </c>
      <c r="AB537" s="7">
        <v>0</v>
      </c>
      <c r="AC537" s="7">
        <v>0</v>
      </c>
      <c r="AD537" s="7">
        <v>0</v>
      </c>
      <c r="AE537" s="7">
        <v>12.1</v>
      </c>
      <c r="AF537" s="7">
        <v>6.2</v>
      </c>
      <c r="AG537" s="7">
        <v>30.8</v>
      </c>
      <c r="AH537" s="7">
        <v>42.9</v>
      </c>
      <c r="AI537" s="7">
        <v>51.4</v>
      </c>
      <c r="AJ537" s="7">
        <v>19.7</v>
      </c>
      <c r="AK537" s="7">
        <v>98.77</v>
      </c>
      <c r="AL537" s="7">
        <v>2.6</v>
      </c>
      <c r="AM537" s="7">
        <v>63</v>
      </c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1"/>
    </row>
    <row r="538" spans="1:64" ht="13">
      <c r="A538" s="6" t="s">
        <v>1115</v>
      </c>
      <c r="B538" s="6" t="s">
        <v>1116</v>
      </c>
      <c r="C538" s="31">
        <v>8</v>
      </c>
      <c r="D538" s="24">
        <v>4</v>
      </c>
      <c r="E538" s="24">
        <v>7</v>
      </c>
      <c r="F538" s="8">
        <v>57.1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9">
        <v>5</v>
      </c>
      <c r="M538" s="9">
        <v>1</v>
      </c>
      <c r="N538" s="9">
        <v>6</v>
      </c>
      <c r="O538" s="9">
        <v>1</v>
      </c>
      <c r="P538" s="9">
        <v>1</v>
      </c>
      <c r="Q538" s="8">
        <v>0</v>
      </c>
      <c r="R538" s="8">
        <v>0</v>
      </c>
      <c r="S538" s="9">
        <v>1</v>
      </c>
      <c r="T538" s="8">
        <v>16</v>
      </c>
      <c r="U538" s="8">
        <v>0</v>
      </c>
      <c r="V538" s="8">
        <v>0</v>
      </c>
      <c r="W538" s="7">
        <v>-1.3</v>
      </c>
      <c r="X538" s="7">
        <v>104.2</v>
      </c>
      <c r="Y538" s="7">
        <v>122.2</v>
      </c>
      <c r="Z538" s="7">
        <v>-18.100000000000001</v>
      </c>
      <c r="AA538" s="7">
        <v>6.7</v>
      </c>
      <c r="AB538" s="7">
        <v>1</v>
      </c>
      <c r="AC538" s="7">
        <v>11.1</v>
      </c>
      <c r="AD538" s="7">
        <v>21.7</v>
      </c>
      <c r="AE538" s="7">
        <v>5.3</v>
      </c>
      <c r="AF538" s="7">
        <v>14.3</v>
      </c>
      <c r="AG538" s="7">
        <v>11.1</v>
      </c>
      <c r="AH538" s="7">
        <v>57.1</v>
      </c>
      <c r="AI538" s="7">
        <v>57.1</v>
      </c>
      <c r="AJ538" s="7">
        <v>14.5</v>
      </c>
      <c r="AK538" s="7">
        <v>103.82</v>
      </c>
      <c r="AL538" s="7">
        <v>7.8</v>
      </c>
      <c r="AM538" s="7">
        <v>48</v>
      </c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1"/>
    </row>
    <row r="539" spans="1:64" ht="13">
      <c r="A539" s="6" t="s">
        <v>1117</v>
      </c>
      <c r="B539" s="6" t="s">
        <v>1118</v>
      </c>
      <c r="C539" s="31">
        <v>8</v>
      </c>
      <c r="D539" s="24">
        <v>4</v>
      </c>
      <c r="E539" s="24">
        <v>11</v>
      </c>
      <c r="F539" s="8">
        <v>36.4</v>
      </c>
      <c r="G539" s="9">
        <v>4</v>
      </c>
      <c r="H539" s="8">
        <v>0</v>
      </c>
      <c r="I539" s="8">
        <v>0</v>
      </c>
      <c r="J539" s="8">
        <v>1</v>
      </c>
      <c r="K539" s="8">
        <v>0</v>
      </c>
      <c r="L539" s="8">
        <v>0</v>
      </c>
      <c r="M539" s="9">
        <v>6</v>
      </c>
      <c r="N539" s="9">
        <v>6</v>
      </c>
      <c r="O539" s="9">
        <v>4</v>
      </c>
      <c r="P539" s="9">
        <v>4</v>
      </c>
      <c r="Q539" s="8">
        <v>0</v>
      </c>
      <c r="R539" s="9">
        <v>2</v>
      </c>
      <c r="S539" s="9">
        <v>5</v>
      </c>
      <c r="T539" s="8">
        <v>23</v>
      </c>
      <c r="U539" s="8">
        <v>0</v>
      </c>
      <c r="V539" s="8">
        <v>0</v>
      </c>
      <c r="W539" s="7">
        <v>-0.8</v>
      </c>
      <c r="X539" s="7">
        <v>97.4</v>
      </c>
      <c r="Y539" s="7">
        <v>110.5</v>
      </c>
      <c r="Z539" s="7">
        <v>-13.1</v>
      </c>
      <c r="AA539" s="7">
        <v>16</v>
      </c>
      <c r="AB539" s="7">
        <v>1</v>
      </c>
      <c r="AC539" s="7">
        <v>21.1</v>
      </c>
      <c r="AD539" s="7">
        <v>0</v>
      </c>
      <c r="AE539" s="7">
        <v>17.600000000000001</v>
      </c>
      <c r="AF539" s="7">
        <v>8.6999999999999993</v>
      </c>
      <c r="AG539" s="7">
        <v>21.1</v>
      </c>
      <c r="AH539" s="7">
        <v>36.4</v>
      </c>
      <c r="AI539" s="7">
        <v>35</v>
      </c>
      <c r="AJ539" s="7">
        <v>16.5</v>
      </c>
      <c r="AK539" s="7">
        <v>100.28</v>
      </c>
      <c r="AL539" s="7">
        <v>1.5</v>
      </c>
      <c r="AM539" s="7">
        <v>77</v>
      </c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1"/>
    </row>
    <row r="540" spans="1:64" ht="13">
      <c r="A540" s="6" t="s">
        <v>1119</v>
      </c>
      <c r="B540" s="6" t="s">
        <v>1120</v>
      </c>
      <c r="C540" s="31">
        <v>8</v>
      </c>
      <c r="D540" s="24">
        <v>4</v>
      </c>
      <c r="E540" s="24">
        <v>9</v>
      </c>
      <c r="F540" s="8">
        <v>44.4</v>
      </c>
      <c r="G540" s="9">
        <v>1</v>
      </c>
      <c r="H540" s="8">
        <v>0</v>
      </c>
      <c r="I540" s="8">
        <v>0</v>
      </c>
      <c r="J540" s="8">
        <v>0</v>
      </c>
      <c r="K540" s="8">
        <v>0</v>
      </c>
      <c r="L540" s="9">
        <v>1</v>
      </c>
      <c r="M540" s="9">
        <v>2</v>
      </c>
      <c r="N540" s="9">
        <v>3</v>
      </c>
      <c r="O540" s="9">
        <v>2</v>
      </c>
      <c r="P540" s="9">
        <v>2</v>
      </c>
      <c r="Q540" s="9">
        <v>1</v>
      </c>
      <c r="R540" s="8">
        <v>0</v>
      </c>
      <c r="S540" s="9">
        <v>3</v>
      </c>
      <c r="T540" s="8">
        <v>15</v>
      </c>
      <c r="U540" s="8">
        <v>0</v>
      </c>
      <c r="V540" s="8">
        <v>0</v>
      </c>
      <c r="W540" s="7">
        <v>-1</v>
      </c>
      <c r="X540" s="7">
        <v>103.9</v>
      </c>
      <c r="Y540" s="7">
        <v>119.2</v>
      </c>
      <c r="Z540" s="7">
        <v>-15.3</v>
      </c>
      <c r="AA540" s="7">
        <v>12.5</v>
      </c>
      <c r="AB540" s="7">
        <v>1</v>
      </c>
      <c r="AC540" s="7">
        <v>15.4</v>
      </c>
      <c r="AD540" s="7">
        <v>5</v>
      </c>
      <c r="AE540" s="7">
        <v>11.8</v>
      </c>
      <c r="AF540" s="7">
        <v>8.1</v>
      </c>
      <c r="AG540" s="7">
        <v>15.4</v>
      </c>
      <c r="AH540" s="7">
        <v>44.4</v>
      </c>
      <c r="AI540" s="7">
        <v>44.4</v>
      </c>
      <c r="AJ540" s="7">
        <v>19.3</v>
      </c>
      <c r="AK540" s="7">
        <v>111.52</v>
      </c>
      <c r="AL540" s="7">
        <v>3.3</v>
      </c>
      <c r="AM540" s="7">
        <v>51</v>
      </c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1"/>
    </row>
    <row r="541" spans="1:64" ht="13">
      <c r="A541" s="6" t="s">
        <v>1121</v>
      </c>
      <c r="B541" s="6" t="s">
        <v>1122</v>
      </c>
      <c r="C541" s="31">
        <v>8</v>
      </c>
      <c r="D541" s="24">
        <v>3</v>
      </c>
      <c r="E541" s="24">
        <v>21</v>
      </c>
      <c r="F541" s="8">
        <v>14.3</v>
      </c>
      <c r="G541" s="9">
        <v>10</v>
      </c>
      <c r="H541" s="8">
        <v>0</v>
      </c>
      <c r="I541" s="8">
        <v>2</v>
      </c>
      <c r="J541" s="8">
        <v>2</v>
      </c>
      <c r="K541" s="8">
        <v>100</v>
      </c>
      <c r="L541" s="9">
        <v>2</v>
      </c>
      <c r="M541" s="9">
        <v>6</v>
      </c>
      <c r="N541" s="9">
        <v>8</v>
      </c>
      <c r="O541" s="9">
        <v>2</v>
      </c>
      <c r="P541" s="9">
        <v>1</v>
      </c>
      <c r="Q541" s="9">
        <v>1</v>
      </c>
      <c r="R541" s="9">
        <v>2</v>
      </c>
      <c r="S541" s="9">
        <v>1</v>
      </c>
      <c r="T541" s="8">
        <v>29</v>
      </c>
      <c r="U541" s="8">
        <v>0</v>
      </c>
      <c r="V541" s="8">
        <v>0</v>
      </c>
      <c r="W541" s="7">
        <v>2.6</v>
      </c>
      <c r="X541" s="7">
        <v>110</v>
      </c>
      <c r="Y541" s="7">
        <v>96.6</v>
      </c>
      <c r="Z541" s="7">
        <v>13.4</v>
      </c>
      <c r="AA541" s="7">
        <v>6.5</v>
      </c>
      <c r="AB541" s="7">
        <v>2</v>
      </c>
      <c r="AC541" s="7">
        <v>8</v>
      </c>
      <c r="AD541" s="7">
        <v>3.6</v>
      </c>
      <c r="AE541" s="7">
        <v>12.5</v>
      </c>
      <c r="AF541" s="7">
        <v>7.7</v>
      </c>
      <c r="AG541" s="7">
        <v>4</v>
      </c>
      <c r="AH541" s="7">
        <v>14.3</v>
      </c>
      <c r="AI541" s="7">
        <v>18.3</v>
      </c>
      <c r="AJ541" s="7">
        <v>22.1</v>
      </c>
      <c r="AK541" s="7">
        <v>96.76</v>
      </c>
      <c r="AL541" s="7">
        <v>-0.5</v>
      </c>
      <c r="AM541" s="7">
        <v>90</v>
      </c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1"/>
    </row>
    <row r="542" spans="1:64" ht="13">
      <c r="A542" s="6" t="s">
        <v>1123</v>
      </c>
      <c r="B542" s="6" t="s">
        <v>1124</v>
      </c>
      <c r="C542" s="31">
        <v>7</v>
      </c>
      <c r="D542" s="24">
        <v>2</v>
      </c>
      <c r="E542" s="24">
        <v>9</v>
      </c>
      <c r="F542" s="8">
        <v>22.2</v>
      </c>
      <c r="G542" s="9">
        <v>7</v>
      </c>
      <c r="H542" s="8">
        <v>28.6</v>
      </c>
      <c r="I542" s="8">
        <v>1</v>
      </c>
      <c r="J542" s="8">
        <v>2</v>
      </c>
      <c r="K542" s="8">
        <v>50</v>
      </c>
      <c r="L542" s="9">
        <v>2</v>
      </c>
      <c r="M542" s="9">
        <v>7</v>
      </c>
      <c r="N542" s="9">
        <v>9</v>
      </c>
      <c r="O542" s="8">
        <v>0</v>
      </c>
      <c r="P542" s="8">
        <v>0</v>
      </c>
      <c r="Q542" s="9">
        <v>2</v>
      </c>
      <c r="R542" s="9">
        <v>1</v>
      </c>
      <c r="S542" s="8">
        <v>0</v>
      </c>
      <c r="T542" s="8">
        <v>27</v>
      </c>
      <c r="U542" s="8">
        <v>0</v>
      </c>
      <c r="V542" s="8">
        <v>0</v>
      </c>
      <c r="W542" s="7">
        <v>-4.7</v>
      </c>
      <c r="X542" s="7">
        <v>87.7</v>
      </c>
      <c r="Y542" s="7">
        <v>110.9</v>
      </c>
      <c r="Z542" s="7">
        <v>-23.2</v>
      </c>
      <c r="AA542" s="7">
        <v>0</v>
      </c>
      <c r="AB542" s="7">
        <v>0</v>
      </c>
      <c r="AC542" s="7">
        <v>0</v>
      </c>
      <c r="AD542" s="7">
        <v>4.8</v>
      </c>
      <c r="AE542" s="7">
        <v>17.100000000000001</v>
      </c>
      <c r="AF542" s="7">
        <v>10.8</v>
      </c>
      <c r="AG542" s="7">
        <v>0</v>
      </c>
      <c r="AH542" s="7">
        <v>33.299999999999997</v>
      </c>
      <c r="AI542" s="7">
        <v>35.4</v>
      </c>
      <c r="AJ542" s="7">
        <v>12.7</v>
      </c>
      <c r="AK542" s="7">
        <v>88.67</v>
      </c>
      <c r="AL542" s="7">
        <v>8.8000000000000007</v>
      </c>
      <c r="AM542" s="7">
        <v>65</v>
      </c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1"/>
    </row>
    <row r="543" spans="1:64" ht="13">
      <c r="A543" s="6" t="s">
        <v>1125</v>
      </c>
      <c r="B543" s="6" t="s">
        <v>1126</v>
      </c>
      <c r="C543" s="31">
        <v>7</v>
      </c>
      <c r="D543" s="24">
        <v>3</v>
      </c>
      <c r="E543" s="24">
        <v>10</v>
      </c>
      <c r="F543" s="8">
        <v>30</v>
      </c>
      <c r="G543" s="9">
        <v>7</v>
      </c>
      <c r="H543" s="8">
        <v>14.3</v>
      </c>
      <c r="I543" s="8">
        <v>0</v>
      </c>
      <c r="J543" s="8">
        <v>2</v>
      </c>
      <c r="K543" s="8">
        <v>0</v>
      </c>
      <c r="L543" s="8">
        <v>0</v>
      </c>
      <c r="M543" s="9">
        <v>2</v>
      </c>
      <c r="N543" s="9">
        <v>2</v>
      </c>
      <c r="O543" s="9">
        <v>3</v>
      </c>
      <c r="P543" s="9">
        <v>1</v>
      </c>
      <c r="Q543" s="8">
        <v>0</v>
      </c>
      <c r="R543" s="8">
        <v>0</v>
      </c>
      <c r="S543" s="9">
        <v>2</v>
      </c>
      <c r="T543" s="8">
        <v>13</v>
      </c>
      <c r="U543" s="8">
        <v>0</v>
      </c>
      <c r="V543" s="8">
        <v>0</v>
      </c>
      <c r="W543" s="7">
        <v>-1.3</v>
      </c>
      <c r="X543" s="7">
        <v>102.3</v>
      </c>
      <c r="Y543" s="7">
        <v>108.2</v>
      </c>
      <c r="Z543" s="7">
        <v>-5.8</v>
      </c>
      <c r="AA543" s="7">
        <v>20</v>
      </c>
      <c r="AB543" s="7">
        <v>3</v>
      </c>
      <c r="AC543" s="7">
        <v>20</v>
      </c>
      <c r="AD543" s="7">
        <v>0</v>
      </c>
      <c r="AE543" s="7">
        <v>18.2</v>
      </c>
      <c r="AF543" s="7">
        <v>5.4</v>
      </c>
      <c r="AG543" s="7">
        <v>6.7</v>
      </c>
      <c r="AH543" s="7">
        <v>35</v>
      </c>
      <c r="AI543" s="7">
        <v>32.200000000000003</v>
      </c>
      <c r="AJ543" s="7">
        <v>23.1</v>
      </c>
      <c r="AK543" s="7">
        <v>97.06</v>
      </c>
      <c r="AL543" s="7">
        <v>0</v>
      </c>
      <c r="AM543" s="7">
        <v>43</v>
      </c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1"/>
    </row>
    <row r="544" spans="1:64" ht="13">
      <c r="A544" s="6" t="s">
        <v>1127</v>
      </c>
      <c r="B544" s="6" t="s">
        <v>1128</v>
      </c>
      <c r="C544" s="31">
        <v>7</v>
      </c>
      <c r="D544" s="24">
        <v>2</v>
      </c>
      <c r="E544" s="24">
        <v>3</v>
      </c>
      <c r="F544" s="8">
        <v>66.7</v>
      </c>
      <c r="G544" s="9">
        <v>3</v>
      </c>
      <c r="H544" s="8">
        <v>66.7</v>
      </c>
      <c r="I544" s="8">
        <v>1</v>
      </c>
      <c r="J544" s="8">
        <v>6</v>
      </c>
      <c r="K544" s="8">
        <v>16.7</v>
      </c>
      <c r="L544" s="9">
        <v>1</v>
      </c>
      <c r="M544" s="9">
        <v>4</v>
      </c>
      <c r="N544" s="9">
        <v>5</v>
      </c>
      <c r="O544" s="9">
        <v>5</v>
      </c>
      <c r="P544" s="9">
        <v>1</v>
      </c>
      <c r="Q544" s="9">
        <v>1</v>
      </c>
      <c r="R544" s="8">
        <v>0</v>
      </c>
      <c r="S544" s="9">
        <v>3</v>
      </c>
      <c r="T544" s="8">
        <v>23</v>
      </c>
      <c r="U544" s="8">
        <v>0</v>
      </c>
      <c r="V544" s="8">
        <v>0</v>
      </c>
      <c r="W544" s="7">
        <v>-0.4</v>
      </c>
      <c r="X544" s="7">
        <v>98.8</v>
      </c>
      <c r="Y544" s="7">
        <v>107.8</v>
      </c>
      <c r="Z544" s="7">
        <v>-9</v>
      </c>
      <c r="AA544" s="7">
        <v>16.7</v>
      </c>
      <c r="AB544" s="7">
        <v>5</v>
      </c>
      <c r="AC544" s="7">
        <v>41.7</v>
      </c>
      <c r="AD544" s="7">
        <v>4</v>
      </c>
      <c r="AE544" s="7">
        <v>12.5</v>
      </c>
      <c r="AF544" s="7">
        <v>8.8000000000000007</v>
      </c>
      <c r="AG544" s="7">
        <v>8.3000000000000007</v>
      </c>
      <c r="AH544" s="7">
        <v>100</v>
      </c>
      <c r="AI544" s="7">
        <v>62.1</v>
      </c>
      <c r="AJ544" s="7">
        <v>8.1999999999999993</v>
      </c>
      <c r="AK544" s="7">
        <v>107.91</v>
      </c>
      <c r="AL544" s="7">
        <v>5.4</v>
      </c>
      <c r="AM544" s="7">
        <v>80</v>
      </c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1"/>
    </row>
    <row r="545" spans="1:64" ht="13">
      <c r="A545" s="6" t="s">
        <v>1129</v>
      </c>
      <c r="B545" s="6" t="s">
        <v>1130</v>
      </c>
      <c r="C545" s="31">
        <v>6</v>
      </c>
      <c r="D545" s="24">
        <v>2</v>
      </c>
      <c r="E545" s="24">
        <v>4</v>
      </c>
      <c r="F545" s="8">
        <v>50</v>
      </c>
      <c r="G545" s="9">
        <v>1</v>
      </c>
      <c r="H545" s="8">
        <v>0</v>
      </c>
      <c r="I545" s="8">
        <v>2</v>
      </c>
      <c r="J545" s="8">
        <v>2</v>
      </c>
      <c r="K545" s="8">
        <v>100</v>
      </c>
      <c r="L545" s="8">
        <v>0</v>
      </c>
      <c r="M545" s="9">
        <v>1</v>
      </c>
      <c r="N545" s="9">
        <v>1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7</v>
      </c>
      <c r="U545" s="8">
        <v>0</v>
      </c>
      <c r="V545" s="8">
        <v>0</v>
      </c>
      <c r="W545" s="7">
        <v>-4</v>
      </c>
      <c r="X545" s="7">
        <v>118.2</v>
      </c>
      <c r="Y545" s="7">
        <v>141.69999999999999</v>
      </c>
      <c r="Z545" s="7">
        <v>-23.5</v>
      </c>
      <c r="AA545" s="7">
        <v>0</v>
      </c>
      <c r="AB545" s="7">
        <v>0</v>
      </c>
      <c r="AC545" s="7">
        <v>0</v>
      </c>
      <c r="AD545" s="7">
        <v>0</v>
      </c>
      <c r="AE545" s="7">
        <v>25</v>
      </c>
      <c r="AF545" s="7">
        <v>12.5</v>
      </c>
      <c r="AG545" s="7">
        <v>0</v>
      </c>
      <c r="AH545" s="7">
        <v>50</v>
      </c>
      <c r="AI545" s="7">
        <v>61.5</v>
      </c>
      <c r="AJ545" s="7">
        <v>45.5</v>
      </c>
      <c r="AK545" s="7">
        <v>119.14</v>
      </c>
      <c r="AL545" s="7">
        <v>15.6</v>
      </c>
      <c r="AM545" s="7">
        <v>11</v>
      </c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1"/>
    </row>
    <row r="546" spans="1:64" ht="13">
      <c r="A546" s="13" t="s">
        <v>1131</v>
      </c>
      <c r="B546" s="6" t="s">
        <v>1132</v>
      </c>
      <c r="C546" s="31">
        <v>6</v>
      </c>
      <c r="D546" s="24">
        <v>2</v>
      </c>
      <c r="E546" s="24">
        <v>7</v>
      </c>
      <c r="F546" s="8">
        <v>28.6</v>
      </c>
      <c r="G546" s="9">
        <v>1</v>
      </c>
      <c r="H546" s="8">
        <v>0</v>
      </c>
      <c r="I546" s="8">
        <v>2</v>
      </c>
      <c r="J546" s="8">
        <v>2</v>
      </c>
      <c r="K546" s="8">
        <v>100</v>
      </c>
      <c r="L546" s="8">
        <v>0</v>
      </c>
      <c r="M546" s="9">
        <v>8</v>
      </c>
      <c r="N546" s="9">
        <v>8</v>
      </c>
      <c r="O546" s="9">
        <v>2</v>
      </c>
      <c r="P546" s="8">
        <v>0</v>
      </c>
      <c r="Q546" s="9">
        <v>1</v>
      </c>
      <c r="R546" s="9">
        <v>1</v>
      </c>
      <c r="S546" s="9">
        <v>6</v>
      </c>
      <c r="T546" s="8">
        <v>25</v>
      </c>
      <c r="U546" s="8">
        <v>0</v>
      </c>
      <c r="V546" s="8">
        <v>0</v>
      </c>
      <c r="W546" s="7">
        <v>-0.5</v>
      </c>
      <c r="X546" s="7">
        <v>93.8</v>
      </c>
      <c r="Y546" s="7">
        <v>96.9</v>
      </c>
      <c r="Z546" s="7">
        <v>-3.1</v>
      </c>
      <c r="AA546" s="7">
        <v>11.1</v>
      </c>
      <c r="AB546" s="7">
        <v>0</v>
      </c>
      <c r="AC546" s="7">
        <v>20</v>
      </c>
      <c r="AD546" s="7">
        <v>0</v>
      </c>
      <c r="AE546" s="7">
        <v>28.6</v>
      </c>
      <c r="AF546" s="7">
        <v>15.1</v>
      </c>
      <c r="AG546" s="7">
        <v>0</v>
      </c>
      <c r="AH546" s="7">
        <v>28.6</v>
      </c>
      <c r="AI546" s="7">
        <v>38.1</v>
      </c>
      <c r="AJ546" s="7">
        <v>11.8</v>
      </c>
      <c r="AK546" s="7">
        <v>105.33</v>
      </c>
      <c r="AL546" s="7">
        <v>6.6</v>
      </c>
      <c r="AM546" s="7">
        <v>64</v>
      </c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1"/>
    </row>
    <row r="547" spans="1:64" ht="13">
      <c r="A547" s="6" t="s">
        <v>1133</v>
      </c>
      <c r="B547" s="6" t="s">
        <v>1134</v>
      </c>
      <c r="C547" s="31">
        <v>6</v>
      </c>
      <c r="D547" s="24">
        <v>2</v>
      </c>
      <c r="E547" s="24">
        <v>7</v>
      </c>
      <c r="F547" s="8">
        <v>28.6</v>
      </c>
      <c r="G547" s="9">
        <v>3</v>
      </c>
      <c r="H547" s="8">
        <v>33.299999999999997</v>
      </c>
      <c r="I547" s="8">
        <v>1</v>
      </c>
      <c r="J547" s="8">
        <v>2</v>
      </c>
      <c r="K547" s="8">
        <v>50</v>
      </c>
      <c r="L547" s="9">
        <v>1</v>
      </c>
      <c r="M547" s="9">
        <v>3</v>
      </c>
      <c r="N547" s="9">
        <v>4</v>
      </c>
      <c r="O547" s="9">
        <v>5</v>
      </c>
      <c r="P547" s="8">
        <v>0</v>
      </c>
      <c r="Q547" s="9">
        <v>1</v>
      </c>
      <c r="R547" s="9">
        <v>1</v>
      </c>
      <c r="S547" s="9">
        <v>3</v>
      </c>
      <c r="T547" s="8">
        <v>24</v>
      </c>
      <c r="U547" s="8">
        <v>0</v>
      </c>
      <c r="V547" s="8">
        <v>0</v>
      </c>
      <c r="W547" s="7">
        <v>-6</v>
      </c>
      <c r="X547" s="7">
        <v>92.7</v>
      </c>
      <c r="Y547" s="7">
        <v>110</v>
      </c>
      <c r="Z547" s="7">
        <v>-17.3</v>
      </c>
      <c r="AA547" s="7">
        <v>55.6</v>
      </c>
      <c r="AB547" s="7">
        <v>0</v>
      </c>
      <c r="AC547" s="7">
        <v>38.5</v>
      </c>
      <c r="AD547" s="7">
        <v>4</v>
      </c>
      <c r="AE547" s="7">
        <v>15.8</v>
      </c>
      <c r="AF547" s="7">
        <v>9.1</v>
      </c>
      <c r="AG547" s="7">
        <v>0</v>
      </c>
      <c r="AH547" s="7">
        <v>35.700000000000003</v>
      </c>
      <c r="AI547" s="7">
        <v>38.1</v>
      </c>
      <c r="AJ547" s="7">
        <v>17</v>
      </c>
      <c r="AK547" s="7">
        <v>111.94</v>
      </c>
      <c r="AL547" s="7">
        <v>9.9</v>
      </c>
      <c r="AM547" s="7">
        <v>41</v>
      </c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1"/>
    </row>
    <row r="548" spans="1:64" ht="13">
      <c r="A548" s="6" t="s">
        <v>1135</v>
      </c>
      <c r="B548" s="6" t="s">
        <v>1136</v>
      </c>
      <c r="C548" s="31">
        <v>6</v>
      </c>
      <c r="D548" s="24">
        <v>2</v>
      </c>
      <c r="E548" s="24">
        <v>10</v>
      </c>
      <c r="F548" s="8">
        <v>20</v>
      </c>
      <c r="G548" s="9">
        <v>4</v>
      </c>
      <c r="H548" s="8">
        <v>25</v>
      </c>
      <c r="I548" s="8">
        <v>1</v>
      </c>
      <c r="J548" s="8">
        <v>2</v>
      </c>
      <c r="K548" s="8">
        <v>50</v>
      </c>
      <c r="L548" s="9">
        <v>4</v>
      </c>
      <c r="M548" s="9">
        <v>4</v>
      </c>
      <c r="N548" s="9">
        <v>8</v>
      </c>
      <c r="O548" s="9">
        <v>1</v>
      </c>
      <c r="P548" s="9">
        <v>2</v>
      </c>
      <c r="Q548" s="9">
        <v>2</v>
      </c>
      <c r="R548" s="8">
        <v>0</v>
      </c>
      <c r="S548" s="8">
        <v>0</v>
      </c>
      <c r="T548" s="8">
        <v>21</v>
      </c>
      <c r="U548" s="8">
        <v>0</v>
      </c>
      <c r="V548" s="8">
        <v>0</v>
      </c>
      <c r="W548" s="7">
        <v>-3.5</v>
      </c>
      <c r="X548" s="7">
        <v>58.7</v>
      </c>
      <c r="Y548" s="7">
        <v>77.3</v>
      </c>
      <c r="Z548" s="7">
        <v>-18.600000000000001</v>
      </c>
      <c r="AA548" s="7">
        <v>12.5</v>
      </c>
      <c r="AB548" s="7">
        <v>0.5</v>
      </c>
      <c r="AC548" s="7">
        <v>7.1</v>
      </c>
      <c r="AD548" s="7">
        <v>12.1</v>
      </c>
      <c r="AE548" s="7">
        <v>16</v>
      </c>
      <c r="AF548" s="7">
        <v>13.8</v>
      </c>
      <c r="AG548" s="7">
        <v>14.3</v>
      </c>
      <c r="AH548" s="7">
        <v>25</v>
      </c>
      <c r="AI548" s="7">
        <v>27.6</v>
      </c>
      <c r="AJ548" s="7">
        <v>22.4</v>
      </c>
      <c r="AK548" s="7">
        <v>108.82</v>
      </c>
      <c r="AL548" s="7">
        <v>10.5</v>
      </c>
      <c r="AM548" s="7">
        <v>46</v>
      </c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1"/>
    </row>
    <row r="549" spans="1:64" ht="13">
      <c r="A549" s="6" t="s">
        <v>1137</v>
      </c>
      <c r="B549" s="6" t="s">
        <v>1138</v>
      </c>
      <c r="C549" s="31">
        <v>5</v>
      </c>
      <c r="D549" s="24">
        <v>2</v>
      </c>
      <c r="E549" s="24">
        <v>2</v>
      </c>
      <c r="F549" s="8">
        <v>100</v>
      </c>
      <c r="G549" s="9">
        <v>1</v>
      </c>
      <c r="H549" s="8">
        <v>100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9">
        <v>1</v>
      </c>
      <c r="P549" s="8">
        <v>0</v>
      </c>
      <c r="Q549" s="8">
        <v>0</v>
      </c>
      <c r="R549" s="8">
        <v>0</v>
      </c>
      <c r="S549" s="8">
        <v>0</v>
      </c>
      <c r="T549" s="8">
        <v>7</v>
      </c>
      <c r="U549" s="8">
        <v>0</v>
      </c>
      <c r="V549" s="8">
        <v>0</v>
      </c>
      <c r="W549" s="7">
        <v>6</v>
      </c>
      <c r="X549" s="7">
        <v>171.4</v>
      </c>
      <c r="Y549" s="7">
        <v>85.7</v>
      </c>
      <c r="Z549" s="7">
        <v>85.7</v>
      </c>
      <c r="AA549" s="7">
        <v>33.299999999999997</v>
      </c>
      <c r="AB549" s="7">
        <v>0</v>
      </c>
      <c r="AC549" s="7">
        <v>33.299999999999997</v>
      </c>
      <c r="AD549" s="7">
        <v>0</v>
      </c>
      <c r="AE549" s="7">
        <v>0</v>
      </c>
      <c r="AF549" s="7">
        <v>0</v>
      </c>
      <c r="AG549" s="7">
        <v>0</v>
      </c>
      <c r="AH549" s="7">
        <v>125</v>
      </c>
      <c r="AI549" s="7">
        <v>125</v>
      </c>
      <c r="AJ549" s="7">
        <v>28.6</v>
      </c>
      <c r="AK549" s="7">
        <v>90.4</v>
      </c>
      <c r="AL549" s="7">
        <v>40</v>
      </c>
      <c r="AM549" s="7">
        <v>7</v>
      </c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1"/>
    </row>
    <row r="550" spans="1:64" ht="13">
      <c r="A550" s="6" t="s">
        <v>1139</v>
      </c>
      <c r="B550" s="6" t="s">
        <v>1140</v>
      </c>
      <c r="C550" s="31">
        <v>5</v>
      </c>
      <c r="D550" s="24">
        <v>2</v>
      </c>
      <c r="E550" s="24">
        <v>4</v>
      </c>
      <c r="F550" s="8">
        <v>50</v>
      </c>
      <c r="G550" s="9">
        <v>1</v>
      </c>
      <c r="H550" s="8">
        <v>100</v>
      </c>
      <c r="I550" s="8">
        <v>0</v>
      </c>
      <c r="J550" s="8">
        <v>0</v>
      </c>
      <c r="K550" s="8">
        <v>0</v>
      </c>
      <c r="L550" s="9">
        <v>1</v>
      </c>
      <c r="M550" s="9">
        <v>2</v>
      </c>
      <c r="N550" s="9">
        <v>3</v>
      </c>
      <c r="O550" s="9">
        <v>1</v>
      </c>
      <c r="P550" s="8">
        <v>0</v>
      </c>
      <c r="Q550" s="8">
        <v>0</v>
      </c>
      <c r="R550" s="8">
        <v>0</v>
      </c>
      <c r="S550" s="9">
        <v>1</v>
      </c>
      <c r="T550" s="8">
        <v>10</v>
      </c>
      <c r="U550" s="8">
        <v>0</v>
      </c>
      <c r="V550" s="8">
        <v>0</v>
      </c>
      <c r="W550" s="7">
        <v>-0.3</v>
      </c>
      <c r="X550" s="7">
        <v>114.8</v>
      </c>
      <c r="Y550" s="7">
        <v>128</v>
      </c>
      <c r="Z550" s="7">
        <v>-13.2</v>
      </c>
      <c r="AA550" s="7">
        <v>12.5</v>
      </c>
      <c r="AB550" s="7">
        <v>0</v>
      </c>
      <c r="AC550" s="7">
        <v>20</v>
      </c>
      <c r="AD550" s="7">
        <v>8.3000000000000007</v>
      </c>
      <c r="AE550" s="7">
        <v>22.2</v>
      </c>
      <c r="AF550" s="7">
        <v>14.3</v>
      </c>
      <c r="AG550" s="7">
        <v>0</v>
      </c>
      <c r="AH550" s="7">
        <v>62.5</v>
      </c>
      <c r="AI550" s="7">
        <v>62.5</v>
      </c>
      <c r="AJ550" s="7">
        <v>12.9</v>
      </c>
      <c r="AK550" s="7">
        <v>104.35</v>
      </c>
      <c r="AL550" s="7">
        <v>9.1999999999999993</v>
      </c>
      <c r="AM550" s="7">
        <v>27</v>
      </c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1"/>
    </row>
    <row r="551" spans="1:64" ht="13">
      <c r="A551" s="6" t="s">
        <v>1141</v>
      </c>
      <c r="B551" s="6" t="s">
        <v>1142</v>
      </c>
      <c r="C551" s="31">
        <v>5</v>
      </c>
      <c r="D551" s="24">
        <v>2</v>
      </c>
      <c r="E551" s="24">
        <v>5</v>
      </c>
      <c r="F551" s="8">
        <v>40</v>
      </c>
      <c r="G551" s="8">
        <v>0</v>
      </c>
      <c r="H551" s="8">
        <v>0</v>
      </c>
      <c r="I551" s="8">
        <v>1</v>
      </c>
      <c r="J551" s="8">
        <v>2</v>
      </c>
      <c r="K551" s="8">
        <v>50</v>
      </c>
      <c r="L551" s="9">
        <v>4</v>
      </c>
      <c r="M551" s="9">
        <v>4</v>
      </c>
      <c r="N551" s="9">
        <v>8</v>
      </c>
      <c r="O551" s="9">
        <v>2</v>
      </c>
      <c r="P551" s="9">
        <v>2</v>
      </c>
      <c r="Q551" s="8">
        <v>0</v>
      </c>
      <c r="R551" s="9">
        <v>1</v>
      </c>
      <c r="S551" s="9">
        <v>5</v>
      </c>
      <c r="T551" s="8">
        <v>19</v>
      </c>
      <c r="U551" s="8">
        <v>0</v>
      </c>
      <c r="V551" s="8">
        <v>0</v>
      </c>
      <c r="W551" s="7">
        <v>-3.4</v>
      </c>
      <c r="X551" s="7">
        <v>96.9</v>
      </c>
      <c r="Y551" s="7">
        <v>140.30000000000001</v>
      </c>
      <c r="Z551" s="7">
        <v>-43.4</v>
      </c>
      <c r="AA551" s="7">
        <v>11.1</v>
      </c>
      <c r="AB551" s="7">
        <v>1</v>
      </c>
      <c r="AC551" s="7">
        <v>20</v>
      </c>
      <c r="AD551" s="7">
        <v>12.9</v>
      </c>
      <c r="AE551" s="7">
        <v>18.2</v>
      </c>
      <c r="AF551" s="7">
        <v>15.1</v>
      </c>
      <c r="AG551" s="7">
        <v>20</v>
      </c>
      <c r="AH551" s="7">
        <v>40</v>
      </c>
      <c r="AI551" s="7">
        <v>42.5</v>
      </c>
      <c r="AJ551" s="7">
        <v>10.8</v>
      </c>
      <c r="AK551" s="7">
        <v>94.73</v>
      </c>
      <c r="AL551" s="7">
        <v>2</v>
      </c>
      <c r="AM551" s="7">
        <v>65</v>
      </c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1"/>
    </row>
    <row r="552" spans="1:64" ht="13">
      <c r="A552" s="13" t="s">
        <v>1143</v>
      </c>
      <c r="B552" s="6" t="s">
        <v>1144</v>
      </c>
      <c r="C552" s="31">
        <v>4</v>
      </c>
      <c r="D552" s="24">
        <v>1</v>
      </c>
      <c r="E552" s="24">
        <v>8</v>
      </c>
      <c r="F552" s="8">
        <v>12.5</v>
      </c>
      <c r="G552" s="9">
        <v>6</v>
      </c>
      <c r="H552" s="8">
        <v>0</v>
      </c>
      <c r="I552" s="8">
        <v>2</v>
      </c>
      <c r="J552" s="8">
        <v>2</v>
      </c>
      <c r="K552" s="8">
        <v>100</v>
      </c>
      <c r="L552" s="9">
        <v>4</v>
      </c>
      <c r="M552" s="9">
        <v>3</v>
      </c>
      <c r="N552" s="9">
        <v>7</v>
      </c>
      <c r="O552" s="9">
        <v>2</v>
      </c>
      <c r="P552" s="8">
        <v>0</v>
      </c>
      <c r="Q552" s="8">
        <v>0</v>
      </c>
      <c r="R552" s="8">
        <v>0</v>
      </c>
      <c r="S552" s="8">
        <v>0</v>
      </c>
      <c r="T552" s="8">
        <v>15</v>
      </c>
      <c r="U552" s="8">
        <v>0</v>
      </c>
      <c r="V552" s="8">
        <v>0</v>
      </c>
      <c r="W552" s="7">
        <v>-1</v>
      </c>
      <c r="X552" s="7">
        <v>120.6</v>
      </c>
      <c r="Y552" s="7">
        <v>116.7</v>
      </c>
      <c r="Z552" s="7">
        <v>3.9</v>
      </c>
      <c r="AA552" s="7">
        <v>14.3</v>
      </c>
      <c r="AB552" s="7">
        <v>0</v>
      </c>
      <c r="AC552" s="7">
        <v>18.2</v>
      </c>
      <c r="AD552" s="7">
        <v>18.2</v>
      </c>
      <c r="AE552" s="7">
        <v>20</v>
      </c>
      <c r="AF552" s="7">
        <v>18.899999999999999</v>
      </c>
      <c r="AG552" s="7">
        <v>0</v>
      </c>
      <c r="AH552" s="7">
        <v>12.5</v>
      </c>
      <c r="AI552" s="7">
        <v>22.5</v>
      </c>
      <c r="AJ552" s="7">
        <v>20.5</v>
      </c>
      <c r="AK552" s="7">
        <v>98.82</v>
      </c>
      <c r="AL552" s="7">
        <v>7.1</v>
      </c>
      <c r="AM552" s="7">
        <v>34</v>
      </c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1"/>
    </row>
    <row r="553" spans="1:64" ht="13">
      <c r="A553" s="6" t="s">
        <v>1145</v>
      </c>
      <c r="B553" s="6" t="s">
        <v>1146</v>
      </c>
      <c r="C553" s="31">
        <v>4</v>
      </c>
      <c r="D553" s="24">
        <v>2</v>
      </c>
      <c r="E553" s="24">
        <v>4</v>
      </c>
      <c r="F553" s="8">
        <v>50</v>
      </c>
      <c r="G553" s="9">
        <v>1</v>
      </c>
      <c r="H553" s="8">
        <v>0</v>
      </c>
      <c r="I553" s="8">
        <v>0</v>
      </c>
      <c r="J553" s="8">
        <v>0</v>
      </c>
      <c r="K553" s="8">
        <v>0</v>
      </c>
      <c r="L553" s="9">
        <v>2</v>
      </c>
      <c r="M553" s="9">
        <v>7</v>
      </c>
      <c r="N553" s="9">
        <v>9</v>
      </c>
      <c r="O553" s="9">
        <v>3</v>
      </c>
      <c r="P553" s="9">
        <v>1</v>
      </c>
      <c r="Q553" s="9">
        <v>3</v>
      </c>
      <c r="R553" s="8">
        <v>0</v>
      </c>
      <c r="S553" s="9">
        <v>2</v>
      </c>
      <c r="T553" s="8">
        <v>28</v>
      </c>
      <c r="U553" s="8">
        <v>0</v>
      </c>
      <c r="V553" s="8">
        <v>0</v>
      </c>
      <c r="W553" s="7">
        <v>6</v>
      </c>
      <c r="X553" s="7">
        <v>132</v>
      </c>
      <c r="Y553" s="7">
        <v>92</v>
      </c>
      <c r="Z553" s="7">
        <v>40</v>
      </c>
      <c r="AA553" s="7">
        <v>8.6</v>
      </c>
      <c r="AB553" s="7">
        <v>3</v>
      </c>
      <c r="AC553" s="7">
        <v>37.5</v>
      </c>
      <c r="AD553" s="7">
        <v>6.7</v>
      </c>
      <c r="AE553" s="7">
        <v>17.5</v>
      </c>
      <c r="AF553" s="7">
        <v>12.9</v>
      </c>
      <c r="AG553" s="7">
        <v>12.5</v>
      </c>
      <c r="AH553" s="7">
        <v>50</v>
      </c>
      <c r="AI553" s="7">
        <v>50</v>
      </c>
      <c r="AJ553" s="7">
        <v>6</v>
      </c>
      <c r="AK553" s="7">
        <v>103.6</v>
      </c>
      <c r="AL553" s="7">
        <v>8</v>
      </c>
      <c r="AM553" s="7">
        <v>75</v>
      </c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1"/>
    </row>
    <row r="554" spans="1:64" ht="13">
      <c r="A554" s="6" t="s">
        <v>1147</v>
      </c>
      <c r="B554" s="6" t="s">
        <v>1148</v>
      </c>
      <c r="C554" s="31">
        <v>3</v>
      </c>
      <c r="D554" s="24">
        <v>1</v>
      </c>
      <c r="E554" s="24">
        <v>7</v>
      </c>
      <c r="F554" s="8">
        <v>14.3</v>
      </c>
      <c r="G554" s="9">
        <v>3</v>
      </c>
      <c r="H554" s="8">
        <v>0</v>
      </c>
      <c r="I554" s="8">
        <v>1</v>
      </c>
      <c r="J554" s="8">
        <v>2</v>
      </c>
      <c r="K554" s="8">
        <v>50</v>
      </c>
      <c r="L554" s="8">
        <v>0</v>
      </c>
      <c r="M554" s="9">
        <v>2</v>
      </c>
      <c r="N554" s="9">
        <v>2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6</v>
      </c>
      <c r="U554" s="8">
        <v>0</v>
      </c>
      <c r="V554" s="8">
        <v>0</v>
      </c>
      <c r="W554" s="7">
        <v>0.4</v>
      </c>
      <c r="X554" s="7">
        <v>80.8</v>
      </c>
      <c r="Y554" s="7">
        <v>76</v>
      </c>
      <c r="Z554" s="7">
        <v>4.8</v>
      </c>
      <c r="AA554" s="7">
        <v>0</v>
      </c>
      <c r="AB554" s="7">
        <v>0</v>
      </c>
      <c r="AC554" s="7">
        <v>0</v>
      </c>
      <c r="AD554" s="7">
        <v>0</v>
      </c>
      <c r="AE554" s="7">
        <v>20</v>
      </c>
      <c r="AF554" s="7">
        <v>9.5</v>
      </c>
      <c r="AG554" s="7">
        <v>0</v>
      </c>
      <c r="AH554" s="7">
        <v>14.3</v>
      </c>
      <c r="AI554" s="7">
        <v>19</v>
      </c>
      <c r="AJ554" s="7">
        <v>29.6</v>
      </c>
      <c r="AK554" s="7">
        <v>118.62</v>
      </c>
      <c r="AL554" s="7">
        <v>-5.6</v>
      </c>
      <c r="AM554" s="7">
        <v>26</v>
      </c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1"/>
    </row>
    <row r="555" spans="1:64" ht="13">
      <c r="A555" s="6" t="s">
        <v>1149</v>
      </c>
      <c r="B555" s="6" t="s">
        <v>1150</v>
      </c>
      <c r="C555" s="31">
        <v>3</v>
      </c>
      <c r="D555" s="25">
        <v>0</v>
      </c>
      <c r="E555" s="24">
        <v>4</v>
      </c>
      <c r="F555" s="8">
        <v>0</v>
      </c>
      <c r="G555" s="9">
        <v>1</v>
      </c>
      <c r="H555" s="8">
        <v>0</v>
      </c>
      <c r="I555" s="8">
        <v>3</v>
      </c>
      <c r="J555" s="8">
        <v>6</v>
      </c>
      <c r="K555" s="8">
        <v>50</v>
      </c>
      <c r="L555" s="9">
        <v>1</v>
      </c>
      <c r="M555" s="9">
        <v>1</v>
      </c>
      <c r="N555" s="9">
        <v>2</v>
      </c>
      <c r="O555" s="8">
        <v>0</v>
      </c>
      <c r="P555" s="9">
        <v>1</v>
      </c>
      <c r="Q555" s="9">
        <v>2</v>
      </c>
      <c r="R555" s="8">
        <v>0</v>
      </c>
      <c r="S555" s="8">
        <v>0</v>
      </c>
      <c r="T555" s="8">
        <v>11</v>
      </c>
      <c r="U555" s="8">
        <v>0</v>
      </c>
      <c r="V555" s="8">
        <v>0</v>
      </c>
      <c r="W555" s="7">
        <v>-2.7</v>
      </c>
      <c r="X555" s="7">
        <v>90</v>
      </c>
      <c r="Y555" s="7">
        <v>120.7</v>
      </c>
      <c r="Z555" s="7">
        <v>-30.7</v>
      </c>
      <c r="AA555" s="7">
        <v>0</v>
      </c>
      <c r="AB555" s="7">
        <v>0</v>
      </c>
      <c r="AC555" s="7">
        <v>0</v>
      </c>
      <c r="AD555" s="7">
        <v>7.7</v>
      </c>
      <c r="AE555" s="7">
        <v>16.7</v>
      </c>
      <c r="AF555" s="7">
        <v>10.5</v>
      </c>
      <c r="AG555" s="7">
        <v>12.5</v>
      </c>
      <c r="AH555" s="7">
        <v>0</v>
      </c>
      <c r="AI555" s="7">
        <v>22.6</v>
      </c>
      <c r="AJ555" s="7">
        <v>22.2</v>
      </c>
      <c r="AK555" s="7">
        <v>130.81</v>
      </c>
      <c r="AL555" s="7">
        <v>-2.6</v>
      </c>
      <c r="AM555" s="7">
        <v>30</v>
      </c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1"/>
    </row>
    <row r="556" spans="1:64" ht="13">
      <c r="A556" s="6" t="s">
        <v>1151</v>
      </c>
      <c r="B556" s="6" t="s">
        <v>1152</v>
      </c>
      <c r="C556" s="31">
        <v>3</v>
      </c>
      <c r="D556" s="24">
        <v>1</v>
      </c>
      <c r="E556" s="24">
        <v>5</v>
      </c>
      <c r="F556" s="8">
        <v>20</v>
      </c>
      <c r="G556" s="9">
        <v>5</v>
      </c>
      <c r="H556" s="8">
        <v>20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9">
        <v>1</v>
      </c>
      <c r="P556" s="9">
        <v>1</v>
      </c>
      <c r="Q556" s="8">
        <v>0</v>
      </c>
      <c r="R556" s="8">
        <v>0</v>
      </c>
      <c r="S556" s="8">
        <v>0</v>
      </c>
      <c r="T556" s="8">
        <v>4</v>
      </c>
      <c r="U556" s="8">
        <v>0</v>
      </c>
      <c r="V556" s="8">
        <v>0</v>
      </c>
      <c r="W556" s="7">
        <v>-9</v>
      </c>
      <c r="X556" s="7">
        <v>68.2</v>
      </c>
      <c r="Y556" s="7">
        <v>150</v>
      </c>
      <c r="Z556" s="7">
        <v>-81.8</v>
      </c>
      <c r="AA556" s="7">
        <v>20</v>
      </c>
      <c r="AB556" s="7">
        <v>1</v>
      </c>
      <c r="AC556" s="7">
        <v>14.3</v>
      </c>
      <c r="AD556" s="7">
        <v>0</v>
      </c>
      <c r="AE556" s="7">
        <v>0</v>
      </c>
      <c r="AF556" s="7">
        <v>0</v>
      </c>
      <c r="AG556" s="7">
        <v>14.3</v>
      </c>
      <c r="AH556" s="7">
        <v>30</v>
      </c>
      <c r="AI556" s="7">
        <v>30</v>
      </c>
      <c r="AJ556" s="7">
        <v>23.1</v>
      </c>
      <c r="AK556" s="7">
        <v>102.52</v>
      </c>
      <c r="AL556" s="7">
        <v>-2.2000000000000002</v>
      </c>
      <c r="AM556" s="7">
        <v>22</v>
      </c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1"/>
    </row>
    <row r="557" spans="1:64" ht="13">
      <c r="A557" s="6" t="s">
        <v>1153</v>
      </c>
      <c r="B557" s="6" t="s">
        <v>1154</v>
      </c>
      <c r="C557" s="31">
        <v>3</v>
      </c>
      <c r="D557" s="24">
        <v>1</v>
      </c>
      <c r="E557" s="24">
        <v>8</v>
      </c>
      <c r="F557" s="8">
        <v>12.5</v>
      </c>
      <c r="G557" s="9">
        <v>3</v>
      </c>
      <c r="H557" s="8">
        <v>0</v>
      </c>
      <c r="I557" s="8">
        <v>1</v>
      </c>
      <c r="J557" s="8">
        <v>1</v>
      </c>
      <c r="K557" s="8">
        <v>100</v>
      </c>
      <c r="L557" s="9">
        <v>2</v>
      </c>
      <c r="M557" s="9">
        <v>2</v>
      </c>
      <c r="N557" s="9">
        <v>4</v>
      </c>
      <c r="O557" s="9">
        <v>2</v>
      </c>
      <c r="P557" s="9">
        <v>2</v>
      </c>
      <c r="Q557" s="9">
        <v>1</v>
      </c>
      <c r="R557" s="8">
        <v>0</v>
      </c>
      <c r="S557" s="9">
        <v>4</v>
      </c>
      <c r="T557" s="8">
        <v>12</v>
      </c>
      <c r="U557" s="8">
        <v>0</v>
      </c>
      <c r="V557" s="8">
        <v>0</v>
      </c>
      <c r="W557" s="7">
        <v>-0.6</v>
      </c>
      <c r="X557" s="7">
        <v>83.3</v>
      </c>
      <c r="Y557" s="7">
        <v>97.6</v>
      </c>
      <c r="Z557" s="7">
        <v>-14.2</v>
      </c>
      <c r="AA557" s="7">
        <v>18.2</v>
      </c>
      <c r="AB557" s="7">
        <v>1</v>
      </c>
      <c r="AC557" s="7">
        <v>16.7</v>
      </c>
      <c r="AD557" s="7">
        <v>7.1</v>
      </c>
      <c r="AE557" s="7">
        <v>11.1</v>
      </c>
      <c r="AF557" s="7">
        <v>8.6999999999999993</v>
      </c>
      <c r="AG557" s="7">
        <v>16.7</v>
      </c>
      <c r="AH557" s="7">
        <v>12.5</v>
      </c>
      <c r="AI557" s="7">
        <v>17.8</v>
      </c>
      <c r="AJ557" s="7">
        <v>18.5</v>
      </c>
      <c r="AK557" s="7">
        <v>123.38</v>
      </c>
      <c r="AL557" s="7">
        <v>-6.8</v>
      </c>
      <c r="AM557" s="7">
        <v>42</v>
      </c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1"/>
    </row>
    <row r="558" spans="1:64" ht="13">
      <c r="A558" s="13" t="s">
        <v>1155</v>
      </c>
      <c r="B558" s="6" t="s">
        <v>1156</v>
      </c>
      <c r="C558" s="31">
        <v>3</v>
      </c>
      <c r="D558" s="24">
        <v>1</v>
      </c>
      <c r="E558" s="24">
        <v>7</v>
      </c>
      <c r="F558" s="8">
        <v>14.3</v>
      </c>
      <c r="G558" s="9">
        <v>3</v>
      </c>
      <c r="H558" s="8">
        <v>0</v>
      </c>
      <c r="I558" s="8">
        <v>1</v>
      </c>
      <c r="J558" s="8">
        <v>1</v>
      </c>
      <c r="K558" s="8">
        <v>100</v>
      </c>
      <c r="L558" s="8">
        <v>0</v>
      </c>
      <c r="M558" s="9">
        <v>4</v>
      </c>
      <c r="N558" s="9">
        <v>4</v>
      </c>
      <c r="O558" s="9">
        <v>3</v>
      </c>
      <c r="P558" s="9">
        <v>4</v>
      </c>
      <c r="Q558" s="9">
        <v>2</v>
      </c>
      <c r="R558" s="8">
        <v>0</v>
      </c>
      <c r="S558" s="9">
        <v>1</v>
      </c>
      <c r="T558" s="8">
        <v>14</v>
      </c>
      <c r="U558" s="8">
        <v>0</v>
      </c>
      <c r="V558" s="8">
        <v>0</v>
      </c>
      <c r="W558" s="7">
        <v>3</v>
      </c>
      <c r="X558" s="7">
        <v>109</v>
      </c>
      <c r="Y558" s="7">
        <v>96.1</v>
      </c>
      <c r="Z558" s="7">
        <v>12.9</v>
      </c>
      <c r="AA558" s="7">
        <v>10</v>
      </c>
      <c r="AB558" s="7">
        <v>0.75</v>
      </c>
      <c r="AC558" s="7">
        <v>21.4</v>
      </c>
      <c r="AD558" s="7">
        <v>0</v>
      </c>
      <c r="AE558" s="7">
        <v>9.8000000000000007</v>
      </c>
      <c r="AF558" s="7">
        <v>5.5</v>
      </c>
      <c r="AG558" s="7">
        <v>28.6</v>
      </c>
      <c r="AH558" s="7">
        <v>14.3</v>
      </c>
      <c r="AI558" s="7">
        <v>20.2</v>
      </c>
      <c r="AJ558" s="7">
        <v>12.2</v>
      </c>
      <c r="AK558" s="7">
        <v>110.7</v>
      </c>
      <c r="AL558" s="7">
        <v>0.7</v>
      </c>
      <c r="AM558" s="7">
        <v>78</v>
      </c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1"/>
    </row>
    <row r="559" spans="1:64" ht="13">
      <c r="A559" s="6" t="s">
        <v>1157</v>
      </c>
      <c r="B559" s="6" t="s">
        <v>1158</v>
      </c>
      <c r="C559" s="31">
        <v>2</v>
      </c>
      <c r="D559" s="24">
        <v>1</v>
      </c>
      <c r="E559" s="24">
        <v>3</v>
      </c>
      <c r="F559" s="8">
        <v>33.299999999999997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9">
        <v>2</v>
      </c>
      <c r="M559" s="9">
        <v>1</v>
      </c>
      <c r="N559" s="9">
        <v>3</v>
      </c>
      <c r="O559" s="9">
        <v>4</v>
      </c>
      <c r="P559" s="8">
        <v>0</v>
      </c>
      <c r="Q559" s="9">
        <v>2</v>
      </c>
      <c r="R559" s="8">
        <v>0</v>
      </c>
      <c r="S559" s="9">
        <v>5</v>
      </c>
      <c r="T559" s="8">
        <v>18</v>
      </c>
      <c r="U559" s="8">
        <v>0</v>
      </c>
      <c r="V559" s="8">
        <v>0</v>
      </c>
      <c r="W559" s="7">
        <v>-2.5</v>
      </c>
      <c r="X559" s="7">
        <v>94.4</v>
      </c>
      <c r="Y559" s="7">
        <v>111.4</v>
      </c>
      <c r="Z559" s="7">
        <v>-17</v>
      </c>
      <c r="AA559" s="7">
        <v>33.299999999999997</v>
      </c>
      <c r="AB559" s="7">
        <v>0</v>
      </c>
      <c r="AC559" s="7">
        <v>57.1</v>
      </c>
      <c r="AD559" s="7">
        <v>8.3000000000000007</v>
      </c>
      <c r="AE559" s="7">
        <v>7.1</v>
      </c>
      <c r="AF559" s="7">
        <v>7.9</v>
      </c>
      <c r="AG559" s="7">
        <v>0</v>
      </c>
      <c r="AH559" s="7">
        <v>33.299999999999997</v>
      </c>
      <c r="AI559" s="7">
        <v>33.299999999999997</v>
      </c>
      <c r="AJ559" s="7">
        <v>6.8</v>
      </c>
      <c r="AK559" s="7">
        <v>104.54</v>
      </c>
      <c r="AL559" s="7">
        <v>4.8</v>
      </c>
      <c r="AM559" s="7">
        <v>36</v>
      </c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1"/>
    </row>
    <row r="560" spans="1:64" ht="13">
      <c r="A560" s="6" t="s">
        <v>1159</v>
      </c>
      <c r="B560" s="6" t="s">
        <v>1160</v>
      </c>
      <c r="C560" s="31">
        <v>2</v>
      </c>
      <c r="D560" s="25">
        <v>0</v>
      </c>
      <c r="E560" s="24">
        <v>2</v>
      </c>
      <c r="F560" s="8">
        <v>0</v>
      </c>
      <c r="G560" s="9">
        <v>1</v>
      </c>
      <c r="H560" s="8">
        <v>0</v>
      </c>
      <c r="I560" s="8">
        <v>2</v>
      </c>
      <c r="J560" s="8">
        <v>4</v>
      </c>
      <c r="K560" s="8">
        <v>50</v>
      </c>
      <c r="L560" s="9">
        <v>1</v>
      </c>
      <c r="M560" s="9">
        <v>2</v>
      </c>
      <c r="N560" s="9">
        <v>3</v>
      </c>
      <c r="O560" s="9">
        <v>1</v>
      </c>
      <c r="P560" s="9">
        <v>1</v>
      </c>
      <c r="Q560" s="8">
        <v>0</v>
      </c>
      <c r="R560" s="8">
        <v>0</v>
      </c>
      <c r="S560" s="9">
        <v>4</v>
      </c>
      <c r="T560" s="8">
        <v>6</v>
      </c>
      <c r="U560" s="8">
        <v>0</v>
      </c>
      <c r="V560" s="8">
        <v>0</v>
      </c>
      <c r="W560" s="7">
        <v>-3</v>
      </c>
      <c r="X560" s="7">
        <v>61.4</v>
      </c>
      <c r="Y560" s="7">
        <v>104.7</v>
      </c>
      <c r="Z560" s="7">
        <v>-43.3</v>
      </c>
      <c r="AA560" s="7">
        <v>11.1</v>
      </c>
      <c r="AB560" s="7">
        <v>1</v>
      </c>
      <c r="AC560" s="7">
        <v>16.7</v>
      </c>
      <c r="AD560" s="7">
        <v>4</v>
      </c>
      <c r="AE560" s="7">
        <v>9.5</v>
      </c>
      <c r="AF560" s="7">
        <v>6.5</v>
      </c>
      <c r="AG560" s="7">
        <v>16.7</v>
      </c>
      <c r="AH560" s="7">
        <v>0</v>
      </c>
      <c r="AI560" s="7">
        <v>26.6</v>
      </c>
      <c r="AJ560" s="7">
        <v>10.199999999999999</v>
      </c>
      <c r="AK560" s="7">
        <v>99.59</v>
      </c>
      <c r="AL560" s="7">
        <v>-6.9</v>
      </c>
      <c r="AM560" s="7">
        <v>44</v>
      </c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1"/>
    </row>
    <row r="561" spans="1:64" ht="13">
      <c r="A561" s="6" t="s">
        <v>1161</v>
      </c>
      <c r="B561" s="6" t="s">
        <v>1162</v>
      </c>
      <c r="C561" s="31">
        <v>1</v>
      </c>
      <c r="D561" s="25">
        <v>0</v>
      </c>
      <c r="E561" s="24">
        <v>1</v>
      </c>
      <c r="F561" s="8">
        <v>0</v>
      </c>
      <c r="G561" s="9">
        <v>1</v>
      </c>
      <c r="H561" s="8">
        <v>0</v>
      </c>
      <c r="I561" s="8">
        <v>1</v>
      </c>
      <c r="J561" s="8">
        <v>2</v>
      </c>
      <c r="K561" s="8">
        <v>50</v>
      </c>
      <c r="L561" s="8">
        <v>0</v>
      </c>
      <c r="M561" s="9">
        <v>4</v>
      </c>
      <c r="N561" s="9">
        <v>4</v>
      </c>
      <c r="O561" s="9">
        <v>3</v>
      </c>
      <c r="P561" s="9">
        <v>4</v>
      </c>
      <c r="Q561" s="8">
        <v>0</v>
      </c>
      <c r="R561" s="8">
        <v>0</v>
      </c>
      <c r="S561" s="9">
        <v>1</v>
      </c>
      <c r="T561" s="8">
        <v>6</v>
      </c>
      <c r="U561" s="8">
        <v>0</v>
      </c>
      <c r="V561" s="8">
        <v>0</v>
      </c>
      <c r="W561" s="7">
        <v>3</v>
      </c>
      <c r="X561" s="7">
        <v>103.2</v>
      </c>
      <c r="Y561" s="7">
        <v>79.3</v>
      </c>
      <c r="Z561" s="7">
        <v>23.9</v>
      </c>
      <c r="AA561" s="7">
        <v>23.1</v>
      </c>
      <c r="AB561" s="7">
        <v>0.75</v>
      </c>
      <c r="AC561" s="7">
        <v>33.299999999999997</v>
      </c>
      <c r="AD561" s="7">
        <v>0</v>
      </c>
      <c r="AE561" s="7">
        <v>44.4</v>
      </c>
      <c r="AF561" s="7">
        <v>21.1</v>
      </c>
      <c r="AG561" s="7">
        <v>44.4</v>
      </c>
      <c r="AH561" s="7">
        <v>0</v>
      </c>
      <c r="AI561" s="7">
        <v>26.6</v>
      </c>
      <c r="AJ561" s="7">
        <v>17.600000000000001</v>
      </c>
      <c r="AK561" s="7">
        <v>108.82</v>
      </c>
      <c r="AL561" s="7">
        <v>2.4</v>
      </c>
      <c r="AM561" s="7">
        <v>31</v>
      </c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1"/>
    </row>
    <row r="562" spans="1:64" ht="13">
      <c r="A562" s="6" t="s">
        <v>1163</v>
      </c>
      <c r="B562" s="6" t="s">
        <v>1164</v>
      </c>
      <c r="C562" s="31">
        <v>0</v>
      </c>
      <c r="D562" s="25">
        <v>0</v>
      </c>
      <c r="E562" s="25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9">
        <v>1</v>
      </c>
      <c r="N562" s="9">
        <v>1</v>
      </c>
      <c r="O562" s="9">
        <v>1</v>
      </c>
      <c r="P562" s="8">
        <v>0</v>
      </c>
      <c r="Q562" s="8">
        <v>0</v>
      </c>
      <c r="R562" s="8">
        <v>0</v>
      </c>
      <c r="S562" s="8">
        <v>0</v>
      </c>
      <c r="T562" s="8">
        <v>3</v>
      </c>
      <c r="U562" s="8">
        <v>0</v>
      </c>
      <c r="V562" s="8">
        <v>0</v>
      </c>
      <c r="W562" s="7">
        <v>5</v>
      </c>
      <c r="X562" s="7">
        <v>125</v>
      </c>
      <c r="Y562" s="7">
        <v>62.5</v>
      </c>
      <c r="Z562" s="7">
        <v>62.5</v>
      </c>
      <c r="AA562" s="7">
        <v>25</v>
      </c>
      <c r="AB562" s="7">
        <v>0</v>
      </c>
      <c r="AC562" s="7">
        <v>100</v>
      </c>
      <c r="AD562" s="7">
        <v>0</v>
      </c>
      <c r="AE562" s="7">
        <v>25</v>
      </c>
      <c r="AF562" s="7">
        <v>11.1</v>
      </c>
      <c r="AG562" s="7">
        <v>0</v>
      </c>
      <c r="AH562" s="7">
        <v>0</v>
      </c>
      <c r="AI562" s="7">
        <v>0</v>
      </c>
      <c r="AJ562" s="7">
        <v>0</v>
      </c>
      <c r="AK562" s="7">
        <v>114.06</v>
      </c>
      <c r="AL562" s="7">
        <v>13.3</v>
      </c>
      <c r="AM562" s="7">
        <v>8</v>
      </c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1"/>
    </row>
    <row r="563" spans="1:64" ht="13">
      <c r="A563" s="6" t="s">
        <v>1165</v>
      </c>
      <c r="B563" s="6" t="s">
        <v>1166</v>
      </c>
      <c r="C563" s="31">
        <v>0</v>
      </c>
      <c r="D563" s="25">
        <v>0</v>
      </c>
      <c r="E563" s="24">
        <v>1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7">
        <v>0.3</v>
      </c>
      <c r="X563" s="7">
        <v>83.3</v>
      </c>
      <c r="Y563" s="7">
        <v>66.7</v>
      </c>
      <c r="Z563" s="7">
        <v>16.7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16.7</v>
      </c>
      <c r="AK563" s="7">
        <v>110.7</v>
      </c>
      <c r="AL563" s="7">
        <v>-8.6999999999999993</v>
      </c>
      <c r="AM563" s="7">
        <v>6</v>
      </c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1"/>
    </row>
    <row r="564" spans="1:64" ht="13">
      <c r="A564" s="6" t="s">
        <v>1167</v>
      </c>
      <c r="B564" s="6" t="s">
        <v>1168</v>
      </c>
      <c r="C564" s="31">
        <v>0</v>
      </c>
      <c r="D564" s="25">
        <v>0</v>
      </c>
      <c r="E564" s="24">
        <v>2</v>
      </c>
      <c r="F564" s="8">
        <v>0</v>
      </c>
      <c r="G564" s="9">
        <v>1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9">
        <v>2</v>
      </c>
      <c r="N564" s="9">
        <v>2</v>
      </c>
      <c r="O564" s="8">
        <v>0</v>
      </c>
      <c r="P564" s="8">
        <v>0</v>
      </c>
      <c r="Q564" s="9">
        <v>1</v>
      </c>
      <c r="R564" s="8">
        <v>0</v>
      </c>
      <c r="S564" s="8">
        <v>0</v>
      </c>
      <c r="T564" s="8">
        <v>5</v>
      </c>
      <c r="U564" s="8">
        <v>0</v>
      </c>
      <c r="V564" s="8">
        <v>0</v>
      </c>
      <c r="W564" s="7">
        <v>1.3</v>
      </c>
      <c r="X564" s="7">
        <v>61.5</v>
      </c>
      <c r="Y564" s="7">
        <v>30.8</v>
      </c>
      <c r="Z564" s="7">
        <v>30.8</v>
      </c>
      <c r="AA564" s="7">
        <v>0</v>
      </c>
      <c r="AB564" s="7">
        <v>0</v>
      </c>
      <c r="AC564" s="7">
        <v>0</v>
      </c>
      <c r="AD564" s="7">
        <v>0</v>
      </c>
      <c r="AE564" s="7">
        <v>22.2</v>
      </c>
      <c r="AF564" s="7">
        <v>12.5</v>
      </c>
      <c r="AG564" s="7">
        <v>0</v>
      </c>
      <c r="AH564" s="7">
        <v>0</v>
      </c>
      <c r="AI564" s="7">
        <v>0</v>
      </c>
      <c r="AJ564" s="7">
        <v>14.3</v>
      </c>
      <c r="AK564" s="7">
        <v>112.43</v>
      </c>
      <c r="AL564" s="7">
        <v>12.5</v>
      </c>
      <c r="AM564" s="7">
        <v>13</v>
      </c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1"/>
    </row>
    <row r="565" spans="1:64" ht="13">
      <c r="A565" s="6" t="s">
        <v>1169</v>
      </c>
      <c r="B565" s="6" t="s">
        <v>1170</v>
      </c>
      <c r="C565" s="31">
        <v>0</v>
      </c>
      <c r="D565" s="25">
        <v>0</v>
      </c>
      <c r="E565" s="25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9">
        <v>1</v>
      </c>
      <c r="P565" s="8">
        <v>0</v>
      </c>
      <c r="Q565" s="8">
        <v>0</v>
      </c>
      <c r="R565" s="8">
        <v>0</v>
      </c>
      <c r="S565" s="9">
        <v>2</v>
      </c>
      <c r="T565" s="8">
        <v>2</v>
      </c>
      <c r="U565" s="8">
        <v>0</v>
      </c>
      <c r="V565" s="8">
        <v>0</v>
      </c>
      <c r="W565" s="7">
        <v>-5</v>
      </c>
      <c r="X565" s="7">
        <v>72.7</v>
      </c>
      <c r="Y565" s="7">
        <v>150</v>
      </c>
      <c r="Z565" s="7">
        <v>-77.3</v>
      </c>
      <c r="AA565" s="7">
        <v>25</v>
      </c>
      <c r="AB565" s="7">
        <v>0</v>
      </c>
      <c r="AC565" s="7">
        <v>100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118.29</v>
      </c>
      <c r="AL565" s="7">
        <v>-4.3</v>
      </c>
      <c r="AM565" s="7">
        <v>11</v>
      </c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1"/>
    </row>
    <row r="566" spans="1:64" ht="13">
      <c r="A566" s="6" t="s">
        <v>1171</v>
      </c>
      <c r="B566" s="6" t="s">
        <v>1172</v>
      </c>
      <c r="C566" s="31">
        <v>0</v>
      </c>
      <c r="D566" s="25">
        <v>0</v>
      </c>
      <c r="E566" s="24">
        <v>2</v>
      </c>
      <c r="F566" s="8">
        <v>0</v>
      </c>
      <c r="G566" s="9">
        <v>1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9">
        <v>1</v>
      </c>
      <c r="N566" s="9">
        <v>1</v>
      </c>
      <c r="O566" s="9">
        <v>3</v>
      </c>
      <c r="P566" s="8">
        <v>0</v>
      </c>
      <c r="Q566" s="8">
        <v>0</v>
      </c>
      <c r="R566" s="8">
        <v>0</v>
      </c>
      <c r="S566" s="9">
        <v>2</v>
      </c>
      <c r="T566" s="8">
        <v>6</v>
      </c>
      <c r="U566" s="8">
        <v>0</v>
      </c>
      <c r="V566" s="8">
        <v>0</v>
      </c>
      <c r="W566" s="7">
        <v>-1</v>
      </c>
      <c r="X566" s="7">
        <v>119</v>
      </c>
      <c r="Y566" s="7">
        <v>128.6</v>
      </c>
      <c r="Z566" s="7">
        <v>-9.5</v>
      </c>
      <c r="AA566" s="7">
        <v>33.299999999999997</v>
      </c>
      <c r="AB566" s="7">
        <v>0</v>
      </c>
      <c r="AC566" s="7">
        <v>60</v>
      </c>
      <c r="AD566" s="7">
        <v>0</v>
      </c>
      <c r="AE566" s="7">
        <v>10</v>
      </c>
      <c r="AF566" s="7">
        <v>5</v>
      </c>
      <c r="AG566" s="7">
        <v>0</v>
      </c>
      <c r="AH566" s="7">
        <v>0</v>
      </c>
      <c r="AI566" s="7">
        <v>0</v>
      </c>
      <c r="AJ566" s="7">
        <v>8.6999999999999993</v>
      </c>
      <c r="AK566" s="7">
        <v>98.5</v>
      </c>
      <c r="AL566" s="7">
        <v>0</v>
      </c>
      <c r="AM566" s="7">
        <v>21</v>
      </c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1"/>
    </row>
    <row r="567" spans="1:64" ht="13">
      <c r="A567" s="6" t="s">
        <v>1173</v>
      </c>
      <c r="B567" s="6" t="s">
        <v>1174</v>
      </c>
      <c r="C567" s="31">
        <v>0</v>
      </c>
      <c r="D567" s="25">
        <v>0</v>
      </c>
      <c r="E567" s="24">
        <v>2</v>
      </c>
      <c r="F567" s="8">
        <v>0</v>
      </c>
      <c r="G567" s="9">
        <v>1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9">
        <v>1</v>
      </c>
      <c r="N567" s="9">
        <v>1</v>
      </c>
      <c r="O567" s="9">
        <v>1</v>
      </c>
      <c r="P567" s="8">
        <v>0</v>
      </c>
      <c r="Q567" s="8">
        <v>0</v>
      </c>
      <c r="R567" s="8">
        <v>0</v>
      </c>
      <c r="S567" s="8">
        <v>0</v>
      </c>
      <c r="T567" s="8">
        <v>3</v>
      </c>
      <c r="U567" s="8">
        <v>0</v>
      </c>
      <c r="V567" s="8">
        <v>0</v>
      </c>
      <c r="W567" s="7">
        <v>-3</v>
      </c>
      <c r="X567" s="7">
        <v>86.7</v>
      </c>
      <c r="Y567" s="7">
        <v>106.7</v>
      </c>
      <c r="Z567" s="7">
        <v>-20</v>
      </c>
      <c r="AA567" s="7">
        <v>16.7</v>
      </c>
      <c r="AB567" s="7">
        <v>0</v>
      </c>
      <c r="AC567" s="7">
        <v>33.299999999999997</v>
      </c>
      <c r="AD567" s="7">
        <v>0</v>
      </c>
      <c r="AE567" s="7">
        <v>11.1</v>
      </c>
      <c r="AF567" s="7">
        <v>5.9</v>
      </c>
      <c r="AG567" s="7">
        <v>0</v>
      </c>
      <c r="AH567" s="7">
        <v>0</v>
      </c>
      <c r="AI567" s="7">
        <v>0</v>
      </c>
      <c r="AJ567" s="7">
        <v>11.1</v>
      </c>
      <c r="AK567" s="7">
        <v>91.33</v>
      </c>
      <c r="AL567" s="7">
        <v>0</v>
      </c>
      <c r="AM567" s="7">
        <v>15</v>
      </c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1"/>
    </row>
    <row r="568" spans="1:64" ht="13">
      <c r="A568" s="6" t="s">
        <v>1175</v>
      </c>
      <c r="B568" s="6" t="s">
        <v>1176</v>
      </c>
      <c r="C568" s="31">
        <v>0</v>
      </c>
      <c r="D568" s="25">
        <v>0</v>
      </c>
      <c r="E568" s="24">
        <v>1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9">
        <v>1</v>
      </c>
      <c r="M568" s="8">
        <v>0</v>
      </c>
      <c r="N568" s="9">
        <v>1</v>
      </c>
      <c r="O568" s="9">
        <v>2</v>
      </c>
      <c r="P568" s="8">
        <v>0</v>
      </c>
      <c r="Q568" s="8">
        <v>0</v>
      </c>
      <c r="R568" s="8">
        <v>0</v>
      </c>
      <c r="S568" s="8">
        <v>0</v>
      </c>
      <c r="T568" s="8">
        <v>4</v>
      </c>
      <c r="U568" s="8">
        <v>0</v>
      </c>
      <c r="V568" s="8">
        <v>0</v>
      </c>
      <c r="W568" s="7">
        <v>3</v>
      </c>
      <c r="X568" s="7">
        <v>135.69999999999999</v>
      </c>
      <c r="Y568" s="7">
        <v>71.400000000000006</v>
      </c>
      <c r="Z568" s="7">
        <v>64.3</v>
      </c>
      <c r="AA568" s="7">
        <v>28.6</v>
      </c>
      <c r="AB568" s="7">
        <v>0</v>
      </c>
      <c r="AC568" s="7">
        <v>66.7</v>
      </c>
      <c r="AD568" s="7">
        <v>25</v>
      </c>
      <c r="AE568" s="7">
        <v>0</v>
      </c>
      <c r="AF568" s="7">
        <v>8.3000000000000007</v>
      </c>
      <c r="AG568" s="7">
        <v>0</v>
      </c>
      <c r="AH568" s="7">
        <v>0</v>
      </c>
      <c r="AI568" s="7">
        <v>0</v>
      </c>
      <c r="AJ568" s="7">
        <v>6.7</v>
      </c>
      <c r="AK568" s="7">
        <v>106.11</v>
      </c>
      <c r="AL568" s="7">
        <v>4.3</v>
      </c>
      <c r="AM568" s="7">
        <v>14</v>
      </c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1"/>
    </row>
    <row r="569" spans="1:64" ht="13">
      <c r="A569" s="6" t="s">
        <v>1177</v>
      </c>
      <c r="B569" s="6" t="s">
        <v>1178</v>
      </c>
      <c r="C569" s="31">
        <v>0</v>
      </c>
      <c r="D569" s="25">
        <v>0</v>
      </c>
      <c r="E569" s="24">
        <v>1</v>
      </c>
      <c r="F569" s="8">
        <v>0</v>
      </c>
      <c r="G569" s="9">
        <v>1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9">
        <v>2</v>
      </c>
      <c r="N569" s="9">
        <v>2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2</v>
      </c>
      <c r="U569" s="8">
        <v>0</v>
      </c>
      <c r="V569" s="8">
        <v>0</v>
      </c>
      <c r="W569" s="7">
        <v>0</v>
      </c>
      <c r="X569" s="7">
        <v>93.3</v>
      </c>
      <c r="Y569" s="7">
        <v>93.3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20</v>
      </c>
      <c r="AF569" s="7">
        <v>11.8</v>
      </c>
      <c r="AG569" s="7">
        <v>0</v>
      </c>
      <c r="AH569" s="7">
        <v>0</v>
      </c>
      <c r="AI569" s="7">
        <v>0</v>
      </c>
      <c r="AJ569" s="7">
        <v>6.3</v>
      </c>
      <c r="AK569" s="7">
        <v>106.67</v>
      </c>
      <c r="AL569" s="7">
        <v>3.9</v>
      </c>
      <c r="AM569" s="7">
        <v>15</v>
      </c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1"/>
    </row>
    <row r="570" spans="1:64" ht="13">
      <c r="A570" s="6" t="s">
        <v>1179</v>
      </c>
      <c r="B570" s="6" t="s">
        <v>1180</v>
      </c>
      <c r="C570" s="31">
        <v>0</v>
      </c>
      <c r="D570" s="25">
        <v>0</v>
      </c>
      <c r="E570" s="25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9">
        <v>1</v>
      </c>
      <c r="P570" s="8">
        <v>0</v>
      </c>
      <c r="Q570" s="9">
        <v>1</v>
      </c>
      <c r="R570" s="8">
        <v>0</v>
      </c>
      <c r="S570" s="8">
        <v>0</v>
      </c>
      <c r="T570" s="8">
        <v>4</v>
      </c>
      <c r="U570" s="8">
        <v>0</v>
      </c>
      <c r="V570" s="8">
        <v>0</v>
      </c>
      <c r="W570" s="7">
        <v>-0.3</v>
      </c>
      <c r="X570" s="7">
        <v>81.3</v>
      </c>
      <c r="Y570" s="7">
        <v>77.8</v>
      </c>
      <c r="Z570" s="7">
        <v>3.5</v>
      </c>
      <c r="AA570" s="7">
        <v>25</v>
      </c>
      <c r="AB570" s="7">
        <v>0</v>
      </c>
      <c r="AC570" s="7">
        <v>100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111.25</v>
      </c>
      <c r="AL570" s="7">
        <v>11.4</v>
      </c>
      <c r="AM570" s="7">
        <v>16</v>
      </c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1"/>
    </row>
  </sheetData>
  <autoFilter ref="A1:AM570" xr:uid="{00000000-0009-0000-0000-000001000000}"/>
  <hyperlinks>
    <hyperlink ref="A2" r:id="rId1" xr:uid="{00000000-0004-0000-0100-000000000000}"/>
    <hyperlink ref="B2" r:id="rId2" xr:uid="{00000000-0004-0000-0100-000001000000}"/>
    <hyperlink ref="A3" r:id="rId3" xr:uid="{00000000-0004-0000-0100-000002000000}"/>
    <hyperlink ref="B3" r:id="rId4" xr:uid="{00000000-0004-0000-0100-000003000000}"/>
    <hyperlink ref="A4" r:id="rId5" xr:uid="{00000000-0004-0000-0100-000004000000}"/>
    <hyperlink ref="B4" r:id="rId6" xr:uid="{00000000-0004-0000-0100-000005000000}"/>
    <hyperlink ref="A5" r:id="rId7" xr:uid="{00000000-0004-0000-0100-000006000000}"/>
    <hyperlink ref="B5" r:id="rId8" xr:uid="{00000000-0004-0000-0100-000007000000}"/>
    <hyperlink ref="A6" r:id="rId9" xr:uid="{00000000-0004-0000-0100-000008000000}"/>
    <hyperlink ref="B6" r:id="rId10" xr:uid="{00000000-0004-0000-0100-000009000000}"/>
    <hyperlink ref="A7" r:id="rId11" xr:uid="{00000000-0004-0000-0100-00000A000000}"/>
    <hyperlink ref="B7" r:id="rId12" xr:uid="{00000000-0004-0000-0100-00000B000000}"/>
    <hyperlink ref="A8" r:id="rId13" xr:uid="{00000000-0004-0000-0100-00000C000000}"/>
    <hyperlink ref="B8" r:id="rId14" xr:uid="{00000000-0004-0000-0100-00000D000000}"/>
    <hyperlink ref="A9" r:id="rId15" xr:uid="{00000000-0004-0000-0100-00000E000000}"/>
    <hyperlink ref="B9" r:id="rId16" xr:uid="{00000000-0004-0000-0100-00000F000000}"/>
    <hyperlink ref="A10" r:id="rId17" xr:uid="{00000000-0004-0000-0100-000010000000}"/>
    <hyperlink ref="B10" r:id="rId18" xr:uid="{00000000-0004-0000-0100-000011000000}"/>
    <hyperlink ref="A11" r:id="rId19" xr:uid="{00000000-0004-0000-0100-000012000000}"/>
    <hyperlink ref="B11" r:id="rId20" xr:uid="{00000000-0004-0000-0100-000013000000}"/>
    <hyperlink ref="A12" r:id="rId21" xr:uid="{00000000-0004-0000-0100-000014000000}"/>
    <hyperlink ref="B12" r:id="rId22" xr:uid="{00000000-0004-0000-0100-000015000000}"/>
    <hyperlink ref="A13" r:id="rId23" xr:uid="{00000000-0004-0000-0100-000016000000}"/>
    <hyperlink ref="B13" r:id="rId24" xr:uid="{00000000-0004-0000-0100-000017000000}"/>
    <hyperlink ref="A14" r:id="rId25" xr:uid="{00000000-0004-0000-0100-000018000000}"/>
    <hyperlink ref="B14" r:id="rId26" xr:uid="{00000000-0004-0000-0100-000019000000}"/>
    <hyperlink ref="A15" r:id="rId27" xr:uid="{00000000-0004-0000-0100-00001A000000}"/>
    <hyperlink ref="B15" r:id="rId28" xr:uid="{00000000-0004-0000-0100-00001B000000}"/>
    <hyperlink ref="A16" r:id="rId29" xr:uid="{00000000-0004-0000-0100-00001C000000}"/>
    <hyperlink ref="B16" r:id="rId30" xr:uid="{00000000-0004-0000-0100-00001D000000}"/>
    <hyperlink ref="A17" r:id="rId31" xr:uid="{00000000-0004-0000-0100-00001E000000}"/>
    <hyperlink ref="B17" r:id="rId32" xr:uid="{00000000-0004-0000-0100-00001F000000}"/>
    <hyperlink ref="A18" r:id="rId33" xr:uid="{00000000-0004-0000-0100-000020000000}"/>
    <hyperlink ref="B18" r:id="rId34" xr:uid="{00000000-0004-0000-0100-000021000000}"/>
    <hyperlink ref="A19" r:id="rId35" xr:uid="{00000000-0004-0000-0100-000022000000}"/>
    <hyperlink ref="B19" r:id="rId36" xr:uid="{00000000-0004-0000-0100-000023000000}"/>
    <hyperlink ref="A20" r:id="rId37" xr:uid="{00000000-0004-0000-0100-000024000000}"/>
    <hyperlink ref="B20" r:id="rId38" xr:uid="{00000000-0004-0000-0100-000025000000}"/>
    <hyperlink ref="A21" r:id="rId39" xr:uid="{00000000-0004-0000-0100-000026000000}"/>
    <hyperlink ref="B21" r:id="rId40" xr:uid="{00000000-0004-0000-0100-000027000000}"/>
    <hyperlink ref="A22" r:id="rId41" xr:uid="{00000000-0004-0000-0100-000028000000}"/>
    <hyperlink ref="B22" r:id="rId42" xr:uid="{00000000-0004-0000-0100-000029000000}"/>
    <hyperlink ref="A23" r:id="rId43" xr:uid="{00000000-0004-0000-0100-00002A000000}"/>
    <hyperlink ref="B23" r:id="rId44" xr:uid="{00000000-0004-0000-0100-00002B000000}"/>
    <hyperlink ref="A24" r:id="rId45" xr:uid="{00000000-0004-0000-0100-00002C000000}"/>
    <hyperlink ref="B24" r:id="rId46" xr:uid="{00000000-0004-0000-0100-00002D000000}"/>
    <hyperlink ref="A25" r:id="rId47" xr:uid="{00000000-0004-0000-0100-00002E000000}"/>
    <hyperlink ref="B25" r:id="rId48" xr:uid="{00000000-0004-0000-0100-00002F000000}"/>
    <hyperlink ref="A26" r:id="rId49" xr:uid="{00000000-0004-0000-0100-000030000000}"/>
    <hyperlink ref="B26" r:id="rId50" xr:uid="{00000000-0004-0000-0100-000031000000}"/>
    <hyperlink ref="A27" r:id="rId51" xr:uid="{00000000-0004-0000-0100-000032000000}"/>
    <hyperlink ref="B27" r:id="rId52" xr:uid="{00000000-0004-0000-0100-000033000000}"/>
    <hyperlink ref="A28" r:id="rId53" xr:uid="{00000000-0004-0000-0100-000034000000}"/>
    <hyperlink ref="B28" r:id="rId54" xr:uid="{00000000-0004-0000-0100-000035000000}"/>
    <hyperlink ref="A29" r:id="rId55" xr:uid="{00000000-0004-0000-0100-000036000000}"/>
    <hyperlink ref="B29" r:id="rId56" xr:uid="{00000000-0004-0000-0100-000037000000}"/>
    <hyperlink ref="A30" r:id="rId57" xr:uid="{00000000-0004-0000-0100-000038000000}"/>
    <hyperlink ref="B30" r:id="rId58" xr:uid="{00000000-0004-0000-0100-000039000000}"/>
    <hyperlink ref="A31" r:id="rId59" xr:uid="{00000000-0004-0000-0100-00003A000000}"/>
    <hyperlink ref="B31" r:id="rId60" xr:uid="{00000000-0004-0000-0100-00003B000000}"/>
    <hyperlink ref="A32" r:id="rId61" xr:uid="{00000000-0004-0000-0100-00003C000000}"/>
    <hyperlink ref="B32" r:id="rId62" xr:uid="{00000000-0004-0000-0100-00003D000000}"/>
    <hyperlink ref="A33" r:id="rId63" xr:uid="{00000000-0004-0000-0100-00003E000000}"/>
    <hyperlink ref="B33" r:id="rId64" xr:uid="{00000000-0004-0000-0100-00003F000000}"/>
    <hyperlink ref="A34" r:id="rId65" xr:uid="{00000000-0004-0000-0100-000040000000}"/>
    <hyperlink ref="B34" r:id="rId66" xr:uid="{00000000-0004-0000-0100-000041000000}"/>
    <hyperlink ref="A35" r:id="rId67" xr:uid="{00000000-0004-0000-0100-000042000000}"/>
    <hyperlink ref="B35" r:id="rId68" xr:uid="{00000000-0004-0000-0100-000043000000}"/>
    <hyperlink ref="A36" r:id="rId69" xr:uid="{00000000-0004-0000-0100-000044000000}"/>
    <hyperlink ref="B36" r:id="rId70" xr:uid="{00000000-0004-0000-0100-000045000000}"/>
    <hyperlink ref="A37" r:id="rId71" xr:uid="{00000000-0004-0000-0100-000046000000}"/>
    <hyperlink ref="B37" r:id="rId72" xr:uid="{00000000-0004-0000-0100-000047000000}"/>
    <hyperlink ref="A38" r:id="rId73" xr:uid="{00000000-0004-0000-0100-000048000000}"/>
    <hyperlink ref="B38" r:id="rId74" xr:uid="{00000000-0004-0000-0100-000049000000}"/>
    <hyperlink ref="A39" r:id="rId75" xr:uid="{00000000-0004-0000-0100-00004A000000}"/>
    <hyperlink ref="B39" r:id="rId76" xr:uid="{00000000-0004-0000-0100-00004B000000}"/>
    <hyperlink ref="A40" r:id="rId77" xr:uid="{00000000-0004-0000-0100-00004C000000}"/>
    <hyperlink ref="B40" r:id="rId78" xr:uid="{00000000-0004-0000-0100-00004D000000}"/>
    <hyperlink ref="A41" r:id="rId79" xr:uid="{00000000-0004-0000-0100-00004E000000}"/>
    <hyperlink ref="B41" r:id="rId80" xr:uid="{00000000-0004-0000-0100-00004F000000}"/>
    <hyperlink ref="A42" r:id="rId81" xr:uid="{00000000-0004-0000-0100-000050000000}"/>
    <hyperlink ref="B42" r:id="rId82" xr:uid="{00000000-0004-0000-0100-000051000000}"/>
    <hyperlink ref="A43" r:id="rId83" xr:uid="{00000000-0004-0000-0100-000052000000}"/>
    <hyperlink ref="B43" r:id="rId84" xr:uid="{00000000-0004-0000-0100-000053000000}"/>
    <hyperlink ref="A44" r:id="rId85" xr:uid="{00000000-0004-0000-0100-000054000000}"/>
    <hyperlink ref="B44" r:id="rId86" xr:uid="{00000000-0004-0000-0100-000055000000}"/>
    <hyperlink ref="A45" r:id="rId87" xr:uid="{00000000-0004-0000-0100-000056000000}"/>
    <hyperlink ref="B45" r:id="rId88" xr:uid="{00000000-0004-0000-0100-000057000000}"/>
    <hyperlink ref="A46" r:id="rId89" xr:uid="{00000000-0004-0000-0100-000058000000}"/>
    <hyperlink ref="B46" r:id="rId90" xr:uid="{00000000-0004-0000-0100-000059000000}"/>
    <hyperlink ref="A47" r:id="rId91" xr:uid="{00000000-0004-0000-0100-00005A000000}"/>
    <hyperlink ref="B47" r:id="rId92" xr:uid="{00000000-0004-0000-0100-00005B000000}"/>
    <hyperlink ref="A48" r:id="rId93" xr:uid="{00000000-0004-0000-0100-00005C000000}"/>
    <hyperlink ref="B48" r:id="rId94" xr:uid="{00000000-0004-0000-0100-00005D000000}"/>
    <hyperlink ref="A49" r:id="rId95" xr:uid="{00000000-0004-0000-0100-00005E000000}"/>
    <hyperlink ref="B49" r:id="rId96" xr:uid="{00000000-0004-0000-0100-00005F000000}"/>
    <hyperlink ref="A50" r:id="rId97" xr:uid="{00000000-0004-0000-0100-000060000000}"/>
    <hyperlink ref="B50" r:id="rId98" xr:uid="{00000000-0004-0000-0100-000061000000}"/>
    <hyperlink ref="A51" r:id="rId99" xr:uid="{00000000-0004-0000-0100-000062000000}"/>
    <hyperlink ref="B51" r:id="rId100" xr:uid="{00000000-0004-0000-0100-000063000000}"/>
    <hyperlink ref="A52" r:id="rId101" xr:uid="{00000000-0004-0000-0100-000064000000}"/>
    <hyperlink ref="B52" r:id="rId102" xr:uid="{00000000-0004-0000-0100-000065000000}"/>
    <hyperlink ref="A53" r:id="rId103" xr:uid="{00000000-0004-0000-0100-000066000000}"/>
    <hyperlink ref="B53" r:id="rId104" xr:uid="{00000000-0004-0000-0100-000067000000}"/>
    <hyperlink ref="A54" r:id="rId105" xr:uid="{00000000-0004-0000-0100-000068000000}"/>
    <hyperlink ref="B54" r:id="rId106" xr:uid="{00000000-0004-0000-0100-000069000000}"/>
    <hyperlink ref="A55" r:id="rId107" xr:uid="{00000000-0004-0000-0100-00006A000000}"/>
    <hyperlink ref="B55" r:id="rId108" xr:uid="{00000000-0004-0000-0100-00006B000000}"/>
    <hyperlink ref="A56" r:id="rId109" xr:uid="{00000000-0004-0000-0100-00006C000000}"/>
    <hyperlink ref="B56" r:id="rId110" xr:uid="{00000000-0004-0000-0100-00006D000000}"/>
    <hyperlink ref="A57" r:id="rId111" xr:uid="{00000000-0004-0000-0100-00006E000000}"/>
    <hyperlink ref="B57" r:id="rId112" xr:uid="{00000000-0004-0000-0100-00006F000000}"/>
    <hyperlink ref="A58" r:id="rId113" xr:uid="{00000000-0004-0000-0100-000070000000}"/>
    <hyperlink ref="B58" r:id="rId114" xr:uid="{00000000-0004-0000-0100-000071000000}"/>
    <hyperlink ref="A59" r:id="rId115" xr:uid="{00000000-0004-0000-0100-000072000000}"/>
    <hyperlink ref="B59" r:id="rId116" xr:uid="{00000000-0004-0000-0100-000073000000}"/>
    <hyperlink ref="A60" r:id="rId117" xr:uid="{00000000-0004-0000-0100-000074000000}"/>
    <hyperlink ref="B60" r:id="rId118" xr:uid="{00000000-0004-0000-0100-000075000000}"/>
    <hyperlink ref="A61" r:id="rId119" xr:uid="{00000000-0004-0000-0100-000076000000}"/>
    <hyperlink ref="B61" r:id="rId120" xr:uid="{00000000-0004-0000-0100-000077000000}"/>
    <hyperlink ref="A62" r:id="rId121" xr:uid="{00000000-0004-0000-0100-000078000000}"/>
    <hyperlink ref="B62" r:id="rId122" xr:uid="{00000000-0004-0000-0100-000079000000}"/>
    <hyperlink ref="A63" r:id="rId123" xr:uid="{00000000-0004-0000-0100-00007A000000}"/>
    <hyperlink ref="B63" r:id="rId124" xr:uid="{00000000-0004-0000-0100-00007B000000}"/>
    <hyperlink ref="A64" r:id="rId125" xr:uid="{00000000-0004-0000-0100-00007C000000}"/>
    <hyperlink ref="B64" r:id="rId126" xr:uid="{00000000-0004-0000-0100-00007D000000}"/>
    <hyperlink ref="A65" r:id="rId127" xr:uid="{00000000-0004-0000-0100-00007E000000}"/>
    <hyperlink ref="B65" r:id="rId128" xr:uid="{00000000-0004-0000-0100-00007F000000}"/>
    <hyperlink ref="A66" r:id="rId129" xr:uid="{00000000-0004-0000-0100-000080000000}"/>
    <hyperlink ref="B66" r:id="rId130" xr:uid="{00000000-0004-0000-0100-000081000000}"/>
    <hyperlink ref="A67" r:id="rId131" xr:uid="{00000000-0004-0000-0100-000082000000}"/>
    <hyperlink ref="B67" r:id="rId132" xr:uid="{00000000-0004-0000-0100-000083000000}"/>
    <hyperlink ref="A68" r:id="rId133" xr:uid="{00000000-0004-0000-0100-000084000000}"/>
    <hyperlink ref="B68" r:id="rId134" xr:uid="{00000000-0004-0000-0100-000085000000}"/>
    <hyperlink ref="A69" r:id="rId135" xr:uid="{00000000-0004-0000-0100-000086000000}"/>
    <hyperlink ref="B69" r:id="rId136" xr:uid="{00000000-0004-0000-0100-000087000000}"/>
    <hyperlink ref="A70" r:id="rId137" xr:uid="{00000000-0004-0000-0100-000088000000}"/>
    <hyperlink ref="B70" r:id="rId138" xr:uid="{00000000-0004-0000-0100-000089000000}"/>
    <hyperlink ref="A71" r:id="rId139" xr:uid="{00000000-0004-0000-0100-00008A000000}"/>
    <hyperlink ref="B71" r:id="rId140" xr:uid="{00000000-0004-0000-0100-00008B000000}"/>
    <hyperlink ref="A72" r:id="rId141" xr:uid="{00000000-0004-0000-0100-00008C000000}"/>
    <hyperlink ref="B72" r:id="rId142" xr:uid="{00000000-0004-0000-0100-00008D000000}"/>
    <hyperlink ref="A73" r:id="rId143" xr:uid="{00000000-0004-0000-0100-00008E000000}"/>
    <hyperlink ref="B73" r:id="rId144" xr:uid="{00000000-0004-0000-0100-00008F000000}"/>
    <hyperlink ref="A74" r:id="rId145" xr:uid="{00000000-0004-0000-0100-000090000000}"/>
    <hyperlink ref="B74" r:id="rId146" xr:uid="{00000000-0004-0000-0100-000091000000}"/>
    <hyperlink ref="A75" r:id="rId147" xr:uid="{00000000-0004-0000-0100-000092000000}"/>
    <hyperlink ref="B75" r:id="rId148" xr:uid="{00000000-0004-0000-0100-000093000000}"/>
    <hyperlink ref="A76" r:id="rId149" xr:uid="{00000000-0004-0000-0100-000094000000}"/>
    <hyperlink ref="B76" r:id="rId150" xr:uid="{00000000-0004-0000-0100-000095000000}"/>
    <hyperlink ref="A77" r:id="rId151" xr:uid="{00000000-0004-0000-0100-000096000000}"/>
    <hyperlink ref="B77" r:id="rId152" xr:uid="{00000000-0004-0000-0100-000097000000}"/>
    <hyperlink ref="A78" r:id="rId153" xr:uid="{00000000-0004-0000-0100-000098000000}"/>
    <hyperlink ref="B78" r:id="rId154" xr:uid="{00000000-0004-0000-0100-000099000000}"/>
    <hyperlink ref="A79" r:id="rId155" xr:uid="{00000000-0004-0000-0100-00009A000000}"/>
    <hyperlink ref="B79" r:id="rId156" xr:uid="{00000000-0004-0000-0100-00009B000000}"/>
    <hyperlink ref="A80" r:id="rId157" xr:uid="{00000000-0004-0000-0100-00009C000000}"/>
    <hyperlink ref="B80" r:id="rId158" xr:uid="{00000000-0004-0000-0100-00009D000000}"/>
    <hyperlink ref="A81" r:id="rId159" xr:uid="{00000000-0004-0000-0100-00009E000000}"/>
    <hyperlink ref="B81" r:id="rId160" xr:uid="{00000000-0004-0000-0100-00009F000000}"/>
    <hyperlink ref="A82" r:id="rId161" xr:uid="{00000000-0004-0000-0100-0000A0000000}"/>
    <hyperlink ref="B82" r:id="rId162" xr:uid="{00000000-0004-0000-0100-0000A1000000}"/>
    <hyperlink ref="A83" r:id="rId163" xr:uid="{00000000-0004-0000-0100-0000A2000000}"/>
    <hyperlink ref="B83" r:id="rId164" xr:uid="{00000000-0004-0000-0100-0000A3000000}"/>
    <hyperlink ref="A84" r:id="rId165" xr:uid="{00000000-0004-0000-0100-0000A4000000}"/>
    <hyperlink ref="B84" r:id="rId166" xr:uid="{00000000-0004-0000-0100-0000A5000000}"/>
    <hyperlink ref="A85" r:id="rId167" xr:uid="{00000000-0004-0000-0100-0000A6000000}"/>
    <hyperlink ref="B85" r:id="rId168" xr:uid="{00000000-0004-0000-0100-0000A7000000}"/>
    <hyperlink ref="A86" r:id="rId169" xr:uid="{00000000-0004-0000-0100-0000A8000000}"/>
    <hyperlink ref="B86" r:id="rId170" xr:uid="{00000000-0004-0000-0100-0000A9000000}"/>
    <hyperlink ref="A87" r:id="rId171" xr:uid="{00000000-0004-0000-0100-0000AA000000}"/>
    <hyperlink ref="B87" r:id="rId172" xr:uid="{00000000-0004-0000-0100-0000AB000000}"/>
    <hyperlink ref="A88" r:id="rId173" xr:uid="{00000000-0004-0000-0100-0000AC000000}"/>
    <hyperlink ref="B88" r:id="rId174" xr:uid="{00000000-0004-0000-0100-0000AD000000}"/>
    <hyperlink ref="A89" r:id="rId175" xr:uid="{00000000-0004-0000-0100-0000AE000000}"/>
    <hyperlink ref="B89" r:id="rId176" xr:uid="{00000000-0004-0000-0100-0000AF000000}"/>
    <hyperlink ref="A90" r:id="rId177" xr:uid="{00000000-0004-0000-0100-0000B0000000}"/>
    <hyperlink ref="B90" r:id="rId178" xr:uid="{00000000-0004-0000-0100-0000B1000000}"/>
    <hyperlink ref="A91" r:id="rId179" xr:uid="{00000000-0004-0000-0100-0000B2000000}"/>
    <hyperlink ref="B91" r:id="rId180" xr:uid="{00000000-0004-0000-0100-0000B3000000}"/>
    <hyperlink ref="A92" r:id="rId181" xr:uid="{00000000-0004-0000-0100-0000B4000000}"/>
    <hyperlink ref="B92" r:id="rId182" xr:uid="{00000000-0004-0000-0100-0000B5000000}"/>
    <hyperlink ref="A93" r:id="rId183" xr:uid="{00000000-0004-0000-0100-0000B6000000}"/>
    <hyperlink ref="B93" r:id="rId184" xr:uid="{00000000-0004-0000-0100-0000B7000000}"/>
    <hyperlink ref="A94" r:id="rId185" xr:uid="{00000000-0004-0000-0100-0000B8000000}"/>
    <hyperlink ref="B94" r:id="rId186" xr:uid="{00000000-0004-0000-0100-0000B9000000}"/>
    <hyperlink ref="A95" r:id="rId187" xr:uid="{00000000-0004-0000-0100-0000BA000000}"/>
    <hyperlink ref="B95" r:id="rId188" xr:uid="{00000000-0004-0000-0100-0000BB000000}"/>
    <hyperlink ref="A96" r:id="rId189" xr:uid="{00000000-0004-0000-0100-0000BC000000}"/>
    <hyperlink ref="B96" r:id="rId190" xr:uid="{00000000-0004-0000-0100-0000BD000000}"/>
    <hyperlink ref="A97" r:id="rId191" xr:uid="{00000000-0004-0000-0100-0000BE000000}"/>
    <hyperlink ref="B97" r:id="rId192" xr:uid="{00000000-0004-0000-0100-0000BF000000}"/>
    <hyperlink ref="A98" r:id="rId193" xr:uid="{00000000-0004-0000-0100-0000C0000000}"/>
    <hyperlink ref="B98" r:id="rId194" xr:uid="{00000000-0004-0000-0100-0000C1000000}"/>
    <hyperlink ref="A99" r:id="rId195" xr:uid="{00000000-0004-0000-0100-0000C2000000}"/>
    <hyperlink ref="B99" r:id="rId196" xr:uid="{00000000-0004-0000-0100-0000C3000000}"/>
    <hyperlink ref="A100" r:id="rId197" xr:uid="{00000000-0004-0000-0100-0000C4000000}"/>
    <hyperlink ref="B100" r:id="rId198" xr:uid="{00000000-0004-0000-0100-0000C5000000}"/>
    <hyperlink ref="A101" r:id="rId199" xr:uid="{00000000-0004-0000-0100-0000C6000000}"/>
    <hyperlink ref="B101" r:id="rId200" xr:uid="{00000000-0004-0000-0100-0000C7000000}"/>
    <hyperlink ref="A102" r:id="rId201" xr:uid="{00000000-0004-0000-0100-0000C8000000}"/>
    <hyperlink ref="B102" r:id="rId202" xr:uid="{00000000-0004-0000-0100-0000C9000000}"/>
    <hyperlink ref="A103" r:id="rId203" xr:uid="{00000000-0004-0000-0100-0000CA000000}"/>
    <hyperlink ref="B103" r:id="rId204" xr:uid="{00000000-0004-0000-0100-0000CB000000}"/>
    <hyperlink ref="A104" r:id="rId205" xr:uid="{00000000-0004-0000-0100-0000CC000000}"/>
    <hyperlink ref="B104" r:id="rId206" xr:uid="{00000000-0004-0000-0100-0000CD000000}"/>
    <hyperlink ref="A105" r:id="rId207" xr:uid="{00000000-0004-0000-0100-0000CE000000}"/>
    <hyperlink ref="B105" r:id="rId208" xr:uid="{00000000-0004-0000-0100-0000CF000000}"/>
    <hyperlink ref="A106" r:id="rId209" xr:uid="{00000000-0004-0000-0100-0000D0000000}"/>
    <hyperlink ref="B106" r:id="rId210" xr:uid="{00000000-0004-0000-0100-0000D1000000}"/>
    <hyperlink ref="A107" r:id="rId211" xr:uid="{00000000-0004-0000-0100-0000D2000000}"/>
    <hyperlink ref="B107" r:id="rId212" xr:uid="{00000000-0004-0000-0100-0000D3000000}"/>
    <hyperlink ref="A108" r:id="rId213" xr:uid="{00000000-0004-0000-0100-0000D4000000}"/>
    <hyperlink ref="B108" r:id="rId214" xr:uid="{00000000-0004-0000-0100-0000D5000000}"/>
    <hyperlink ref="A109" r:id="rId215" xr:uid="{00000000-0004-0000-0100-0000D6000000}"/>
    <hyperlink ref="B109" r:id="rId216" xr:uid="{00000000-0004-0000-0100-0000D7000000}"/>
    <hyperlink ref="A110" r:id="rId217" xr:uid="{00000000-0004-0000-0100-0000D8000000}"/>
    <hyperlink ref="B110" r:id="rId218" xr:uid="{00000000-0004-0000-0100-0000D9000000}"/>
    <hyperlink ref="A111" r:id="rId219" xr:uid="{00000000-0004-0000-0100-0000DA000000}"/>
    <hyperlink ref="B111" r:id="rId220" xr:uid="{00000000-0004-0000-0100-0000DB000000}"/>
    <hyperlink ref="A112" r:id="rId221" xr:uid="{00000000-0004-0000-0100-0000DC000000}"/>
    <hyperlink ref="B112" r:id="rId222" xr:uid="{00000000-0004-0000-0100-0000DD000000}"/>
    <hyperlink ref="A113" r:id="rId223" xr:uid="{00000000-0004-0000-0100-0000DE000000}"/>
    <hyperlink ref="B113" r:id="rId224" xr:uid="{00000000-0004-0000-0100-0000DF000000}"/>
    <hyperlink ref="A114" r:id="rId225" xr:uid="{00000000-0004-0000-0100-0000E0000000}"/>
    <hyperlink ref="B114" r:id="rId226" xr:uid="{00000000-0004-0000-0100-0000E1000000}"/>
    <hyperlink ref="A115" r:id="rId227" xr:uid="{00000000-0004-0000-0100-0000E2000000}"/>
    <hyperlink ref="B115" r:id="rId228" xr:uid="{00000000-0004-0000-0100-0000E3000000}"/>
    <hyperlink ref="A116" r:id="rId229" xr:uid="{00000000-0004-0000-0100-0000E4000000}"/>
    <hyperlink ref="B116" r:id="rId230" xr:uid="{00000000-0004-0000-0100-0000E5000000}"/>
    <hyperlink ref="A117" r:id="rId231" xr:uid="{00000000-0004-0000-0100-0000E6000000}"/>
    <hyperlink ref="B117" r:id="rId232" xr:uid="{00000000-0004-0000-0100-0000E7000000}"/>
    <hyperlink ref="A118" r:id="rId233" xr:uid="{00000000-0004-0000-0100-0000E8000000}"/>
    <hyperlink ref="B118" r:id="rId234" xr:uid="{00000000-0004-0000-0100-0000E9000000}"/>
    <hyperlink ref="A119" r:id="rId235" xr:uid="{00000000-0004-0000-0100-0000EA000000}"/>
    <hyperlink ref="B119" r:id="rId236" xr:uid="{00000000-0004-0000-0100-0000EB000000}"/>
    <hyperlink ref="A120" r:id="rId237" xr:uid="{00000000-0004-0000-0100-0000EC000000}"/>
    <hyperlink ref="B120" r:id="rId238" xr:uid="{00000000-0004-0000-0100-0000ED000000}"/>
    <hyperlink ref="A121" r:id="rId239" xr:uid="{00000000-0004-0000-0100-0000EE000000}"/>
    <hyperlink ref="B121" r:id="rId240" xr:uid="{00000000-0004-0000-0100-0000EF000000}"/>
    <hyperlink ref="A122" r:id="rId241" xr:uid="{00000000-0004-0000-0100-0000F0000000}"/>
    <hyperlink ref="B122" r:id="rId242" xr:uid="{00000000-0004-0000-0100-0000F1000000}"/>
    <hyperlink ref="A123" r:id="rId243" xr:uid="{00000000-0004-0000-0100-0000F2000000}"/>
    <hyperlink ref="B123" r:id="rId244" xr:uid="{00000000-0004-0000-0100-0000F3000000}"/>
    <hyperlink ref="A124" r:id="rId245" xr:uid="{00000000-0004-0000-0100-0000F4000000}"/>
    <hyperlink ref="B124" r:id="rId246" xr:uid="{00000000-0004-0000-0100-0000F5000000}"/>
    <hyperlink ref="A125" r:id="rId247" xr:uid="{00000000-0004-0000-0100-0000F6000000}"/>
    <hyperlink ref="B125" r:id="rId248" xr:uid="{00000000-0004-0000-0100-0000F7000000}"/>
    <hyperlink ref="A126" r:id="rId249" xr:uid="{00000000-0004-0000-0100-0000F8000000}"/>
    <hyperlink ref="B126" r:id="rId250" xr:uid="{00000000-0004-0000-0100-0000F9000000}"/>
    <hyperlink ref="A127" r:id="rId251" xr:uid="{00000000-0004-0000-0100-0000FA000000}"/>
    <hyperlink ref="B127" r:id="rId252" xr:uid="{00000000-0004-0000-0100-0000FB000000}"/>
    <hyperlink ref="A128" r:id="rId253" xr:uid="{00000000-0004-0000-0100-0000FC000000}"/>
    <hyperlink ref="B128" r:id="rId254" xr:uid="{00000000-0004-0000-0100-0000FD000000}"/>
    <hyperlink ref="A129" r:id="rId255" xr:uid="{00000000-0004-0000-0100-0000FE000000}"/>
    <hyperlink ref="B129" r:id="rId256" xr:uid="{00000000-0004-0000-0100-0000FF000000}"/>
    <hyperlink ref="A130" r:id="rId257" xr:uid="{00000000-0004-0000-0100-000000010000}"/>
    <hyperlink ref="B130" r:id="rId258" xr:uid="{00000000-0004-0000-0100-000001010000}"/>
    <hyperlink ref="A131" r:id="rId259" xr:uid="{00000000-0004-0000-0100-000002010000}"/>
    <hyperlink ref="B131" r:id="rId260" xr:uid="{00000000-0004-0000-0100-000003010000}"/>
    <hyperlink ref="A132" r:id="rId261" xr:uid="{00000000-0004-0000-0100-000004010000}"/>
    <hyperlink ref="B132" r:id="rId262" xr:uid="{00000000-0004-0000-0100-000005010000}"/>
    <hyperlink ref="A133" r:id="rId263" xr:uid="{00000000-0004-0000-0100-000006010000}"/>
    <hyperlink ref="B133" r:id="rId264" xr:uid="{00000000-0004-0000-0100-000007010000}"/>
    <hyperlink ref="A134" r:id="rId265" xr:uid="{00000000-0004-0000-0100-000008010000}"/>
    <hyperlink ref="B134" r:id="rId266" xr:uid="{00000000-0004-0000-0100-000009010000}"/>
    <hyperlink ref="A135" r:id="rId267" xr:uid="{00000000-0004-0000-0100-00000A010000}"/>
    <hyperlink ref="B135" r:id="rId268" xr:uid="{00000000-0004-0000-0100-00000B010000}"/>
    <hyperlink ref="A136" r:id="rId269" xr:uid="{00000000-0004-0000-0100-00000C010000}"/>
    <hyperlink ref="B136" r:id="rId270" xr:uid="{00000000-0004-0000-0100-00000D010000}"/>
    <hyperlink ref="A137" r:id="rId271" xr:uid="{00000000-0004-0000-0100-00000E010000}"/>
    <hyperlink ref="B137" r:id="rId272" xr:uid="{00000000-0004-0000-0100-00000F010000}"/>
    <hyperlink ref="A138" r:id="rId273" xr:uid="{00000000-0004-0000-0100-000010010000}"/>
    <hyperlink ref="B138" r:id="rId274" xr:uid="{00000000-0004-0000-0100-000011010000}"/>
    <hyperlink ref="A139" r:id="rId275" xr:uid="{00000000-0004-0000-0100-000012010000}"/>
    <hyperlink ref="B139" r:id="rId276" xr:uid="{00000000-0004-0000-0100-000013010000}"/>
    <hyperlink ref="A140" r:id="rId277" xr:uid="{00000000-0004-0000-0100-000014010000}"/>
    <hyperlink ref="B140" r:id="rId278" xr:uid="{00000000-0004-0000-0100-000015010000}"/>
    <hyperlink ref="A141" r:id="rId279" xr:uid="{00000000-0004-0000-0100-000016010000}"/>
    <hyperlink ref="B141" r:id="rId280" xr:uid="{00000000-0004-0000-0100-000017010000}"/>
    <hyperlink ref="A142" r:id="rId281" xr:uid="{00000000-0004-0000-0100-000018010000}"/>
    <hyperlink ref="B142" r:id="rId282" xr:uid="{00000000-0004-0000-0100-000019010000}"/>
    <hyperlink ref="A143" r:id="rId283" xr:uid="{00000000-0004-0000-0100-00001A010000}"/>
    <hyperlink ref="B143" r:id="rId284" xr:uid="{00000000-0004-0000-0100-00001B010000}"/>
    <hyperlink ref="A144" r:id="rId285" xr:uid="{00000000-0004-0000-0100-00001C010000}"/>
    <hyperlink ref="B144" r:id="rId286" xr:uid="{00000000-0004-0000-0100-00001D010000}"/>
    <hyperlink ref="A145" r:id="rId287" xr:uid="{00000000-0004-0000-0100-00001E010000}"/>
    <hyperlink ref="B145" r:id="rId288" xr:uid="{00000000-0004-0000-0100-00001F010000}"/>
    <hyperlink ref="A146" r:id="rId289" xr:uid="{00000000-0004-0000-0100-000020010000}"/>
    <hyperlink ref="B146" r:id="rId290" xr:uid="{00000000-0004-0000-0100-000021010000}"/>
    <hyperlink ref="A147" r:id="rId291" xr:uid="{00000000-0004-0000-0100-000022010000}"/>
    <hyperlink ref="B147" r:id="rId292" xr:uid="{00000000-0004-0000-0100-000023010000}"/>
    <hyperlink ref="A148" r:id="rId293" xr:uid="{00000000-0004-0000-0100-000024010000}"/>
    <hyperlink ref="B148" r:id="rId294" xr:uid="{00000000-0004-0000-0100-000025010000}"/>
    <hyperlink ref="A149" r:id="rId295" xr:uid="{00000000-0004-0000-0100-000026010000}"/>
    <hyperlink ref="B149" r:id="rId296" xr:uid="{00000000-0004-0000-0100-000027010000}"/>
    <hyperlink ref="A150" r:id="rId297" xr:uid="{00000000-0004-0000-0100-000028010000}"/>
    <hyperlink ref="B150" r:id="rId298" xr:uid="{00000000-0004-0000-0100-000029010000}"/>
    <hyperlink ref="A151" r:id="rId299" xr:uid="{00000000-0004-0000-0100-00002A010000}"/>
    <hyperlink ref="B151" r:id="rId300" xr:uid="{00000000-0004-0000-0100-00002B010000}"/>
    <hyperlink ref="A152" r:id="rId301" xr:uid="{00000000-0004-0000-0100-00002C010000}"/>
    <hyperlink ref="B152" r:id="rId302" xr:uid="{00000000-0004-0000-0100-00002D010000}"/>
    <hyperlink ref="A153" r:id="rId303" xr:uid="{00000000-0004-0000-0100-00002E010000}"/>
    <hyperlink ref="B153" r:id="rId304" xr:uid="{00000000-0004-0000-0100-00002F010000}"/>
    <hyperlink ref="A154" r:id="rId305" xr:uid="{00000000-0004-0000-0100-000030010000}"/>
    <hyperlink ref="B154" r:id="rId306" xr:uid="{00000000-0004-0000-0100-000031010000}"/>
    <hyperlink ref="A155" r:id="rId307" xr:uid="{00000000-0004-0000-0100-000032010000}"/>
    <hyperlink ref="B155" r:id="rId308" xr:uid="{00000000-0004-0000-0100-000033010000}"/>
    <hyperlink ref="A156" r:id="rId309" xr:uid="{00000000-0004-0000-0100-000034010000}"/>
    <hyperlink ref="B156" r:id="rId310" xr:uid="{00000000-0004-0000-0100-000035010000}"/>
    <hyperlink ref="A157" r:id="rId311" xr:uid="{00000000-0004-0000-0100-000036010000}"/>
    <hyperlink ref="B157" r:id="rId312" xr:uid="{00000000-0004-0000-0100-000037010000}"/>
    <hyperlink ref="A158" r:id="rId313" xr:uid="{00000000-0004-0000-0100-000038010000}"/>
    <hyperlink ref="B158" r:id="rId314" xr:uid="{00000000-0004-0000-0100-000039010000}"/>
    <hyperlink ref="A159" r:id="rId315" xr:uid="{00000000-0004-0000-0100-00003A010000}"/>
    <hyperlink ref="B159" r:id="rId316" xr:uid="{00000000-0004-0000-0100-00003B010000}"/>
    <hyperlink ref="A160" r:id="rId317" xr:uid="{00000000-0004-0000-0100-00003C010000}"/>
    <hyperlink ref="B160" r:id="rId318" xr:uid="{00000000-0004-0000-0100-00003D010000}"/>
    <hyperlink ref="A161" r:id="rId319" xr:uid="{00000000-0004-0000-0100-00003E010000}"/>
    <hyperlink ref="B161" r:id="rId320" xr:uid="{00000000-0004-0000-0100-00003F010000}"/>
    <hyperlink ref="A162" r:id="rId321" xr:uid="{00000000-0004-0000-0100-000040010000}"/>
    <hyperlink ref="B162" r:id="rId322" xr:uid="{00000000-0004-0000-0100-000041010000}"/>
    <hyperlink ref="A163" r:id="rId323" xr:uid="{00000000-0004-0000-0100-000042010000}"/>
    <hyperlink ref="B163" r:id="rId324" xr:uid="{00000000-0004-0000-0100-000043010000}"/>
    <hyperlink ref="A164" r:id="rId325" xr:uid="{00000000-0004-0000-0100-000044010000}"/>
    <hyperlink ref="B164" r:id="rId326" xr:uid="{00000000-0004-0000-0100-000045010000}"/>
    <hyperlink ref="A165" r:id="rId327" xr:uid="{00000000-0004-0000-0100-000046010000}"/>
    <hyperlink ref="B165" r:id="rId328" xr:uid="{00000000-0004-0000-0100-000047010000}"/>
    <hyperlink ref="A166" r:id="rId329" xr:uid="{00000000-0004-0000-0100-000048010000}"/>
    <hyperlink ref="B166" r:id="rId330" xr:uid="{00000000-0004-0000-0100-000049010000}"/>
    <hyperlink ref="A167" r:id="rId331" xr:uid="{00000000-0004-0000-0100-00004A010000}"/>
    <hyperlink ref="B167" r:id="rId332" xr:uid="{00000000-0004-0000-0100-00004B010000}"/>
    <hyperlink ref="A168" r:id="rId333" xr:uid="{00000000-0004-0000-0100-00004C010000}"/>
    <hyperlink ref="B168" r:id="rId334" xr:uid="{00000000-0004-0000-0100-00004D010000}"/>
    <hyperlink ref="A169" r:id="rId335" xr:uid="{00000000-0004-0000-0100-00004E010000}"/>
    <hyperlink ref="B169" r:id="rId336" xr:uid="{00000000-0004-0000-0100-00004F010000}"/>
    <hyperlink ref="A170" r:id="rId337" xr:uid="{00000000-0004-0000-0100-000050010000}"/>
    <hyperlink ref="B170" r:id="rId338" xr:uid="{00000000-0004-0000-0100-000051010000}"/>
    <hyperlink ref="A171" r:id="rId339" xr:uid="{00000000-0004-0000-0100-000052010000}"/>
    <hyperlink ref="B171" r:id="rId340" xr:uid="{00000000-0004-0000-0100-000053010000}"/>
    <hyperlink ref="A172" r:id="rId341" xr:uid="{00000000-0004-0000-0100-000054010000}"/>
    <hyperlink ref="B172" r:id="rId342" xr:uid="{00000000-0004-0000-0100-000055010000}"/>
    <hyperlink ref="A173" r:id="rId343" xr:uid="{00000000-0004-0000-0100-000056010000}"/>
    <hyperlink ref="B173" r:id="rId344" xr:uid="{00000000-0004-0000-0100-000057010000}"/>
    <hyperlink ref="A174" r:id="rId345" xr:uid="{00000000-0004-0000-0100-000058010000}"/>
    <hyperlink ref="B174" r:id="rId346" xr:uid="{00000000-0004-0000-0100-000059010000}"/>
    <hyperlink ref="A175" r:id="rId347" xr:uid="{00000000-0004-0000-0100-00005A010000}"/>
    <hyperlink ref="B175" r:id="rId348" xr:uid="{00000000-0004-0000-0100-00005B010000}"/>
    <hyperlink ref="A176" r:id="rId349" xr:uid="{00000000-0004-0000-0100-00005C010000}"/>
    <hyperlink ref="B176" r:id="rId350" xr:uid="{00000000-0004-0000-0100-00005D010000}"/>
    <hyperlink ref="A177" r:id="rId351" xr:uid="{00000000-0004-0000-0100-00005E010000}"/>
    <hyperlink ref="B177" r:id="rId352" xr:uid="{00000000-0004-0000-0100-00005F010000}"/>
    <hyperlink ref="A178" r:id="rId353" xr:uid="{00000000-0004-0000-0100-000060010000}"/>
    <hyperlink ref="B178" r:id="rId354" xr:uid="{00000000-0004-0000-0100-000061010000}"/>
    <hyperlink ref="A179" r:id="rId355" xr:uid="{00000000-0004-0000-0100-000062010000}"/>
    <hyperlink ref="B179" r:id="rId356" xr:uid="{00000000-0004-0000-0100-000063010000}"/>
    <hyperlink ref="A180" r:id="rId357" xr:uid="{00000000-0004-0000-0100-000064010000}"/>
    <hyperlink ref="B180" r:id="rId358" xr:uid="{00000000-0004-0000-0100-000065010000}"/>
    <hyperlink ref="A181" r:id="rId359" xr:uid="{00000000-0004-0000-0100-000066010000}"/>
    <hyperlink ref="B181" r:id="rId360" xr:uid="{00000000-0004-0000-0100-000067010000}"/>
    <hyperlink ref="A182" r:id="rId361" xr:uid="{00000000-0004-0000-0100-000068010000}"/>
    <hyperlink ref="B182" r:id="rId362" xr:uid="{00000000-0004-0000-0100-000069010000}"/>
    <hyperlink ref="A183" r:id="rId363" xr:uid="{00000000-0004-0000-0100-00006A010000}"/>
    <hyperlink ref="B183" r:id="rId364" xr:uid="{00000000-0004-0000-0100-00006B010000}"/>
    <hyperlink ref="A184" r:id="rId365" xr:uid="{00000000-0004-0000-0100-00006C010000}"/>
    <hyperlink ref="B184" r:id="rId366" xr:uid="{00000000-0004-0000-0100-00006D010000}"/>
    <hyperlink ref="A185" r:id="rId367" xr:uid="{00000000-0004-0000-0100-00006E010000}"/>
    <hyperlink ref="B185" r:id="rId368" xr:uid="{00000000-0004-0000-0100-00006F010000}"/>
    <hyperlink ref="A186" r:id="rId369" xr:uid="{00000000-0004-0000-0100-000070010000}"/>
    <hyperlink ref="B186" r:id="rId370" xr:uid="{00000000-0004-0000-0100-000071010000}"/>
    <hyperlink ref="A187" r:id="rId371" xr:uid="{00000000-0004-0000-0100-000072010000}"/>
    <hyperlink ref="B187" r:id="rId372" xr:uid="{00000000-0004-0000-0100-000073010000}"/>
    <hyperlink ref="A188" r:id="rId373" xr:uid="{00000000-0004-0000-0100-000074010000}"/>
    <hyperlink ref="B188" r:id="rId374" xr:uid="{00000000-0004-0000-0100-000075010000}"/>
    <hyperlink ref="A189" r:id="rId375" xr:uid="{00000000-0004-0000-0100-000076010000}"/>
    <hyperlink ref="B189" r:id="rId376" xr:uid="{00000000-0004-0000-0100-000077010000}"/>
    <hyperlink ref="A190" r:id="rId377" xr:uid="{00000000-0004-0000-0100-000078010000}"/>
    <hyperlink ref="B190" r:id="rId378" xr:uid="{00000000-0004-0000-0100-000079010000}"/>
    <hyperlink ref="A191" r:id="rId379" xr:uid="{00000000-0004-0000-0100-00007A010000}"/>
    <hyperlink ref="B191" r:id="rId380" xr:uid="{00000000-0004-0000-0100-00007B010000}"/>
    <hyperlink ref="A192" r:id="rId381" xr:uid="{00000000-0004-0000-0100-00007C010000}"/>
    <hyperlink ref="B192" r:id="rId382" xr:uid="{00000000-0004-0000-0100-00007D010000}"/>
    <hyperlink ref="A193" r:id="rId383" xr:uid="{00000000-0004-0000-0100-00007E010000}"/>
    <hyperlink ref="B193" r:id="rId384" xr:uid="{00000000-0004-0000-0100-00007F010000}"/>
    <hyperlink ref="A194" r:id="rId385" xr:uid="{00000000-0004-0000-0100-000080010000}"/>
    <hyperlink ref="B194" r:id="rId386" xr:uid="{00000000-0004-0000-0100-000081010000}"/>
    <hyperlink ref="A195" r:id="rId387" xr:uid="{00000000-0004-0000-0100-000082010000}"/>
    <hyperlink ref="B195" r:id="rId388" xr:uid="{00000000-0004-0000-0100-000083010000}"/>
    <hyperlink ref="A196" r:id="rId389" xr:uid="{00000000-0004-0000-0100-000084010000}"/>
    <hyperlink ref="B196" r:id="rId390" xr:uid="{00000000-0004-0000-0100-000085010000}"/>
    <hyperlink ref="A197" r:id="rId391" xr:uid="{00000000-0004-0000-0100-000086010000}"/>
    <hyperlink ref="B197" r:id="rId392" xr:uid="{00000000-0004-0000-0100-000087010000}"/>
    <hyperlink ref="A198" r:id="rId393" xr:uid="{00000000-0004-0000-0100-000088010000}"/>
    <hyperlink ref="B198" r:id="rId394" xr:uid="{00000000-0004-0000-0100-000089010000}"/>
    <hyperlink ref="A199" r:id="rId395" xr:uid="{00000000-0004-0000-0100-00008A010000}"/>
    <hyperlink ref="B199" r:id="rId396" xr:uid="{00000000-0004-0000-0100-00008B010000}"/>
    <hyperlink ref="A200" r:id="rId397" xr:uid="{00000000-0004-0000-0100-00008C010000}"/>
    <hyperlink ref="B200" r:id="rId398" xr:uid="{00000000-0004-0000-0100-00008D010000}"/>
    <hyperlink ref="A201" r:id="rId399" xr:uid="{00000000-0004-0000-0100-00008E010000}"/>
    <hyperlink ref="B201" r:id="rId400" xr:uid="{00000000-0004-0000-0100-00008F010000}"/>
    <hyperlink ref="A202" r:id="rId401" xr:uid="{00000000-0004-0000-0100-000090010000}"/>
    <hyperlink ref="B202" r:id="rId402" xr:uid="{00000000-0004-0000-0100-000091010000}"/>
    <hyperlink ref="A203" r:id="rId403" xr:uid="{00000000-0004-0000-0100-000092010000}"/>
    <hyperlink ref="B203" r:id="rId404" xr:uid="{00000000-0004-0000-0100-000093010000}"/>
    <hyperlink ref="A204" r:id="rId405" xr:uid="{00000000-0004-0000-0100-000094010000}"/>
    <hyperlink ref="B204" r:id="rId406" xr:uid="{00000000-0004-0000-0100-000095010000}"/>
    <hyperlink ref="A205" r:id="rId407" xr:uid="{00000000-0004-0000-0100-000096010000}"/>
    <hyperlink ref="B205" r:id="rId408" xr:uid="{00000000-0004-0000-0100-000097010000}"/>
    <hyperlink ref="A206" r:id="rId409" xr:uid="{00000000-0004-0000-0100-000098010000}"/>
    <hyperlink ref="B206" r:id="rId410" xr:uid="{00000000-0004-0000-0100-000099010000}"/>
    <hyperlink ref="A207" r:id="rId411" xr:uid="{00000000-0004-0000-0100-00009A010000}"/>
    <hyperlink ref="B207" r:id="rId412" xr:uid="{00000000-0004-0000-0100-00009B010000}"/>
    <hyperlink ref="A208" r:id="rId413" xr:uid="{00000000-0004-0000-0100-00009C010000}"/>
    <hyperlink ref="B208" r:id="rId414" xr:uid="{00000000-0004-0000-0100-00009D010000}"/>
    <hyperlink ref="A209" r:id="rId415" xr:uid="{00000000-0004-0000-0100-00009E010000}"/>
    <hyperlink ref="B209" r:id="rId416" xr:uid="{00000000-0004-0000-0100-00009F010000}"/>
    <hyperlink ref="A210" r:id="rId417" xr:uid="{00000000-0004-0000-0100-0000A0010000}"/>
    <hyperlink ref="B210" r:id="rId418" xr:uid="{00000000-0004-0000-0100-0000A1010000}"/>
    <hyperlink ref="A211" r:id="rId419" xr:uid="{00000000-0004-0000-0100-0000A2010000}"/>
    <hyperlink ref="B211" r:id="rId420" xr:uid="{00000000-0004-0000-0100-0000A3010000}"/>
    <hyperlink ref="A212" r:id="rId421" xr:uid="{00000000-0004-0000-0100-0000A4010000}"/>
    <hyperlink ref="B212" r:id="rId422" xr:uid="{00000000-0004-0000-0100-0000A5010000}"/>
    <hyperlink ref="A213" r:id="rId423" xr:uid="{00000000-0004-0000-0100-0000A6010000}"/>
    <hyperlink ref="B213" r:id="rId424" xr:uid="{00000000-0004-0000-0100-0000A7010000}"/>
    <hyperlink ref="A214" r:id="rId425" xr:uid="{00000000-0004-0000-0100-0000A8010000}"/>
    <hyperlink ref="B214" r:id="rId426" xr:uid="{00000000-0004-0000-0100-0000A9010000}"/>
    <hyperlink ref="A215" r:id="rId427" xr:uid="{00000000-0004-0000-0100-0000AA010000}"/>
    <hyperlink ref="B215" r:id="rId428" xr:uid="{00000000-0004-0000-0100-0000AB010000}"/>
    <hyperlink ref="A216" r:id="rId429" xr:uid="{00000000-0004-0000-0100-0000AC010000}"/>
    <hyperlink ref="B216" r:id="rId430" xr:uid="{00000000-0004-0000-0100-0000AD010000}"/>
    <hyperlink ref="A217" r:id="rId431" xr:uid="{00000000-0004-0000-0100-0000AE010000}"/>
    <hyperlink ref="B217" r:id="rId432" xr:uid="{00000000-0004-0000-0100-0000AF010000}"/>
    <hyperlink ref="A218" r:id="rId433" xr:uid="{00000000-0004-0000-0100-0000B0010000}"/>
    <hyperlink ref="B218" r:id="rId434" xr:uid="{00000000-0004-0000-0100-0000B1010000}"/>
    <hyperlink ref="A219" r:id="rId435" xr:uid="{00000000-0004-0000-0100-0000B2010000}"/>
    <hyperlink ref="B219" r:id="rId436" xr:uid="{00000000-0004-0000-0100-0000B3010000}"/>
    <hyperlink ref="A220" r:id="rId437" xr:uid="{00000000-0004-0000-0100-0000B4010000}"/>
    <hyperlink ref="B220" r:id="rId438" xr:uid="{00000000-0004-0000-0100-0000B5010000}"/>
    <hyperlink ref="A221" r:id="rId439" xr:uid="{00000000-0004-0000-0100-0000B6010000}"/>
    <hyperlink ref="B221" r:id="rId440" xr:uid="{00000000-0004-0000-0100-0000B7010000}"/>
    <hyperlink ref="A222" r:id="rId441" xr:uid="{00000000-0004-0000-0100-0000B8010000}"/>
    <hyperlink ref="B222" r:id="rId442" xr:uid="{00000000-0004-0000-0100-0000B9010000}"/>
    <hyperlink ref="A223" r:id="rId443" xr:uid="{00000000-0004-0000-0100-0000BA010000}"/>
    <hyperlink ref="B223" r:id="rId444" xr:uid="{00000000-0004-0000-0100-0000BB010000}"/>
    <hyperlink ref="A224" r:id="rId445" xr:uid="{00000000-0004-0000-0100-0000BC010000}"/>
    <hyperlink ref="B224" r:id="rId446" xr:uid="{00000000-0004-0000-0100-0000BD010000}"/>
    <hyperlink ref="A225" r:id="rId447" xr:uid="{00000000-0004-0000-0100-0000BE010000}"/>
    <hyperlink ref="B225" r:id="rId448" xr:uid="{00000000-0004-0000-0100-0000BF010000}"/>
    <hyperlink ref="A226" r:id="rId449" xr:uid="{00000000-0004-0000-0100-0000C0010000}"/>
    <hyperlink ref="B226" r:id="rId450" xr:uid="{00000000-0004-0000-0100-0000C1010000}"/>
    <hyperlink ref="A227" r:id="rId451" xr:uid="{00000000-0004-0000-0100-0000C2010000}"/>
    <hyperlink ref="B227" r:id="rId452" xr:uid="{00000000-0004-0000-0100-0000C3010000}"/>
    <hyperlink ref="A228" r:id="rId453" xr:uid="{00000000-0004-0000-0100-0000C4010000}"/>
    <hyperlink ref="B228" r:id="rId454" xr:uid="{00000000-0004-0000-0100-0000C5010000}"/>
    <hyperlink ref="A229" r:id="rId455" xr:uid="{00000000-0004-0000-0100-0000C6010000}"/>
    <hyperlink ref="B229" r:id="rId456" xr:uid="{00000000-0004-0000-0100-0000C7010000}"/>
    <hyperlink ref="A230" r:id="rId457" xr:uid="{00000000-0004-0000-0100-0000C8010000}"/>
    <hyperlink ref="B230" r:id="rId458" xr:uid="{00000000-0004-0000-0100-0000C9010000}"/>
    <hyperlink ref="A231" r:id="rId459" xr:uid="{00000000-0004-0000-0100-0000CA010000}"/>
    <hyperlink ref="B231" r:id="rId460" xr:uid="{00000000-0004-0000-0100-0000CB010000}"/>
    <hyperlink ref="A232" r:id="rId461" xr:uid="{00000000-0004-0000-0100-0000CC010000}"/>
    <hyperlink ref="B232" r:id="rId462" xr:uid="{00000000-0004-0000-0100-0000CD010000}"/>
    <hyperlink ref="A233" r:id="rId463" xr:uid="{00000000-0004-0000-0100-0000CE010000}"/>
    <hyperlink ref="B233" r:id="rId464" xr:uid="{00000000-0004-0000-0100-0000CF010000}"/>
    <hyperlink ref="A234" r:id="rId465" xr:uid="{00000000-0004-0000-0100-0000D0010000}"/>
    <hyperlink ref="B234" r:id="rId466" xr:uid="{00000000-0004-0000-0100-0000D1010000}"/>
    <hyperlink ref="A235" r:id="rId467" xr:uid="{00000000-0004-0000-0100-0000D2010000}"/>
    <hyperlink ref="B235" r:id="rId468" xr:uid="{00000000-0004-0000-0100-0000D3010000}"/>
    <hyperlink ref="A236" r:id="rId469" xr:uid="{00000000-0004-0000-0100-0000D4010000}"/>
    <hyperlink ref="B236" r:id="rId470" xr:uid="{00000000-0004-0000-0100-0000D5010000}"/>
    <hyperlink ref="A237" r:id="rId471" xr:uid="{00000000-0004-0000-0100-0000D6010000}"/>
    <hyperlink ref="B237" r:id="rId472" xr:uid="{00000000-0004-0000-0100-0000D7010000}"/>
    <hyperlink ref="A238" r:id="rId473" xr:uid="{00000000-0004-0000-0100-0000D8010000}"/>
    <hyperlink ref="B238" r:id="rId474" xr:uid="{00000000-0004-0000-0100-0000D9010000}"/>
    <hyperlink ref="A239" r:id="rId475" xr:uid="{00000000-0004-0000-0100-0000DA010000}"/>
    <hyperlink ref="B239" r:id="rId476" xr:uid="{00000000-0004-0000-0100-0000DB010000}"/>
    <hyperlink ref="A240" r:id="rId477" xr:uid="{00000000-0004-0000-0100-0000DC010000}"/>
    <hyperlink ref="B240" r:id="rId478" xr:uid="{00000000-0004-0000-0100-0000DD010000}"/>
    <hyperlink ref="A241" r:id="rId479" xr:uid="{00000000-0004-0000-0100-0000DE010000}"/>
    <hyperlink ref="B241" r:id="rId480" xr:uid="{00000000-0004-0000-0100-0000DF010000}"/>
    <hyperlink ref="A242" r:id="rId481" xr:uid="{00000000-0004-0000-0100-0000E0010000}"/>
    <hyperlink ref="B242" r:id="rId482" xr:uid="{00000000-0004-0000-0100-0000E1010000}"/>
    <hyperlink ref="A243" r:id="rId483" xr:uid="{00000000-0004-0000-0100-0000E2010000}"/>
    <hyperlink ref="B243" r:id="rId484" xr:uid="{00000000-0004-0000-0100-0000E3010000}"/>
    <hyperlink ref="A244" r:id="rId485" xr:uid="{00000000-0004-0000-0100-0000E4010000}"/>
    <hyperlink ref="B244" r:id="rId486" xr:uid="{00000000-0004-0000-0100-0000E5010000}"/>
    <hyperlink ref="A245" r:id="rId487" xr:uid="{00000000-0004-0000-0100-0000E6010000}"/>
    <hyperlink ref="B245" r:id="rId488" xr:uid="{00000000-0004-0000-0100-0000E7010000}"/>
    <hyperlink ref="A246" r:id="rId489" xr:uid="{00000000-0004-0000-0100-0000E8010000}"/>
    <hyperlink ref="B246" r:id="rId490" xr:uid="{00000000-0004-0000-0100-0000E9010000}"/>
    <hyperlink ref="A247" r:id="rId491" xr:uid="{00000000-0004-0000-0100-0000EA010000}"/>
    <hyperlink ref="B247" r:id="rId492" xr:uid="{00000000-0004-0000-0100-0000EB010000}"/>
    <hyperlink ref="A248" r:id="rId493" xr:uid="{00000000-0004-0000-0100-0000EC010000}"/>
    <hyperlink ref="B248" r:id="rId494" xr:uid="{00000000-0004-0000-0100-0000ED010000}"/>
    <hyperlink ref="A249" r:id="rId495" xr:uid="{00000000-0004-0000-0100-0000EE010000}"/>
    <hyperlink ref="B249" r:id="rId496" xr:uid="{00000000-0004-0000-0100-0000EF010000}"/>
    <hyperlink ref="A250" r:id="rId497" xr:uid="{00000000-0004-0000-0100-0000F0010000}"/>
    <hyperlink ref="B250" r:id="rId498" xr:uid="{00000000-0004-0000-0100-0000F1010000}"/>
    <hyperlink ref="A251" r:id="rId499" xr:uid="{00000000-0004-0000-0100-0000F2010000}"/>
    <hyperlink ref="B251" r:id="rId500" xr:uid="{00000000-0004-0000-0100-0000F3010000}"/>
    <hyperlink ref="A252" r:id="rId501" xr:uid="{00000000-0004-0000-0100-0000F4010000}"/>
    <hyperlink ref="B252" r:id="rId502" xr:uid="{00000000-0004-0000-0100-0000F5010000}"/>
    <hyperlink ref="A253" r:id="rId503" xr:uid="{00000000-0004-0000-0100-0000F6010000}"/>
    <hyperlink ref="B253" r:id="rId504" xr:uid="{00000000-0004-0000-0100-0000F7010000}"/>
    <hyperlink ref="A254" r:id="rId505" xr:uid="{00000000-0004-0000-0100-0000F8010000}"/>
    <hyperlink ref="B254" r:id="rId506" xr:uid="{00000000-0004-0000-0100-0000F9010000}"/>
    <hyperlink ref="A255" r:id="rId507" xr:uid="{00000000-0004-0000-0100-0000FA010000}"/>
    <hyperlink ref="B255" r:id="rId508" xr:uid="{00000000-0004-0000-0100-0000FB010000}"/>
    <hyperlink ref="A256" r:id="rId509" xr:uid="{00000000-0004-0000-0100-0000FC010000}"/>
    <hyperlink ref="B256" r:id="rId510" xr:uid="{00000000-0004-0000-0100-0000FD010000}"/>
    <hyperlink ref="A257" r:id="rId511" xr:uid="{00000000-0004-0000-0100-0000FE010000}"/>
    <hyperlink ref="B257" r:id="rId512" xr:uid="{00000000-0004-0000-0100-0000FF010000}"/>
    <hyperlink ref="A258" r:id="rId513" xr:uid="{00000000-0004-0000-0100-000000020000}"/>
    <hyperlink ref="B258" r:id="rId514" xr:uid="{00000000-0004-0000-0100-000001020000}"/>
    <hyperlink ref="A259" r:id="rId515" xr:uid="{00000000-0004-0000-0100-000002020000}"/>
    <hyperlink ref="B259" r:id="rId516" xr:uid="{00000000-0004-0000-0100-000003020000}"/>
    <hyperlink ref="A260" r:id="rId517" xr:uid="{00000000-0004-0000-0100-000004020000}"/>
    <hyperlink ref="B260" r:id="rId518" xr:uid="{00000000-0004-0000-0100-000005020000}"/>
    <hyperlink ref="A261" r:id="rId519" xr:uid="{00000000-0004-0000-0100-000006020000}"/>
    <hyperlink ref="B261" r:id="rId520" xr:uid="{00000000-0004-0000-0100-000007020000}"/>
    <hyperlink ref="A262" r:id="rId521" xr:uid="{00000000-0004-0000-0100-000008020000}"/>
    <hyperlink ref="B262" r:id="rId522" xr:uid="{00000000-0004-0000-0100-000009020000}"/>
    <hyperlink ref="A263" r:id="rId523" xr:uid="{00000000-0004-0000-0100-00000A020000}"/>
    <hyperlink ref="B263" r:id="rId524" xr:uid="{00000000-0004-0000-0100-00000B020000}"/>
    <hyperlink ref="A264" r:id="rId525" xr:uid="{00000000-0004-0000-0100-00000C020000}"/>
    <hyperlink ref="B264" r:id="rId526" xr:uid="{00000000-0004-0000-0100-00000D020000}"/>
    <hyperlink ref="A265" r:id="rId527" xr:uid="{00000000-0004-0000-0100-00000E020000}"/>
    <hyperlink ref="B265" r:id="rId528" xr:uid="{00000000-0004-0000-0100-00000F020000}"/>
    <hyperlink ref="A266" r:id="rId529" xr:uid="{00000000-0004-0000-0100-000010020000}"/>
    <hyperlink ref="B266" r:id="rId530" xr:uid="{00000000-0004-0000-0100-000011020000}"/>
    <hyperlink ref="A267" r:id="rId531" xr:uid="{00000000-0004-0000-0100-000012020000}"/>
    <hyperlink ref="B267" r:id="rId532" xr:uid="{00000000-0004-0000-0100-000013020000}"/>
    <hyperlink ref="A268" r:id="rId533" xr:uid="{00000000-0004-0000-0100-000014020000}"/>
    <hyperlink ref="B268" r:id="rId534" xr:uid="{00000000-0004-0000-0100-000015020000}"/>
    <hyperlink ref="A269" r:id="rId535" xr:uid="{00000000-0004-0000-0100-000016020000}"/>
    <hyperlink ref="B269" r:id="rId536" xr:uid="{00000000-0004-0000-0100-000017020000}"/>
    <hyperlink ref="A270" r:id="rId537" xr:uid="{00000000-0004-0000-0100-000018020000}"/>
    <hyperlink ref="B270" r:id="rId538" xr:uid="{00000000-0004-0000-0100-000019020000}"/>
    <hyperlink ref="A271" r:id="rId539" xr:uid="{00000000-0004-0000-0100-00001A020000}"/>
    <hyperlink ref="B271" r:id="rId540" xr:uid="{00000000-0004-0000-0100-00001B020000}"/>
    <hyperlink ref="A272" r:id="rId541" xr:uid="{00000000-0004-0000-0100-00001C020000}"/>
    <hyperlink ref="B272" r:id="rId542" xr:uid="{00000000-0004-0000-0100-00001D020000}"/>
    <hyperlink ref="A273" r:id="rId543" xr:uid="{00000000-0004-0000-0100-00001E020000}"/>
    <hyperlink ref="B273" r:id="rId544" xr:uid="{00000000-0004-0000-0100-00001F020000}"/>
    <hyperlink ref="A274" r:id="rId545" xr:uid="{00000000-0004-0000-0100-000020020000}"/>
    <hyperlink ref="B274" r:id="rId546" xr:uid="{00000000-0004-0000-0100-000021020000}"/>
    <hyperlink ref="A275" r:id="rId547" xr:uid="{00000000-0004-0000-0100-000022020000}"/>
    <hyperlink ref="B275" r:id="rId548" xr:uid="{00000000-0004-0000-0100-000023020000}"/>
    <hyperlink ref="A276" r:id="rId549" xr:uid="{00000000-0004-0000-0100-000024020000}"/>
    <hyperlink ref="B276" r:id="rId550" xr:uid="{00000000-0004-0000-0100-000025020000}"/>
    <hyperlink ref="A277" r:id="rId551" xr:uid="{00000000-0004-0000-0100-000026020000}"/>
    <hyperlink ref="B277" r:id="rId552" xr:uid="{00000000-0004-0000-0100-000027020000}"/>
    <hyperlink ref="A278" r:id="rId553" xr:uid="{00000000-0004-0000-0100-000028020000}"/>
    <hyperlink ref="B278" r:id="rId554" xr:uid="{00000000-0004-0000-0100-000029020000}"/>
    <hyperlink ref="A279" r:id="rId555" xr:uid="{00000000-0004-0000-0100-00002A020000}"/>
    <hyperlink ref="B279" r:id="rId556" xr:uid="{00000000-0004-0000-0100-00002B020000}"/>
    <hyperlink ref="A280" r:id="rId557" xr:uid="{00000000-0004-0000-0100-00002C020000}"/>
    <hyperlink ref="B280" r:id="rId558" xr:uid="{00000000-0004-0000-0100-00002D020000}"/>
    <hyperlink ref="A281" r:id="rId559" xr:uid="{00000000-0004-0000-0100-00002E020000}"/>
    <hyperlink ref="B281" r:id="rId560" xr:uid="{00000000-0004-0000-0100-00002F020000}"/>
    <hyperlink ref="A282" r:id="rId561" xr:uid="{00000000-0004-0000-0100-000030020000}"/>
    <hyperlink ref="B282" r:id="rId562" xr:uid="{00000000-0004-0000-0100-000031020000}"/>
    <hyperlink ref="A283" r:id="rId563" xr:uid="{00000000-0004-0000-0100-000032020000}"/>
    <hyperlink ref="B283" r:id="rId564" xr:uid="{00000000-0004-0000-0100-000033020000}"/>
    <hyperlink ref="A284" r:id="rId565" xr:uid="{00000000-0004-0000-0100-000034020000}"/>
    <hyperlink ref="B284" r:id="rId566" xr:uid="{00000000-0004-0000-0100-000035020000}"/>
    <hyperlink ref="A285" r:id="rId567" xr:uid="{00000000-0004-0000-0100-000036020000}"/>
    <hyperlink ref="B285" r:id="rId568" xr:uid="{00000000-0004-0000-0100-000037020000}"/>
    <hyperlink ref="A286" r:id="rId569" xr:uid="{00000000-0004-0000-0100-000038020000}"/>
    <hyperlink ref="B286" r:id="rId570" xr:uid="{00000000-0004-0000-0100-000039020000}"/>
    <hyperlink ref="A287" r:id="rId571" xr:uid="{00000000-0004-0000-0100-00003A020000}"/>
    <hyperlink ref="B287" r:id="rId572" xr:uid="{00000000-0004-0000-0100-00003B020000}"/>
    <hyperlink ref="A288" r:id="rId573" xr:uid="{00000000-0004-0000-0100-00003C020000}"/>
    <hyperlink ref="B288" r:id="rId574" xr:uid="{00000000-0004-0000-0100-00003D020000}"/>
    <hyperlink ref="A289" r:id="rId575" xr:uid="{00000000-0004-0000-0100-00003E020000}"/>
    <hyperlink ref="B289" r:id="rId576" xr:uid="{00000000-0004-0000-0100-00003F020000}"/>
    <hyperlink ref="A290" r:id="rId577" xr:uid="{00000000-0004-0000-0100-000040020000}"/>
    <hyperlink ref="B290" r:id="rId578" xr:uid="{00000000-0004-0000-0100-000041020000}"/>
    <hyperlink ref="A291" r:id="rId579" xr:uid="{00000000-0004-0000-0100-000042020000}"/>
    <hyperlink ref="B291" r:id="rId580" xr:uid="{00000000-0004-0000-0100-000043020000}"/>
    <hyperlink ref="A292" r:id="rId581" xr:uid="{00000000-0004-0000-0100-000044020000}"/>
    <hyperlink ref="B292" r:id="rId582" xr:uid="{00000000-0004-0000-0100-000045020000}"/>
    <hyperlink ref="A293" r:id="rId583" xr:uid="{00000000-0004-0000-0100-000046020000}"/>
    <hyperlink ref="B293" r:id="rId584" xr:uid="{00000000-0004-0000-0100-000047020000}"/>
    <hyperlink ref="A294" r:id="rId585" xr:uid="{00000000-0004-0000-0100-000048020000}"/>
    <hyperlink ref="B294" r:id="rId586" xr:uid="{00000000-0004-0000-0100-000049020000}"/>
    <hyperlink ref="A295" r:id="rId587" xr:uid="{00000000-0004-0000-0100-00004A020000}"/>
    <hyperlink ref="B295" r:id="rId588" xr:uid="{00000000-0004-0000-0100-00004B020000}"/>
    <hyperlink ref="A296" r:id="rId589" xr:uid="{00000000-0004-0000-0100-00004C020000}"/>
    <hyperlink ref="B296" r:id="rId590" xr:uid="{00000000-0004-0000-0100-00004D020000}"/>
    <hyperlink ref="A297" r:id="rId591" xr:uid="{00000000-0004-0000-0100-00004E020000}"/>
    <hyperlink ref="B297" r:id="rId592" xr:uid="{00000000-0004-0000-0100-00004F020000}"/>
    <hyperlink ref="A298" r:id="rId593" xr:uid="{00000000-0004-0000-0100-000050020000}"/>
    <hyperlink ref="B298" r:id="rId594" xr:uid="{00000000-0004-0000-0100-000051020000}"/>
    <hyperlink ref="A299" r:id="rId595" xr:uid="{00000000-0004-0000-0100-000052020000}"/>
    <hyperlink ref="B299" r:id="rId596" xr:uid="{00000000-0004-0000-0100-000053020000}"/>
    <hyperlink ref="A300" r:id="rId597" xr:uid="{00000000-0004-0000-0100-000054020000}"/>
    <hyperlink ref="B300" r:id="rId598" xr:uid="{00000000-0004-0000-0100-000055020000}"/>
    <hyperlink ref="A301" r:id="rId599" xr:uid="{00000000-0004-0000-0100-000056020000}"/>
    <hyperlink ref="B301" r:id="rId600" xr:uid="{00000000-0004-0000-0100-000057020000}"/>
    <hyperlink ref="A302" r:id="rId601" xr:uid="{00000000-0004-0000-0100-000058020000}"/>
    <hyperlink ref="B302" r:id="rId602" xr:uid="{00000000-0004-0000-0100-000059020000}"/>
    <hyperlink ref="A303" r:id="rId603" xr:uid="{00000000-0004-0000-0100-00005A020000}"/>
    <hyperlink ref="B303" r:id="rId604" xr:uid="{00000000-0004-0000-0100-00005B020000}"/>
    <hyperlink ref="A304" r:id="rId605" xr:uid="{00000000-0004-0000-0100-00005C020000}"/>
    <hyperlink ref="B304" r:id="rId606" xr:uid="{00000000-0004-0000-0100-00005D020000}"/>
    <hyperlink ref="A305" r:id="rId607" xr:uid="{00000000-0004-0000-0100-00005E020000}"/>
    <hyperlink ref="B305" r:id="rId608" xr:uid="{00000000-0004-0000-0100-00005F020000}"/>
    <hyperlink ref="A306" r:id="rId609" xr:uid="{00000000-0004-0000-0100-000060020000}"/>
    <hyperlink ref="B306" r:id="rId610" xr:uid="{00000000-0004-0000-0100-000061020000}"/>
    <hyperlink ref="A307" r:id="rId611" xr:uid="{00000000-0004-0000-0100-000062020000}"/>
    <hyperlink ref="B307" r:id="rId612" xr:uid="{00000000-0004-0000-0100-000063020000}"/>
    <hyperlink ref="A308" r:id="rId613" xr:uid="{00000000-0004-0000-0100-000064020000}"/>
    <hyperlink ref="B308" r:id="rId614" xr:uid="{00000000-0004-0000-0100-000065020000}"/>
    <hyperlink ref="A309" r:id="rId615" xr:uid="{00000000-0004-0000-0100-000066020000}"/>
    <hyperlink ref="B309" r:id="rId616" xr:uid="{00000000-0004-0000-0100-000067020000}"/>
    <hyperlink ref="A310" r:id="rId617" xr:uid="{00000000-0004-0000-0100-000068020000}"/>
    <hyperlink ref="B310" r:id="rId618" xr:uid="{00000000-0004-0000-0100-000069020000}"/>
    <hyperlink ref="A311" r:id="rId619" xr:uid="{00000000-0004-0000-0100-00006A020000}"/>
    <hyperlink ref="B311" r:id="rId620" xr:uid="{00000000-0004-0000-0100-00006B020000}"/>
    <hyperlink ref="A312" r:id="rId621" xr:uid="{00000000-0004-0000-0100-00006C020000}"/>
    <hyperlink ref="B312" r:id="rId622" xr:uid="{00000000-0004-0000-0100-00006D020000}"/>
    <hyperlink ref="A313" r:id="rId623" xr:uid="{00000000-0004-0000-0100-00006E020000}"/>
    <hyperlink ref="B313" r:id="rId624" xr:uid="{00000000-0004-0000-0100-00006F020000}"/>
    <hyperlink ref="A314" r:id="rId625" xr:uid="{00000000-0004-0000-0100-000070020000}"/>
    <hyperlink ref="B314" r:id="rId626" xr:uid="{00000000-0004-0000-0100-000071020000}"/>
    <hyperlink ref="A315" r:id="rId627" xr:uid="{00000000-0004-0000-0100-000072020000}"/>
    <hyperlink ref="B315" r:id="rId628" xr:uid="{00000000-0004-0000-0100-000073020000}"/>
    <hyperlink ref="A316" r:id="rId629" xr:uid="{00000000-0004-0000-0100-000074020000}"/>
    <hyperlink ref="B316" r:id="rId630" xr:uid="{00000000-0004-0000-0100-000075020000}"/>
    <hyperlink ref="A317" r:id="rId631" xr:uid="{00000000-0004-0000-0100-000076020000}"/>
    <hyperlink ref="B317" r:id="rId632" xr:uid="{00000000-0004-0000-0100-000077020000}"/>
    <hyperlink ref="A318" r:id="rId633" xr:uid="{00000000-0004-0000-0100-000078020000}"/>
    <hyperlink ref="B318" r:id="rId634" xr:uid="{00000000-0004-0000-0100-000079020000}"/>
    <hyperlink ref="A319" r:id="rId635" xr:uid="{00000000-0004-0000-0100-00007A020000}"/>
    <hyperlink ref="B319" r:id="rId636" xr:uid="{00000000-0004-0000-0100-00007B020000}"/>
    <hyperlink ref="A320" r:id="rId637" xr:uid="{00000000-0004-0000-0100-00007C020000}"/>
    <hyperlink ref="B320" r:id="rId638" xr:uid="{00000000-0004-0000-0100-00007D020000}"/>
    <hyperlink ref="A321" r:id="rId639" xr:uid="{00000000-0004-0000-0100-00007E020000}"/>
    <hyperlink ref="B321" r:id="rId640" xr:uid="{00000000-0004-0000-0100-00007F020000}"/>
    <hyperlink ref="A322" r:id="rId641" xr:uid="{00000000-0004-0000-0100-000080020000}"/>
    <hyperlink ref="B322" r:id="rId642" xr:uid="{00000000-0004-0000-0100-000081020000}"/>
    <hyperlink ref="A323" r:id="rId643" xr:uid="{00000000-0004-0000-0100-000082020000}"/>
    <hyperlink ref="B323" r:id="rId644" xr:uid="{00000000-0004-0000-0100-000083020000}"/>
    <hyperlink ref="A324" r:id="rId645" xr:uid="{00000000-0004-0000-0100-000084020000}"/>
    <hyperlink ref="B324" r:id="rId646" xr:uid="{00000000-0004-0000-0100-000085020000}"/>
    <hyperlink ref="A325" r:id="rId647" xr:uid="{00000000-0004-0000-0100-000086020000}"/>
    <hyperlink ref="B325" r:id="rId648" xr:uid="{00000000-0004-0000-0100-000087020000}"/>
    <hyperlink ref="A326" r:id="rId649" xr:uid="{00000000-0004-0000-0100-000088020000}"/>
    <hyperlink ref="B326" r:id="rId650" xr:uid="{00000000-0004-0000-0100-000089020000}"/>
    <hyperlink ref="A327" r:id="rId651" xr:uid="{00000000-0004-0000-0100-00008A020000}"/>
    <hyperlink ref="B327" r:id="rId652" xr:uid="{00000000-0004-0000-0100-00008B020000}"/>
    <hyperlink ref="A328" r:id="rId653" xr:uid="{00000000-0004-0000-0100-00008C020000}"/>
    <hyperlink ref="B328" r:id="rId654" xr:uid="{00000000-0004-0000-0100-00008D020000}"/>
    <hyperlink ref="A329" r:id="rId655" xr:uid="{00000000-0004-0000-0100-00008E020000}"/>
    <hyperlink ref="B329" r:id="rId656" xr:uid="{00000000-0004-0000-0100-00008F020000}"/>
    <hyperlink ref="A330" r:id="rId657" xr:uid="{00000000-0004-0000-0100-000090020000}"/>
    <hyperlink ref="B330" r:id="rId658" xr:uid="{00000000-0004-0000-0100-000091020000}"/>
    <hyperlink ref="A331" r:id="rId659" xr:uid="{00000000-0004-0000-0100-000092020000}"/>
    <hyperlink ref="B331" r:id="rId660" xr:uid="{00000000-0004-0000-0100-000093020000}"/>
    <hyperlink ref="A332" r:id="rId661" xr:uid="{00000000-0004-0000-0100-000094020000}"/>
    <hyperlink ref="B332" r:id="rId662" xr:uid="{00000000-0004-0000-0100-000095020000}"/>
    <hyperlink ref="A333" r:id="rId663" xr:uid="{00000000-0004-0000-0100-000096020000}"/>
    <hyperlink ref="B333" r:id="rId664" xr:uid="{00000000-0004-0000-0100-000097020000}"/>
    <hyperlink ref="A334" r:id="rId665" xr:uid="{00000000-0004-0000-0100-000098020000}"/>
    <hyperlink ref="B334" r:id="rId666" xr:uid="{00000000-0004-0000-0100-000099020000}"/>
    <hyperlink ref="A335" r:id="rId667" xr:uid="{00000000-0004-0000-0100-00009A020000}"/>
    <hyperlink ref="B335" r:id="rId668" xr:uid="{00000000-0004-0000-0100-00009B020000}"/>
    <hyperlink ref="A336" r:id="rId669" xr:uid="{00000000-0004-0000-0100-00009C020000}"/>
    <hyperlink ref="B336" r:id="rId670" xr:uid="{00000000-0004-0000-0100-00009D020000}"/>
    <hyperlink ref="A337" r:id="rId671" xr:uid="{00000000-0004-0000-0100-00009E020000}"/>
    <hyperlink ref="B337" r:id="rId672" xr:uid="{00000000-0004-0000-0100-00009F020000}"/>
    <hyperlink ref="A338" r:id="rId673" xr:uid="{00000000-0004-0000-0100-0000A0020000}"/>
    <hyperlink ref="B338" r:id="rId674" xr:uid="{00000000-0004-0000-0100-0000A1020000}"/>
    <hyperlink ref="A339" r:id="rId675" xr:uid="{00000000-0004-0000-0100-0000A2020000}"/>
    <hyperlink ref="B339" r:id="rId676" xr:uid="{00000000-0004-0000-0100-0000A3020000}"/>
    <hyperlink ref="A340" r:id="rId677" xr:uid="{00000000-0004-0000-0100-0000A4020000}"/>
    <hyperlink ref="B340" r:id="rId678" xr:uid="{00000000-0004-0000-0100-0000A5020000}"/>
    <hyperlink ref="A341" r:id="rId679" xr:uid="{00000000-0004-0000-0100-0000A6020000}"/>
    <hyperlink ref="B341" r:id="rId680" xr:uid="{00000000-0004-0000-0100-0000A7020000}"/>
    <hyperlink ref="A342" r:id="rId681" xr:uid="{00000000-0004-0000-0100-0000A8020000}"/>
    <hyperlink ref="B342" r:id="rId682" xr:uid="{00000000-0004-0000-0100-0000A9020000}"/>
    <hyperlink ref="A343" r:id="rId683" xr:uid="{00000000-0004-0000-0100-0000AA020000}"/>
    <hyperlink ref="B343" r:id="rId684" xr:uid="{00000000-0004-0000-0100-0000AB020000}"/>
    <hyperlink ref="A344" r:id="rId685" xr:uid="{00000000-0004-0000-0100-0000AC020000}"/>
    <hyperlink ref="B344" r:id="rId686" xr:uid="{00000000-0004-0000-0100-0000AD020000}"/>
    <hyperlink ref="A345" r:id="rId687" xr:uid="{00000000-0004-0000-0100-0000AE020000}"/>
    <hyperlink ref="B345" r:id="rId688" xr:uid="{00000000-0004-0000-0100-0000AF020000}"/>
    <hyperlink ref="A346" r:id="rId689" xr:uid="{00000000-0004-0000-0100-0000B0020000}"/>
    <hyperlink ref="B346" r:id="rId690" xr:uid="{00000000-0004-0000-0100-0000B1020000}"/>
    <hyperlink ref="A347" r:id="rId691" xr:uid="{00000000-0004-0000-0100-0000B2020000}"/>
    <hyperlink ref="B347" r:id="rId692" xr:uid="{00000000-0004-0000-0100-0000B3020000}"/>
    <hyperlink ref="A348" r:id="rId693" xr:uid="{00000000-0004-0000-0100-0000B4020000}"/>
    <hyperlink ref="B348" r:id="rId694" xr:uid="{00000000-0004-0000-0100-0000B5020000}"/>
    <hyperlink ref="A349" r:id="rId695" xr:uid="{00000000-0004-0000-0100-0000B6020000}"/>
    <hyperlink ref="B349" r:id="rId696" xr:uid="{00000000-0004-0000-0100-0000B7020000}"/>
    <hyperlink ref="A350" r:id="rId697" xr:uid="{00000000-0004-0000-0100-0000B8020000}"/>
    <hyperlink ref="B350" r:id="rId698" xr:uid="{00000000-0004-0000-0100-0000B9020000}"/>
    <hyperlink ref="A351" r:id="rId699" xr:uid="{00000000-0004-0000-0100-0000BA020000}"/>
    <hyperlink ref="B351" r:id="rId700" xr:uid="{00000000-0004-0000-0100-0000BB020000}"/>
    <hyperlink ref="A352" r:id="rId701" xr:uid="{00000000-0004-0000-0100-0000BC020000}"/>
    <hyperlink ref="B352" r:id="rId702" xr:uid="{00000000-0004-0000-0100-0000BD020000}"/>
    <hyperlink ref="A353" r:id="rId703" xr:uid="{00000000-0004-0000-0100-0000BE020000}"/>
    <hyperlink ref="B353" r:id="rId704" xr:uid="{00000000-0004-0000-0100-0000BF020000}"/>
    <hyperlink ref="A354" r:id="rId705" xr:uid="{00000000-0004-0000-0100-0000C0020000}"/>
    <hyperlink ref="B354" r:id="rId706" xr:uid="{00000000-0004-0000-0100-0000C1020000}"/>
    <hyperlink ref="A355" r:id="rId707" xr:uid="{00000000-0004-0000-0100-0000C2020000}"/>
    <hyperlink ref="B355" r:id="rId708" xr:uid="{00000000-0004-0000-0100-0000C3020000}"/>
    <hyperlink ref="A356" r:id="rId709" xr:uid="{00000000-0004-0000-0100-0000C4020000}"/>
    <hyperlink ref="B356" r:id="rId710" xr:uid="{00000000-0004-0000-0100-0000C5020000}"/>
    <hyperlink ref="A357" r:id="rId711" xr:uid="{00000000-0004-0000-0100-0000C6020000}"/>
    <hyperlink ref="B357" r:id="rId712" xr:uid="{00000000-0004-0000-0100-0000C7020000}"/>
    <hyperlink ref="A358" r:id="rId713" xr:uid="{00000000-0004-0000-0100-0000C8020000}"/>
    <hyperlink ref="B358" r:id="rId714" xr:uid="{00000000-0004-0000-0100-0000C9020000}"/>
    <hyperlink ref="A359" r:id="rId715" xr:uid="{00000000-0004-0000-0100-0000CA020000}"/>
    <hyperlink ref="B359" r:id="rId716" xr:uid="{00000000-0004-0000-0100-0000CB020000}"/>
    <hyperlink ref="A360" r:id="rId717" xr:uid="{00000000-0004-0000-0100-0000CC020000}"/>
    <hyperlink ref="B360" r:id="rId718" xr:uid="{00000000-0004-0000-0100-0000CD020000}"/>
    <hyperlink ref="A361" r:id="rId719" xr:uid="{00000000-0004-0000-0100-0000CE020000}"/>
    <hyperlink ref="B361" r:id="rId720" xr:uid="{00000000-0004-0000-0100-0000CF020000}"/>
    <hyperlink ref="A362" r:id="rId721" xr:uid="{00000000-0004-0000-0100-0000D0020000}"/>
    <hyperlink ref="B362" r:id="rId722" xr:uid="{00000000-0004-0000-0100-0000D1020000}"/>
    <hyperlink ref="A363" r:id="rId723" xr:uid="{00000000-0004-0000-0100-0000D2020000}"/>
    <hyperlink ref="B363" r:id="rId724" xr:uid="{00000000-0004-0000-0100-0000D3020000}"/>
    <hyperlink ref="A364" r:id="rId725" xr:uid="{00000000-0004-0000-0100-0000D4020000}"/>
    <hyperlink ref="B364" r:id="rId726" xr:uid="{00000000-0004-0000-0100-0000D5020000}"/>
    <hyperlink ref="A365" r:id="rId727" xr:uid="{00000000-0004-0000-0100-0000D6020000}"/>
    <hyperlink ref="B365" r:id="rId728" xr:uid="{00000000-0004-0000-0100-0000D7020000}"/>
    <hyperlink ref="A366" r:id="rId729" xr:uid="{00000000-0004-0000-0100-0000D8020000}"/>
    <hyperlink ref="B366" r:id="rId730" xr:uid="{00000000-0004-0000-0100-0000D9020000}"/>
    <hyperlink ref="A367" r:id="rId731" xr:uid="{00000000-0004-0000-0100-0000DA020000}"/>
    <hyperlink ref="B367" r:id="rId732" xr:uid="{00000000-0004-0000-0100-0000DB020000}"/>
    <hyperlink ref="A368" r:id="rId733" xr:uid="{00000000-0004-0000-0100-0000DC020000}"/>
    <hyperlink ref="B368" r:id="rId734" xr:uid="{00000000-0004-0000-0100-0000DD020000}"/>
    <hyperlink ref="A369" r:id="rId735" xr:uid="{00000000-0004-0000-0100-0000DE020000}"/>
    <hyperlink ref="B369" r:id="rId736" xr:uid="{00000000-0004-0000-0100-0000DF020000}"/>
    <hyperlink ref="A370" r:id="rId737" xr:uid="{00000000-0004-0000-0100-0000E0020000}"/>
    <hyperlink ref="B370" r:id="rId738" xr:uid="{00000000-0004-0000-0100-0000E1020000}"/>
    <hyperlink ref="A371" r:id="rId739" xr:uid="{00000000-0004-0000-0100-0000E2020000}"/>
    <hyperlink ref="B371" r:id="rId740" xr:uid="{00000000-0004-0000-0100-0000E3020000}"/>
    <hyperlink ref="A372" r:id="rId741" xr:uid="{00000000-0004-0000-0100-0000E4020000}"/>
    <hyperlink ref="B372" r:id="rId742" xr:uid="{00000000-0004-0000-0100-0000E5020000}"/>
    <hyperlink ref="A373" r:id="rId743" xr:uid="{00000000-0004-0000-0100-0000E6020000}"/>
    <hyperlink ref="B373" r:id="rId744" xr:uid="{00000000-0004-0000-0100-0000E7020000}"/>
    <hyperlink ref="A374" r:id="rId745" xr:uid="{00000000-0004-0000-0100-0000E8020000}"/>
    <hyperlink ref="B374" r:id="rId746" xr:uid="{00000000-0004-0000-0100-0000E9020000}"/>
    <hyperlink ref="A375" r:id="rId747" xr:uid="{00000000-0004-0000-0100-0000EA020000}"/>
    <hyperlink ref="B375" r:id="rId748" xr:uid="{00000000-0004-0000-0100-0000EB020000}"/>
    <hyperlink ref="A376" r:id="rId749" xr:uid="{00000000-0004-0000-0100-0000EC020000}"/>
    <hyperlink ref="B376" r:id="rId750" xr:uid="{00000000-0004-0000-0100-0000ED020000}"/>
    <hyperlink ref="A377" r:id="rId751" xr:uid="{00000000-0004-0000-0100-0000EE020000}"/>
    <hyperlink ref="B377" r:id="rId752" xr:uid="{00000000-0004-0000-0100-0000EF020000}"/>
    <hyperlink ref="A378" r:id="rId753" xr:uid="{00000000-0004-0000-0100-0000F0020000}"/>
    <hyperlink ref="B378" r:id="rId754" xr:uid="{00000000-0004-0000-0100-0000F1020000}"/>
    <hyperlink ref="A379" r:id="rId755" xr:uid="{00000000-0004-0000-0100-0000F2020000}"/>
    <hyperlink ref="B379" r:id="rId756" xr:uid="{00000000-0004-0000-0100-0000F3020000}"/>
    <hyperlink ref="A380" r:id="rId757" xr:uid="{00000000-0004-0000-0100-0000F4020000}"/>
    <hyperlink ref="B380" r:id="rId758" xr:uid="{00000000-0004-0000-0100-0000F5020000}"/>
    <hyperlink ref="A381" r:id="rId759" xr:uid="{00000000-0004-0000-0100-0000F6020000}"/>
    <hyperlink ref="B381" r:id="rId760" xr:uid="{00000000-0004-0000-0100-0000F7020000}"/>
    <hyperlink ref="A382" r:id="rId761" xr:uid="{00000000-0004-0000-0100-0000F8020000}"/>
    <hyperlink ref="B382" r:id="rId762" xr:uid="{00000000-0004-0000-0100-0000F9020000}"/>
    <hyperlink ref="A383" r:id="rId763" xr:uid="{00000000-0004-0000-0100-0000FA020000}"/>
    <hyperlink ref="B383" r:id="rId764" xr:uid="{00000000-0004-0000-0100-0000FB020000}"/>
    <hyperlink ref="A384" r:id="rId765" xr:uid="{00000000-0004-0000-0100-0000FC020000}"/>
    <hyperlink ref="B384" r:id="rId766" xr:uid="{00000000-0004-0000-0100-0000FD020000}"/>
    <hyperlink ref="A385" r:id="rId767" xr:uid="{00000000-0004-0000-0100-0000FE020000}"/>
    <hyperlink ref="B385" r:id="rId768" xr:uid="{00000000-0004-0000-0100-0000FF020000}"/>
    <hyperlink ref="A386" r:id="rId769" xr:uid="{00000000-0004-0000-0100-000000030000}"/>
    <hyperlink ref="B386" r:id="rId770" xr:uid="{00000000-0004-0000-0100-000001030000}"/>
    <hyperlink ref="A387" r:id="rId771" xr:uid="{00000000-0004-0000-0100-000002030000}"/>
    <hyperlink ref="B387" r:id="rId772" xr:uid="{00000000-0004-0000-0100-000003030000}"/>
    <hyperlink ref="A388" r:id="rId773" xr:uid="{00000000-0004-0000-0100-000004030000}"/>
    <hyperlink ref="B388" r:id="rId774" xr:uid="{00000000-0004-0000-0100-000005030000}"/>
    <hyperlink ref="A389" r:id="rId775" xr:uid="{00000000-0004-0000-0100-000006030000}"/>
    <hyperlink ref="B389" r:id="rId776" xr:uid="{00000000-0004-0000-0100-000007030000}"/>
    <hyperlink ref="A390" r:id="rId777" xr:uid="{00000000-0004-0000-0100-000008030000}"/>
    <hyperlink ref="B390" r:id="rId778" xr:uid="{00000000-0004-0000-0100-000009030000}"/>
    <hyperlink ref="A391" r:id="rId779" xr:uid="{00000000-0004-0000-0100-00000A030000}"/>
    <hyperlink ref="B391" r:id="rId780" xr:uid="{00000000-0004-0000-0100-00000B030000}"/>
    <hyperlink ref="A392" r:id="rId781" xr:uid="{00000000-0004-0000-0100-00000C030000}"/>
    <hyperlink ref="B392" r:id="rId782" xr:uid="{00000000-0004-0000-0100-00000D030000}"/>
    <hyperlink ref="A393" r:id="rId783" xr:uid="{00000000-0004-0000-0100-00000E030000}"/>
    <hyperlink ref="B393" r:id="rId784" xr:uid="{00000000-0004-0000-0100-00000F030000}"/>
    <hyperlink ref="A394" r:id="rId785" xr:uid="{00000000-0004-0000-0100-000010030000}"/>
    <hyperlink ref="B394" r:id="rId786" xr:uid="{00000000-0004-0000-0100-000011030000}"/>
    <hyperlink ref="A395" r:id="rId787" xr:uid="{00000000-0004-0000-0100-000012030000}"/>
    <hyperlink ref="B395" r:id="rId788" xr:uid="{00000000-0004-0000-0100-000013030000}"/>
    <hyperlink ref="A396" r:id="rId789" xr:uid="{00000000-0004-0000-0100-000014030000}"/>
    <hyperlink ref="B396" r:id="rId790" xr:uid="{00000000-0004-0000-0100-000015030000}"/>
    <hyperlink ref="A397" r:id="rId791" xr:uid="{00000000-0004-0000-0100-000016030000}"/>
    <hyperlink ref="B397" r:id="rId792" xr:uid="{00000000-0004-0000-0100-000017030000}"/>
    <hyperlink ref="A398" r:id="rId793" xr:uid="{00000000-0004-0000-0100-000018030000}"/>
    <hyperlink ref="B398" r:id="rId794" xr:uid="{00000000-0004-0000-0100-000019030000}"/>
    <hyperlink ref="A399" r:id="rId795" xr:uid="{00000000-0004-0000-0100-00001A030000}"/>
    <hyperlink ref="B399" r:id="rId796" xr:uid="{00000000-0004-0000-0100-00001B030000}"/>
    <hyperlink ref="A400" r:id="rId797" xr:uid="{00000000-0004-0000-0100-00001C030000}"/>
    <hyperlink ref="B400" r:id="rId798" xr:uid="{00000000-0004-0000-0100-00001D030000}"/>
    <hyperlink ref="A401" r:id="rId799" xr:uid="{00000000-0004-0000-0100-00001E030000}"/>
    <hyperlink ref="B401" r:id="rId800" xr:uid="{00000000-0004-0000-0100-00001F030000}"/>
    <hyperlink ref="A402" r:id="rId801" xr:uid="{00000000-0004-0000-0100-000020030000}"/>
    <hyperlink ref="B402" r:id="rId802" xr:uid="{00000000-0004-0000-0100-000021030000}"/>
    <hyperlink ref="A403" r:id="rId803" xr:uid="{00000000-0004-0000-0100-000022030000}"/>
    <hyperlink ref="B403" r:id="rId804" xr:uid="{00000000-0004-0000-0100-000023030000}"/>
    <hyperlink ref="A404" r:id="rId805" xr:uid="{00000000-0004-0000-0100-000024030000}"/>
    <hyperlink ref="B404" r:id="rId806" xr:uid="{00000000-0004-0000-0100-000025030000}"/>
    <hyperlink ref="A405" r:id="rId807" xr:uid="{00000000-0004-0000-0100-000026030000}"/>
    <hyperlink ref="B405" r:id="rId808" xr:uid="{00000000-0004-0000-0100-000027030000}"/>
    <hyperlink ref="A406" r:id="rId809" xr:uid="{00000000-0004-0000-0100-000028030000}"/>
    <hyperlink ref="B406" r:id="rId810" xr:uid="{00000000-0004-0000-0100-000029030000}"/>
    <hyperlink ref="A407" r:id="rId811" xr:uid="{00000000-0004-0000-0100-00002A030000}"/>
    <hyperlink ref="B407" r:id="rId812" xr:uid="{00000000-0004-0000-0100-00002B030000}"/>
    <hyperlink ref="A408" r:id="rId813" xr:uid="{00000000-0004-0000-0100-00002C030000}"/>
    <hyperlink ref="B408" r:id="rId814" xr:uid="{00000000-0004-0000-0100-00002D030000}"/>
    <hyperlink ref="A409" r:id="rId815" xr:uid="{00000000-0004-0000-0100-00002E030000}"/>
    <hyperlink ref="B409" r:id="rId816" xr:uid="{00000000-0004-0000-0100-00002F030000}"/>
    <hyperlink ref="A410" r:id="rId817" xr:uid="{00000000-0004-0000-0100-000030030000}"/>
    <hyperlink ref="B410" r:id="rId818" xr:uid="{00000000-0004-0000-0100-000031030000}"/>
    <hyperlink ref="A411" r:id="rId819" xr:uid="{00000000-0004-0000-0100-000032030000}"/>
    <hyperlink ref="B411" r:id="rId820" xr:uid="{00000000-0004-0000-0100-000033030000}"/>
    <hyperlink ref="A412" r:id="rId821" xr:uid="{00000000-0004-0000-0100-000034030000}"/>
    <hyperlink ref="B412" r:id="rId822" xr:uid="{00000000-0004-0000-0100-000035030000}"/>
    <hyperlink ref="A413" r:id="rId823" xr:uid="{00000000-0004-0000-0100-000036030000}"/>
    <hyperlink ref="B413" r:id="rId824" xr:uid="{00000000-0004-0000-0100-000037030000}"/>
    <hyperlink ref="A414" r:id="rId825" xr:uid="{00000000-0004-0000-0100-000038030000}"/>
    <hyperlink ref="B414" r:id="rId826" xr:uid="{00000000-0004-0000-0100-000039030000}"/>
    <hyperlink ref="A415" r:id="rId827" xr:uid="{00000000-0004-0000-0100-00003A030000}"/>
    <hyperlink ref="B415" r:id="rId828" xr:uid="{00000000-0004-0000-0100-00003B030000}"/>
    <hyperlink ref="A416" r:id="rId829" xr:uid="{00000000-0004-0000-0100-00003C030000}"/>
    <hyperlink ref="B416" r:id="rId830" xr:uid="{00000000-0004-0000-0100-00003D030000}"/>
    <hyperlink ref="A417" r:id="rId831" xr:uid="{00000000-0004-0000-0100-00003E030000}"/>
    <hyperlink ref="B417" r:id="rId832" xr:uid="{00000000-0004-0000-0100-00003F030000}"/>
    <hyperlink ref="A418" r:id="rId833" xr:uid="{00000000-0004-0000-0100-000040030000}"/>
    <hyperlink ref="B418" r:id="rId834" xr:uid="{00000000-0004-0000-0100-000041030000}"/>
    <hyperlink ref="A419" r:id="rId835" xr:uid="{00000000-0004-0000-0100-000042030000}"/>
    <hyperlink ref="B419" r:id="rId836" xr:uid="{00000000-0004-0000-0100-000043030000}"/>
    <hyperlink ref="A420" r:id="rId837" xr:uid="{00000000-0004-0000-0100-000044030000}"/>
    <hyperlink ref="B420" r:id="rId838" xr:uid="{00000000-0004-0000-0100-000045030000}"/>
    <hyperlink ref="A421" r:id="rId839" xr:uid="{00000000-0004-0000-0100-000046030000}"/>
    <hyperlink ref="B421" r:id="rId840" xr:uid="{00000000-0004-0000-0100-000047030000}"/>
    <hyperlink ref="A422" r:id="rId841" xr:uid="{00000000-0004-0000-0100-000048030000}"/>
    <hyperlink ref="B422" r:id="rId842" xr:uid="{00000000-0004-0000-0100-000049030000}"/>
    <hyperlink ref="A423" r:id="rId843" xr:uid="{00000000-0004-0000-0100-00004A030000}"/>
    <hyperlink ref="B423" r:id="rId844" xr:uid="{00000000-0004-0000-0100-00004B030000}"/>
    <hyperlink ref="A424" r:id="rId845" xr:uid="{00000000-0004-0000-0100-00004C030000}"/>
    <hyperlink ref="B424" r:id="rId846" xr:uid="{00000000-0004-0000-0100-00004D030000}"/>
    <hyperlink ref="A425" r:id="rId847" xr:uid="{00000000-0004-0000-0100-00004E030000}"/>
    <hyperlink ref="B425" r:id="rId848" xr:uid="{00000000-0004-0000-0100-00004F030000}"/>
    <hyperlink ref="A426" r:id="rId849" xr:uid="{00000000-0004-0000-0100-000050030000}"/>
    <hyperlink ref="B426" r:id="rId850" xr:uid="{00000000-0004-0000-0100-000051030000}"/>
    <hyperlink ref="A427" r:id="rId851" xr:uid="{00000000-0004-0000-0100-000052030000}"/>
    <hyperlink ref="B427" r:id="rId852" xr:uid="{00000000-0004-0000-0100-000053030000}"/>
    <hyperlink ref="A428" r:id="rId853" xr:uid="{00000000-0004-0000-0100-000054030000}"/>
    <hyperlink ref="B428" r:id="rId854" xr:uid="{00000000-0004-0000-0100-000055030000}"/>
    <hyperlink ref="A429" r:id="rId855" xr:uid="{00000000-0004-0000-0100-000056030000}"/>
    <hyperlink ref="B429" r:id="rId856" xr:uid="{00000000-0004-0000-0100-000057030000}"/>
    <hyperlink ref="A430" r:id="rId857" xr:uid="{00000000-0004-0000-0100-000058030000}"/>
    <hyperlink ref="B430" r:id="rId858" xr:uid="{00000000-0004-0000-0100-000059030000}"/>
    <hyperlink ref="A431" r:id="rId859" xr:uid="{00000000-0004-0000-0100-00005A030000}"/>
    <hyperlink ref="B431" r:id="rId860" xr:uid="{00000000-0004-0000-0100-00005B030000}"/>
    <hyperlink ref="A432" r:id="rId861" xr:uid="{00000000-0004-0000-0100-00005C030000}"/>
    <hyperlink ref="B432" r:id="rId862" xr:uid="{00000000-0004-0000-0100-00005D030000}"/>
    <hyperlink ref="A433" r:id="rId863" xr:uid="{00000000-0004-0000-0100-00005E030000}"/>
    <hyperlink ref="B433" r:id="rId864" xr:uid="{00000000-0004-0000-0100-00005F030000}"/>
    <hyperlink ref="A434" r:id="rId865" xr:uid="{00000000-0004-0000-0100-000060030000}"/>
    <hyperlink ref="B434" r:id="rId866" xr:uid="{00000000-0004-0000-0100-000061030000}"/>
    <hyperlink ref="A435" r:id="rId867" xr:uid="{00000000-0004-0000-0100-000062030000}"/>
    <hyperlink ref="B435" r:id="rId868" xr:uid="{00000000-0004-0000-0100-000063030000}"/>
    <hyperlink ref="A436" r:id="rId869" xr:uid="{00000000-0004-0000-0100-000064030000}"/>
    <hyperlink ref="B436" r:id="rId870" xr:uid="{00000000-0004-0000-0100-000065030000}"/>
    <hyperlink ref="A437" r:id="rId871" xr:uid="{00000000-0004-0000-0100-000066030000}"/>
    <hyperlink ref="B437" r:id="rId872" xr:uid="{00000000-0004-0000-0100-000067030000}"/>
    <hyperlink ref="A438" r:id="rId873" xr:uid="{00000000-0004-0000-0100-000068030000}"/>
    <hyperlink ref="B438" r:id="rId874" xr:uid="{00000000-0004-0000-0100-000069030000}"/>
    <hyperlink ref="A439" r:id="rId875" xr:uid="{00000000-0004-0000-0100-00006A030000}"/>
    <hyperlink ref="B439" r:id="rId876" xr:uid="{00000000-0004-0000-0100-00006B030000}"/>
    <hyperlink ref="A440" r:id="rId877" xr:uid="{00000000-0004-0000-0100-00006C030000}"/>
    <hyperlink ref="B440" r:id="rId878" xr:uid="{00000000-0004-0000-0100-00006D030000}"/>
    <hyperlink ref="A441" r:id="rId879" xr:uid="{00000000-0004-0000-0100-00006E030000}"/>
    <hyperlink ref="B441" r:id="rId880" xr:uid="{00000000-0004-0000-0100-00006F030000}"/>
    <hyperlink ref="A442" r:id="rId881" xr:uid="{00000000-0004-0000-0100-000070030000}"/>
    <hyperlink ref="B442" r:id="rId882" xr:uid="{00000000-0004-0000-0100-000071030000}"/>
    <hyperlink ref="A443" r:id="rId883" xr:uid="{00000000-0004-0000-0100-000072030000}"/>
    <hyperlink ref="B443" r:id="rId884" xr:uid="{00000000-0004-0000-0100-000073030000}"/>
    <hyperlink ref="A444" r:id="rId885" xr:uid="{00000000-0004-0000-0100-000074030000}"/>
    <hyperlink ref="B444" r:id="rId886" xr:uid="{00000000-0004-0000-0100-000075030000}"/>
    <hyperlink ref="A445" r:id="rId887" xr:uid="{00000000-0004-0000-0100-000076030000}"/>
    <hyperlink ref="B445" r:id="rId888" xr:uid="{00000000-0004-0000-0100-000077030000}"/>
    <hyperlink ref="A446" r:id="rId889" xr:uid="{00000000-0004-0000-0100-000078030000}"/>
    <hyperlink ref="B446" r:id="rId890" xr:uid="{00000000-0004-0000-0100-000079030000}"/>
    <hyperlink ref="A447" r:id="rId891" xr:uid="{00000000-0004-0000-0100-00007A030000}"/>
    <hyperlink ref="B447" r:id="rId892" xr:uid="{00000000-0004-0000-0100-00007B030000}"/>
    <hyperlink ref="A448" r:id="rId893" xr:uid="{00000000-0004-0000-0100-00007C030000}"/>
    <hyperlink ref="B448" r:id="rId894" xr:uid="{00000000-0004-0000-0100-00007D030000}"/>
    <hyperlink ref="A449" r:id="rId895" xr:uid="{00000000-0004-0000-0100-00007E030000}"/>
    <hyperlink ref="B449" r:id="rId896" xr:uid="{00000000-0004-0000-0100-00007F030000}"/>
    <hyperlink ref="A450" r:id="rId897" xr:uid="{00000000-0004-0000-0100-000080030000}"/>
    <hyperlink ref="B450" r:id="rId898" xr:uid="{00000000-0004-0000-0100-000081030000}"/>
    <hyperlink ref="A451" r:id="rId899" xr:uid="{00000000-0004-0000-0100-000082030000}"/>
    <hyperlink ref="B451" r:id="rId900" xr:uid="{00000000-0004-0000-0100-000083030000}"/>
    <hyperlink ref="A452" r:id="rId901" xr:uid="{00000000-0004-0000-0100-000084030000}"/>
    <hyperlink ref="B452" r:id="rId902" xr:uid="{00000000-0004-0000-0100-000085030000}"/>
    <hyperlink ref="A453" r:id="rId903" xr:uid="{00000000-0004-0000-0100-000086030000}"/>
    <hyperlink ref="B453" r:id="rId904" xr:uid="{00000000-0004-0000-0100-000087030000}"/>
    <hyperlink ref="A454" r:id="rId905" xr:uid="{00000000-0004-0000-0100-000088030000}"/>
    <hyperlink ref="B454" r:id="rId906" xr:uid="{00000000-0004-0000-0100-000089030000}"/>
    <hyperlink ref="A455" r:id="rId907" xr:uid="{00000000-0004-0000-0100-00008A030000}"/>
    <hyperlink ref="B455" r:id="rId908" xr:uid="{00000000-0004-0000-0100-00008B030000}"/>
    <hyperlink ref="A456" r:id="rId909" xr:uid="{00000000-0004-0000-0100-00008C030000}"/>
    <hyperlink ref="B456" r:id="rId910" xr:uid="{00000000-0004-0000-0100-00008D030000}"/>
    <hyperlink ref="A457" r:id="rId911" xr:uid="{00000000-0004-0000-0100-00008E030000}"/>
    <hyperlink ref="B457" r:id="rId912" xr:uid="{00000000-0004-0000-0100-00008F030000}"/>
    <hyperlink ref="A458" r:id="rId913" xr:uid="{00000000-0004-0000-0100-000090030000}"/>
    <hyperlink ref="B458" r:id="rId914" xr:uid="{00000000-0004-0000-0100-000091030000}"/>
    <hyperlink ref="A459" r:id="rId915" xr:uid="{00000000-0004-0000-0100-000092030000}"/>
    <hyperlink ref="B459" r:id="rId916" xr:uid="{00000000-0004-0000-0100-000093030000}"/>
    <hyperlink ref="A460" r:id="rId917" xr:uid="{00000000-0004-0000-0100-000094030000}"/>
    <hyperlink ref="B460" r:id="rId918" xr:uid="{00000000-0004-0000-0100-000095030000}"/>
    <hyperlink ref="A461" r:id="rId919" xr:uid="{00000000-0004-0000-0100-000096030000}"/>
    <hyperlink ref="B461" r:id="rId920" xr:uid="{00000000-0004-0000-0100-000097030000}"/>
    <hyperlink ref="A462" r:id="rId921" xr:uid="{00000000-0004-0000-0100-000098030000}"/>
    <hyperlink ref="B462" r:id="rId922" xr:uid="{00000000-0004-0000-0100-000099030000}"/>
    <hyperlink ref="A463" r:id="rId923" xr:uid="{00000000-0004-0000-0100-00009A030000}"/>
    <hyperlink ref="B463" r:id="rId924" xr:uid="{00000000-0004-0000-0100-00009B030000}"/>
    <hyperlink ref="A464" r:id="rId925" xr:uid="{00000000-0004-0000-0100-00009C030000}"/>
    <hyperlink ref="B464" r:id="rId926" xr:uid="{00000000-0004-0000-0100-00009D030000}"/>
    <hyperlink ref="A465" r:id="rId927" xr:uid="{00000000-0004-0000-0100-00009E030000}"/>
    <hyperlink ref="B465" r:id="rId928" xr:uid="{00000000-0004-0000-0100-00009F030000}"/>
    <hyperlink ref="A466" r:id="rId929" xr:uid="{00000000-0004-0000-0100-0000A0030000}"/>
    <hyperlink ref="B466" r:id="rId930" xr:uid="{00000000-0004-0000-0100-0000A1030000}"/>
    <hyperlink ref="A467" r:id="rId931" xr:uid="{00000000-0004-0000-0100-0000A2030000}"/>
    <hyperlink ref="B467" r:id="rId932" xr:uid="{00000000-0004-0000-0100-0000A3030000}"/>
    <hyperlink ref="A468" r:id="rId933" xr:uid="{00000000-0004-0000-0100-0000A4030000}"/>
    <hyperlink ref="B468" r:id="rId934" xr:uid="{00000000-0004-0000-0100-0000A5030000}"/>
    <hyperlink ref="A469" r:id="rId935" xr:uid="{00000000-0004-0000-0100-0000A6030000}"/>
    <hyperlink ref="B469" r:id="rId936" xr:uid="{00000000-0004-0000-0100-0000A7030000}"/>
    <hyperlink ref="A470" r:id="rId937" xr:uid="{00000000-0004-0000-0100-0000A8030000}"/>
    <hyperlink ref="B470" r:id="rId938" xr:uid="{00000000-0004-0000-0100-0000A9030000}"/>
    <hyperlink ref="A471" r:id="rId939" xr:uid="{00000000-0004-0000-0100-0000AA030000}"/>
    <hyperlink ref="B471" r:id="rId940" xr:uid="{00000000-0004-0000-0100-0000AB030000}"/>
    <hyperlink ref="A472" r:id="rId941" xr:uid="{00000000-0004-0000-0100-0000AC030000}"/>
    <hyperlink ref="B472" r:id="rId942" xr:uid="{00000000-0004-0000-0100-0000AD030000}"/>
    <hyperlink ref="A473" r:id="rId943" xr:uid="{00000000-0004-0000-0100-0000AE030000}"/>
    <hyperlink ref="B473" r:id="rId944" xr:uid="{00000000-0004-0000-0100-0000AF030000}"/>
    <hyperlink ref="A474" r:id="rId945" xr:uid="{00000000-0004-0000-0100-0000B0030000}"/>
    <hyperlink ref="B474" r:id="rId946" xr:uid="{00000000-0004-0000-0100-0000B1030000}"/>
    <hyperlink ref="A475" r:id="rId947" xr:uid="{00000000-0004-0000-0100-0000B2030000}"/>
    <hyperlink ref="B475" r:id="rId948" xr:uid="{00000000-0004-0000-0100-0000B3030000}"/>
    <hyperlink ref="A476" r:id="rId949" xr:uid="{00000000-0004-0000-0100-0000B4030000}"/>
    <hyperlink ref="B476" r:id="rId950" xr:uid="{00000000-0004-0000-0100-0000B5030000}"/>
    <hyperlink ref="A477" r:id="rId951" xr:uid="{00000000-0004-0000-0100-0000B6030000}"/>
    <hyperlink ref="B477" r:id="rId952" xr:uid="{00000000-0004-0000-0100-0000B7030000}"/>
    <hyperlink ref="A478" r:id="rId953" xr:uid="{00000000-0004-0000-0100-0000B8030000}"/>
    <hyperlink ref="B478" r:id="rId954" xr:uid="{00000000-0004-0000-0100-0000B9030000}"/>
    <hyperlink ref="A479" r:id="rId955" xr:uid="{00000000-0004-0000-0100-0000BA030000}"/>
    <hyperlink ref="B479" r:id="rId956" xr:uid="{00000000-0004-0000-0100-0000BB030000}"/>
    <hyperlink ref="A480" r:id="rId957" xr:uid="{00000000-0004-0000-0100-0000BC030000}"/>
    <hyperlink ref="B480" r:id="rId958" xr:uid="{00000000-0004-0000-0100-0000BD030000}"/>
    <hyperlink ref="A481" r:id="rId959" xr:uid="{00000000-0004-0000-0100-0000BE030000}"/>
    <hyperlink ref="B481" r:id="rId960" xr:uid="{00000000-0004-0000-0100-0000BF030000}"/>
    <hyperlink ref="A482" r:id="rId961" xr:uid="{00000000-0004-0000-0100-0000C0030000}"/>
    <hyperlink ref="B482" r:id="rId962" xr:uid="{00000000-0004-0000-0100-0000C1030000}"/>
    <hyperlink ref="A483" r:id="rId963" xr:uid="{00000000-0004-0000-0100-0000C2030000}"/>
    <hyperlink ref="B483" r:id="rId964" xr:uid="{00000000-0004-0000-0100-0000C3030000}"/>
    <hyperlink ref="A484" r:id="rId965" xr:uid="{00000000-0004-0000-0100-0000C4030000}"/>
    <hyperlink ref="B484" r:id="rId966" xr:uid="{00000000-0004-0000-0100-0000C5030000}"/>
    <hyperlink ref="A485" r:id="rId967" xr:uid="{00000000-0004-0000-0100-0000C6030000}"/>
    <hyperlink ref="B485" r:id="rId968" xr:uid="{00000000-0004-0000-0100-0000C7030000}"/>
    <hyperlink ref="A486" r:id="rId969" xr:uid="{00000000-0004-0000-0100-0000C8030000}"/>
    <hyperlink ref="B486" r:id="rId970" xr:uid="{00000000-0004-0000-0100-0000C9030000}"/>
    <hyperlink ref="A487" r:id="rId971" xr:uid="{00000000-0004-0000-0100-0000CA030000}"/>
    <hyperlink ref="B487" r:id="rId972" xr:uid="{00000000-0004-0000-0100-0000CB030000}"/>
    <hyperlink ref="A488" r:id="rId973" xr:uid="{00000000-0004-0000-0100-0000CC030000}"/>
    <hyperlink ref="B488" r:id="rId974" xr:uid="{00000000-0004-0000-0100-0000CD030000}"/>
    <hyperlink ref="A489" r:id="rId975" xr:uid="{00000000-0004-0000-0100-0000CE030000}"/>
    <hyperlink ref="B489" r:id="rId976" xr:uid="{00000000-0004-0000-0100-0000CF030000}"/>
    <hyperlink ref="A490" r:id="rId977" xr:uid="{00000000-0004-0000-0100-0000D0030000}"/>
    <hyperlink ref="B490" r:id="rId978" xr:uid="{00000000-0004-0000-0100-0000D1030000}"/>
    <hyperlink ref="A491" r:id="rId979" xr:uid="{00000000-0004-0000-0100-0000D2030000}"/>
    <hyperlink ref="B491" r:id="rId980" xr:uid="{00000000-0004-0000-0100-0000D3030000}"/>
    <hyperlink ref="A492" r:id="rId981" xr:uid="{00000000-0004-0000-0100-0000D4030000}"/>
    <hyperlink ref="B492" r:id="rId982" xr:uid="{00000000-0004-0000-0100-0000D5030000}"/>
    <hyperlink ref="A493" r:id="rId983" xr:uid="{00000000-0004-0000-0100-0000D6030000}"/>
    <hyperlink ref="B493" r:id="rId984" xr:uid="{00000000-0004-0000-0100-0000D7030000}"/>
    <hyperlink ref="A494" r:id="rId985" xr:uid="{00000000-0004-0000-0100-0000D8030000}"/>
    <hyperlink ref="B494" r:id="rId986" xr:uid="{00000000-0004-0000-0100-0000D9030000}"/>
    <hyperlink ref="A495" r:id="rId987" xr:uid="{00000000-0004-0000-0100-0000DA030000}"/>
    <hyperlink ref="B495" r:id="rId988" xr:uid="{00000000-0004-0000-0100-0000DB030000}"/>
    <hyperlink ref="A496" r:id="rId989" xr:uid="{00000000-0004-0000-0100-0000DC030000}"/>
    <hyperlink ref="B496" r:id="rId990" xr:uid="{00000000-0004-0000-0100-0000DD030000}"/>
    <hyperlink ref="A497" r:id="rId991" xr:uid="{00000000-0004-0000-0100-0000DE030000}"/>
    <hyperlink ref="B497" r:id="rId992" xr:uid="{00000000-0004-0000-0100-0000DF030000}"/>
    <hyperlink ref="A498" r:id="rId993" xr:uid="{00000000-0004-0000-0100-0000E0030000}"/>
    <hyperlink ref="B498" r:id="rId994" xr:uid="{00000000-0004-0000-0100-0000E1030000}"/>
    <hyperlink ref="A499" r:id="rId995" xr:uid="{00000000-0004-0000-0100-0000E2030000}"/>
    <hyperlink ref="B499" r:id="rId996" xr:uid="{00000000-0004-0000-0100-0000E3030000}"/>
    <hyperlink ref="A500" r:id="rId997" xr:uid="{00000000-0004-0000-0100-0000E4030000}"/>
    <hyperlink ref="B500" r:id="rId998" xr:uid="{00000000-0004-0000-0100-0000E5030000}"/>
    <hyperlink ref="A501" r:id="rId999" xr:uid="{00000000-0004-0000-0100-0000E6030000}"/>
    <hyperlink ref="B501" r:id="rId1000" xr:uid="{00000000-0004-0000-0100-0000E7030000}"/>
    <hyperlink ref="A502" r:id="rId1001" xr:uid="{00000000-0004-0000-0100-0000E8030000}"/>
    <hyperlink ref="B502" r:id="rId1002" xr:uid="{00000000-0004-0000-0100-0000E9030000}"/>
    <hyperlink ref="A503" r:id="rId1003" xr:uid="{00000000-0004-0000-0100-0000EA030000}"/>
    <hyperlink ref="B503" r:id="rId1004" xr:uid="{00000000-0004-0000-0100-0000EB030000}"/>
    <hyperlink ref="A504" r:id="rId1005" xr:uid="{00000000-0004-0000-0100-0000EC030000}"/>
    <hyperlink ref="B504" r:id="rId1006" xr:uid="{00000000-0004-0000-0100-0000ED030000}"/>
    <hyperlink ref="A505" r:id="rId1007" xr:uid="{00000000-0004-0000-0100-0000EE030000}"/>
    <hyperlink ref="B505" r:id="rId1008" xr:uid="{00000000-0004-0000-0100-0000EF030000}"/>
    <hyperlink ref="A506" r:id="rId1009" xr:uid="{00000000-0004-0000-0100-0000F0030000}"/>
    <hyperlink ref="B506" r:id="rId1010" xr:uid="{00000000-0004-0000-0100-0000F1030000}"/>
    <hyperlink ref="A507" r:id="rId1011" xr:uid="{00000000-0004-0000-0100-0000F2030000}"/>
    <hyperlink ref="B507" r:id="rId1012" xr:uid="{00000000-0004-0000-0100-0000F3030000}"/>
    <hyperlink ref="A508" r:id="rId1013" xr:uid="{00000000-0004-0000-0100-0000F4030000}"/>
    <hyperlink ref="B508" r:id="rId1014" xr:uid="{00000000-0004-0000-0100-0000F5030000}"/>
    <hyperlink ref="A509" r:id="rId1015" xr:uid="{00000000-0004-0000-0100-0000F6030000}"/>
    <hyperlink ref="B509" r:id="rId1016" xr:uid="{00000000-0004-0000-0100-0000F7030000}"/>
    <hyperlink ref="A510" r:id="rId1017" xr:uid="{00000000-0004-0000-0100-0000F8030000}"/>
    <hyperlink ref="B510" r:id="rId1018" xr:uid="{00000000-0004-0000-0100-0000F9030000}"/>
    <hyperlink ref="A511" r:id="rId1019" xr:uid="{00000000-0004-0000-0100-0000FA030000}"/>
    <hyperlink ref="B511" r:id="rId1020" xr:uid="{00000000-0004-0000-0100-0000FB030000}"/>
    <hyperlink ref="A512" r:id="rId1021" xr:uid="{00000000-0004-0000-0100-0000FC030000}"/>
    <hyperlink ref="B512" r:id="rId1022" xr:uid="{00000000-0004-0000-0100-0000FD030000}"/>
    <hyperlink ref="A513" r:id="rId1023" xr:uid="{00000000-0004-0000-0100-0000FE030000}"/>
    <hyperlink ref="B513" r:id="rId1024" xr:uid="{00000000-0004-0000-0100-0000FF030000}"/>
    <hyperlink ref="A514" r:id="rId1025" xr:uid="{00000000-0004-0000-0100-000000040000}"/>
    <hyperlink ref="B514" r:id="rId1026" xr:uid="{00000000-0004-0000-0100-000001040000}"/>
    <hyperlink ref="A515" r:id="rId1027" xr:uid="{00000000-0004-0000-0100-000002040000}"/>
    <hyperlink ref="B515" r:id="rId1028" xr:uid="{00000000-0004-0000-0100-000003040000}"/>
    <hyperlink ref="A516" r:id="rId1029" xr:uid="{00000000-0004-0000-0100-000004040000}"/>
    <hyperlink ref="B516" r:id="rId1030" xr:uid="{00000000-0004-0000-0100-000005040000}"/>
    <hyperlink ref="A517" r:id="rId1031" xr:uid="{00000000-0004-0000-0100-000006040000}"/>
    <hyperlink ref="B517" r:id="rId1032" xr:uid="{00000000-0004-0000-0100-000007040000}"/>
    <hyperlink ref="A518" r:id="rId1033" xr:uid="{00000000-0004-0000-0100-000008040000}"/>
    <hyperlink ref="B518" r:id="rId1034" xr:uid="{00000000-0004-0000-0100-000009040000}"/>
    <hyperlink ref="A519" r:id="rId1035" xr:uid="{00000000-0004-0000-0100-00000A040000}"/>
    <hyperlink ref="B519" r:id="rId1036" xr:uid="{00000000-0004-0000-0100-00000B040000}"/>
    <hyperlink ref="A520" r:id="rId1037" xr:uid="{00000000-0004-0000-0100-00000C040000}"/>
    <hyperlink ref="B520" r:id="rId1038" xr:uid="{00000000-0004-0000-0100-00000D040000}"/>
    <hyperlink ref="A521" r:id="rId1039" xr:uid="{00000000-0004-0000-0100-00000E040000}"/>
    <hyperlink ref="B521" r:id="rId1040" xr:uid="{00000000-0004-0000-0100-00000F040000}"/>
    <hyperlink ref="A522" r:id="rId1041" xr:uid="{00000000-0004-0000-0100-000010040000}"/>
    <hyperlink ref="B522" r:id="rId1042" xr:uid="{00000000-0004-0000-0100-000011040000}"/>
    <hyperlink ref="A523" r:id="rId1043" xr:uid="{00000000-0004-0000-0100-000012040000}"/>
    <hyperlink ref="B523" r:id="rId1044" xr:uid="{00000000-0004-0000-0100-000013040000}"/>
    <hyperlink ref="A524" r:id="rId1045" xr:uid="{00000000-0004-0000-0100-000014040000}"/>
    <hyperlink ref="B524" r:id="rId1046" xr:uid="{00000000-0004-0000-0100-000015040000}"/>
    <hyperlink ref="A525" r:id="rId1047" xr:uid="{00000000-0004-0000-0100-000016040000}"/>
    <hyperlink ref="B525" r:id="rId1048" xr:uid="{00000000-0004-0000-0100-000017040000}"/>
    <hyperlink ref="A526" r:id="rId1049" xr:uid="{00000000-0004-0000-0100-000018040000}"/>
    <hyperlink ref="B526" r:id="rId1050" xr:uid="{00000000-0004-0000-0100-000019040000}"/>
    <hyperlink ref="A527" r:id="rId1051" xr:uid="{00000000-0004-0000-0100-00001A040000}"/>
    <hyperlink ref="B527" r:id="rId1052" xr:uid="{00000000-0004-0000-0100-00001B040000}"/>
    <hyperlink ref="A528" r:id="rId1053" xr:uid="{00000000-0004-0000-0100-00001C040000}"/>
    <hyperlink ref="B528" r:id="rId1054" xr:uid="{00000000-0004-0000-0100-00001D040000}"/>
    <hyperlink ref="A529" r:id="rId1055" xr:uid="{00000000-0004-0000-0100-00001E040000}"/>
    <hyperlink ref="B529" r:id="rId1056" xr:uid="{00000000-0004-0000-0100-00001F040000}"/>
    <hyperlink ref="A530" r:id="rId1057" xr:uid="{00000000-0004-0000-0100-000020040000}"/>
    <hyperlink ref="B530" r:id="rId1058" xr:uid="{00000000-0004-0000-0100-000021040000}"/>
    <hyperlink ref="A531" r:id="rId1059" xr:uid="{00000000-0004-0000-0100-000022040000}"/>
    <hyperlink ref="B531" r:id="rId1060" xr:uid="{00000000-0004-0000-0100-000023040000}"/>
    <hyperlink ref="A532" r:id="rId1061" xr:uid="{00000000-0004-0000-0100-000024040000}"/>
    <hyperlink ref="B532" r:id="rId1062" xr:uid="{00000000-0004-0000-0100-000025040000}"/>
    <hyperlink ref="A533" r:id="rId1063" xr:uid="{00000000-0004-0000-0100-000026040000}"/>
    <hyperlink ref="B533" r:id="rId1064" xr:uid="{00000000-0004-0000-0100-000027040000}"/>
    <hyperlink ref="A534" r:id="rId1065" xr:uid="{00000000-0004-0000-0100-000028040000}"/>
    <hyperlink ref="B534" r:id="rId1066" xr:uid="{00000000-0004-0000-0100-000029040000}"/>
    <hyperlink ref="A535" r:id="rId1067" xr:uid="{00000000-0004-0000-0100-00002A040000}"/>
    <hyperlink ref="B535" r:id="rId1068" xr:uid="{00000000-0004-0000-0100-00002B040000}"/>
    <hyperlink ref="A536" r:id="rId1069" xr:uid="{00000000-0004-0000-0100-00002C040000}"/>
    <hyperlink ref="B536" r:id="rId1070" xr:uid="{00000000-0004-0000-0100-00002D040000}"/>
    <hyperlink ref="A537" r:id="rId1071" xr:uid="{00000000-0004-0000-0100-00002E040000}"/>
    <hyperlink ref="B537" r:id="rId1072" xr:uid="{00000000-0004-0000-0100-00002F040000}"/>
    <hyperlink ref="A538" r:id="rId1073" xr:uid="{00000000-0004-0000-0100-000030040000}"/>
    <hyperlink ref="B538" r:id="rId1074" xr:uid="{00000000-0004-0000-0100-000031040000}"/>
    <hyperlink ref="A539" r:id="rId1075" xr:uid="{00000000-0004-0000-0100-000032040000}"/>
    <hyperlink ref="B539" r:id="rId1076" xr:uid="{00000000-0004-0000-0100-000033040000}"/>
    <hyperlink ref="A540" r:id="rId1077" xr:uid="{00000000-0004-0000-0100-000034040000}"/>
    <hyperlink ref="B540" r:id="rId1078" xr:uid="{00000000-0004-0000-0100-000035040000}"/>
    <hyperlink ref="A541" r:id="rId1079" xr:uid="{00000000-0004-0000-0100-000036040000}"/>
    <hyperlink ref="B541" r:id="rId1080" xr:uid="{00000000-0004-0000-0100-000037040000}"/>
    <hyperlink ref="A542" r:id="rId1081" xr:uid="{00000000-0004-0000-0100-000038040000}"/>
    <hyperlink ref="B542" r:id="rId1082" xr:uid="{00000000-0004-0000-0100-000039040000}"/>
    <hyperlink ref="A543" r:id="rId1083" xr:uid="{00000000-0004-0000-0100-00003A040000}"/>
    <hyperlink ref="B543" r:id="rId1084" xr:uid="{00000000-0004-0000-0100-00003B040000}"/>
    <hyperlink ref="A544" r:id="rId1085" xr:uid="{00000000-0004-0000-0100-00003C040000}"/>
    <hyperlink ref="B544" r:id="rId1086" xr:uid="{00000000-0004-0000-0100-00003D040000}"/>
    <hyperlink ref="A545" r:id="rId1087" xr:uid="{00000000-0004-0000-0100-00003E040000}"/>
    <hyperlink ref="B545" r:id="rId1088" xr:uid="{00000000-0004-0000-0100-00003F040000}"/>
    <hyperlink ref="A546" r:id="rId1089" xr:uid="{00000000-0004-0000-0100-000040040000}"/>
    <hyperlink ref="B546" r:id="rId1090" xr:uid="{00000000-0004-0000-0100-000041040000}"/>
    <hyperlink ref="A547" r:id="rId1091" xr:uid="{00000000-0004-0000-0100-000042040000}"/>
    <hyperlink ref="B547" r:id="rId1092" xr:uid="{00000000-0004-0000-0100-000043040000}"/>
    <hyperlink ref="A548" r:id="rId1093" xr:uid="{00000000-0004-0000-0100-000044040000}"/>
    <hyperlink ref="B548" r:id="rId1094" xr:uid="{00000000-0004-0000-0100-000045040000}"/>
    <hyperlink ref="A549" r:id="rId1095" xr:uid="{00000000-0004-0000-0100-000046040000}"/>
    <hyperlink ref="B549" r:id="rId1096" xr:uid="{00000000-0004-0000-0100-000047040000}"/>
    <hyperlink ref="A550" r:id="rId1097" xr:uid="{00000000-0004-0000-0100-000048040000}"/>
    <hyperlink ref="B550" r:id="rId1098" xr:uid="{00000000-0004-0000-0100-000049040000}"/>
    <hyperlink ref="A551" r:id="rId1099" xr:uid="{00000000-0004-0000-0100-00004A040000}"/>
    <hyperlink ref="B551" r:id="rId1100" xr:uid="{00000000-0004-0000-0100-00004B040000}"/>
    <hyperlink ref="A552" r:id="rId1101" xr:uid="{00000000-0004-0000-0100-00004C040000}"/>
    <hyperlink ref="B552" r:id="rId1102" xr:uid="{00000000-0004-0000-0100-00004D040000}"/>
    <hyperlink ref="A553" r:id="rId1103" xr:uid="{00000000-0004-0000-0100-00004E040000}"/>
    <hyperlink ref="B553" r:id="rId1104" xr:uid="{00000000-0004-0000-0100-00004F040000}"/>
    <hyperlink ref="A554" r:id="rId1105" xr:uid="{00000000-0004-0000-0100-000050040000}"/>
    <hyperlink ref="B554" r:id="rId1106" xr:uid="{00000000-0004-0000-0100-000051040000}"/>
    <hyperlink ref="A555" r:id="rId1107" xr:uid="{00000000-0004-0000-0100-000052040000}"/>
    <hyperlink ref="B555" r:id="rId1108" xr:uid="{00000000-0004-0000-0100-000053040000}"/>
    <hyperlink ref="A556" r:id="rId1109" xr:uid="{00000000-0004-0000-0100-000054040000}"/>
    <hyperlink ref="B556" r:id="rId1110" xr:uid="{00000000-0004-0000-0100-000055040000}"/>
    <hyperlink ref="A557" r:id="rId1111" xr:uid="{00000000-0004-0000-0100-000056040000}"/>
    <hyperlink ref="B557" r:id="rId1112" xr:uid="{00000000-0004-0000-0100-000057040000}"/>
    <hyperlink ref="A558" r:id="rId1113" xr:uid="{00000000-0004-0000-0100-000058040000}"/>
    <hyperlink ref="B558" r:id="rId1114" xr:uid="{00000000-0004-0000-0100-000059040000}"/>
    <hyperlink ref="A559" r:id="rId1115" xr:uid="{00000000-0004-0000-0100-00005A040000}"/>
    <hyperlink ref="B559" r:id="rId1116" xr:uid="{00000000-0004-0000-0100-00005B040000}"/>
    <hyperlink ref="A560" r:id="rId1117" xr:uid="{00000000-0004-0000-0100-00005C040000}"/>
    <hyperlink ref="B560" r:id="rId1118" xr:uid="{00000000-0004-0000-0100-00005D040000}"/>
    <hyperlink ref="A561" r:id="rId1119" xr:uid="{00000000-0004-0000-0100-00005E040000}"/>
    <hyperlink ref="B561" r:id="rId1120" xr:uid="{00000000-0004-0000-0100-00005F040000}"/>
    <hyperlink ref="A562" r:id="rId1121" xr:uid="{00000000-0004-0000-0100-000060040000}"/>
    <hyperlink ref="B562" r:id="rId1122" xr:uid="{00000000-0004-0000-0100-000061040000}"/>
    <hyperlink ref="A563" r:id="rId1123" xr:uid="{00000000-0004-0000-0100-000062040000}"/>
    <hyperlink ref="B563" r:id="rId1124" xr:uid="{00000000-0004-0000-0100-000063040000}"/>
    <hyperlink ref="A564" r:id="rId1125" xr:uid="{00000000-0004-0000-0100-000064040000}"/>
    <hyperlink ref="B564" r:id="rId1126" xr:uid="{00000000-0004-0000-0100-000065040000}"/>
    <hyperlink ref="A565" r:id="rId1127" xr:uid="{00000000-0004-0000-0100-000066040000}"/>
    <hyperlink ref="B565" r:id="rId1128" xr:uid="{00000000-0004-0000-0100-000067040000}"/>
    <hyperlink ref="A566" r:id="rId1129" xr:uid="{00000000-0004-0000-0100-000068040000}"/>
    <hyperlink ref="B566" r:id="rId1130" xr:uid="{00000000-0004-0000-0100-000069040000}"/>
    <hyperlink ref="A567" r:id="rId1131" xr:uid="{00000000-0004-0000-0100-00006A040000}"/>
    <hyperlink ref="B567" r:id="rId1132" xr:uid="{00000000-0004-0000-0100-00006B040000}"/>
    <hyperlink ref="A568" r:id="rId1133" xr:uid="{00000000-0004-0000-0100-00006C040000}"/>
    <hyperlink ref="B568" r:id="rId1134" xr:uid="{00000000-0004-0000-0100-00006D040000}"/>
    <hyperlink ref="A569" r:id="rId1135" xr:uid="{00000000-0004-0000-0100-00006E040000}"/>
    <hyperlink ref="B569" r:id="rId1136" xr:uid="{00000000-0004-0000-0100-00006F040000}"/>
    <hyperlink ref="A570" r:id="rId1137" xr:uid="{00000000-0004-0000-0100-000070040000}"/>
    <hyperlink ref="B570" r:id="rId1138" xr:uid="{00000000-0004-0000-0100-000071040000}"/>
  </hyperlinks>
  <pageMargins left="0.7" right="0.7" top="0.75" bottom="0.75" header="0.3" footer="0.3"/>
  <drawing r:id="rId113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6"/>
  <sheetViews>
    <sheetView topLeftCell="A3" workbookViewId="0">
      <selection activeCell="B24" sqref="B24"/>
    </sheetView>
  </sheetViews>
  <sheetFormatPr baseColWidth="10" defaultColWidth="12.6640625" defaultRowHeight="15.75" customHeight="1"/>
  <cols>
    <col min="2" max="2" width="46.6640625" customWidth="1"/>
  </cols>
  <sheetData>
    <row r="1" spans="1:2" ht="15.75" customHeight="1">
      <c r="A1" s="38" t="s">
        <v>1243</v>
      </c>
      <c r="B1" s="39"/>
    </row>
    <row r="2" spans="1:2" ht="15.75" customHeight="1">
      <c r="A2" s="17" t="s">
        <v>0</v>
      </c>
      <c r="B2" s="17" t="s">
        <v>1244</v>
      </c>
    </row>
    <row r="3" spans="1:2" ht="15.75" customHeight="1">
      <c r="A3" s="17" t="s">
        <v>1</v>
      </c>
      <c r="B3" s="17" t="s">
        <v>1245</v>
      </c>
    </row>
    <row r="4" spans="1:2" ht="15.75" customHeight="1">
      <c r="A4" s="17" t="s">
        <v>2</v>
      </c>
      <c r="B4" s="17" t="s">
        <v>1246</v>
      </c>
    </row>
    <row r="5" spans="1:2" ht="15.75" customHeight="1">
      <c r="A5" s="17" t="s">
        <v>3</v>
      </c>
      <c r="B5" s="17" t="s">
        <v>1247</v>
      </c>
    </row>
    <row r="6" spans="1:2" ht="15.75" customHeight="1">
      <c r="A6" s="17" t="s">
        <v>4</v>
      </c>
      <c r="B6" s="17" t="s">
        <v>1248</v>
      </c>
    </row>
    <row r="7" spans="1:2" ht="15.75" customHeight="1">
      <c r="A7" s="17" t="s">
        <v>5</v>
      </c>
      <c r="B7" s="17" t="s">
        <v>1249</v>
      </c>
    </row>
    <row r="8" spans="1:2" ht="15.75" customHeight="1">
      <c r="A8" s="17" t="s">
        <v>6</v>
      </c>
      <c r="B8" s="17" t="s">
        <v>1250</v>
      </c>
    </row>
    <row r="9" spans="1:2" ht="15.75" customHeight="1">
      <c r="A9" s="17" t="s">
        <v>7</v>
      </c>
      <c r="B9" s="17" t="s">
        <v>1251</v>
      </c>
    </row>
    <row r="10" spans="1:2" ht="15.75" customHeight="1">
      <c r="A10" s="17" t="s">
        <v>8</v>
      </c>
      <c r="B10" s="17" t="s">
        <v>1252</v>
      </c>
    </row>
    <row r="11" spans="1:2" ht="15.75" customHeight="1">
      <c r="A11" s="17" t="s">
        <v>9</v>
      </c>
      <c r="B11" s="17" t="s">
        <v>1253</v>
      </c>
    </row>
    <row r="12" spans="1:2" ht="15.75" customHeight="1">
      <c r="A12" s="17" t="s">
        <v>10</v>
      </c>
      <c r="B12" s="17" t="s">
        <v>1254</v>
      </c>
    </row>
    <row r="13" spans="1:2" ht="15.75" customHeight="1">
      <c r="A13" s="18">
        <v>0.625</v>
      </c>
      <c r="B13" s="17" t="s">
        <v>1255</v>
      </c>
    </row>
    <row r="14" spans="1:2" ht="15.75" customHeight="1">
      <c r="A14" s="17" t="s">
        <v>11</v>
      </c>
      <c r="B14" s="17" t="s">
        <v>1256</v>
      </c>
    </row>
    <row r="15" spans="1:2" ht="15.75" customHeight="1">
      <c r="A15" s="17" t="s">
        <v>12</v>
      </c>
      <c r="B15" s="17" t="s">
        <v>1257</v>
      </c>
    </row>
    <row r="16" spans="1:2" ht="15.75" customHeight="1">
      <c r="A16" s="17" t="s">
        <v>13</v>
      </c>
      <c r="B16" s="17" t="s">
        <v>1258</v>
      </c>
    </row>
    <row r="17" spans="1:2" ht="15.75" customHeight="1">
      <c r="A17" s="17" t="s">
        <v>14</v>
      </c>
      <c r="B17" s="17" t="s">
        <v>1259</v>
      </c>
    </row>
    <row r="18" spans="1:2" ht="15.75" customHeight="1">
      <c r="A18" s="17" t="s">
        <v>15</v>
      </c>
      <c r="B18" s="17" t="s">
        <v>1260</v>
      </c>
    </row>
    <row r="19" spans="1:2" ht="15.75" customHeight="1">
      <c r="A19" s="17" t="s">
        <v>16</v>
      </c>
      <c r="B19" s="17" t="s">
        <v>1261</v>
      </c>
    </row>
    <row r="20" spans="1:2" ht="15.75" customHeight="1">
      <c r="A20" s="17" t="s">
        <v>17</v>
      </c>
      <c r="B20" s="17" t="s">
        <v>1262</v>
      </c>
    </row>
    <row r="21" spans="1:2" ht="15.75" customHeight="1">
      <c r="A21" s="17" t="s">
        <v>18</v>
      </c>
      <c r="B21" s="17" t="s">
        <v>1263</v>
      </c>
    </row>
    <row r="22" spans="1:2" ht="13">
      <c r="A22" s="17" t="s">
        <v>19</v>
      </c>
      <c r="B22" s="17" t="s">
        <v>1264</v>
      </c>
    </row>
    <row r="23" spans="1:2" ht="13">
      <c r="A23" s="17" t="s">
        <v>20</v>
      </c>
      <c r="B23" s="17" t="s">
        <v>1265</v>
      </c>
    </row>
    <row r="24" spans="1:2" ht="13">
      <c r="A24" s="17" t="s">
        <v>21</v>
      </c>
      <c r="B24" s="17" t="s">
        <v>1266</v>
      </c>
    </row>
    <row r="25" spans="1:2" ht="13">
      <c r="A25" s="17" t="s">
        <v>22</v>
      </c>
      <c r="B25" s="17" t="s">
        <v>1267</v>
      </c>
    </row>
    <row r="26" spans="1:2" ht="13">
      <c r="A26" s="17" t="s">
        <v>23</v>
      </c>
      <c r="B26" s="17" t="s">
        <v>1268</v>
      </c>
    </row>
    <row r="27" spans="1:2" ht="13">
      <c r="A27" s="17" t="s">
        <v>24</v>
      </c>
      <c r="B27" s="17" t="s">
        <v>1269</v>
      </c>
    </row>
    <row r="28" spans="1:2" ht="13">
      <c r="A28" s="17" t="s">
        <v>25</v>
      </c>
      <c r="B28" s="17" t="s">
        <v>1270</v>
      </c>
    </row>
    <row r="29" spans="1:2" ht="13">
      <c r="A29" s="17" t="s">
        <v>26</v>
      </c>
      <c r="B29" s="17" t="s">
        <v>1271</v>
      </c>
    </row>
    <row r="30" spans="1:2" ht="13">
      <c r="A30" s="17" t="str">
        <f>"+ / -"</f>
        <v>+ / -</v>
      </c>
      <c r="B30" s="17" t="s">
        <v>1272</v>
      </c>
    </row>
    <row r="31" spans="1:2" ht="13">
      <c r="A31" s="17" t="s">
        <v>27</v>
      </c>
      <c r="B31" s="17" t="s">
        <v>1273</v>
      </c>
    </row>
    <row r="32" spans="1:2" ht="13">
      <c r="A32" s="17" t="s">
        <v>28</v>
      </c>
      <c r="B32" s="17" t="s">
        <v>1274</v>
      </c>
    </row>
    <row r="33" spans="1:2" ht="13">
      <c r="A33" s="17" t="s">
        <v>29</v>
      </c>
      <c r="B33" s="17" t="s">
        <v>1275</v>
      </c>
    </row>
    <row r="34" spans="1:2" ht="13">
      <c r="A34" s="17" t="s">
        <v>30</v>
      </c>
      <c r="B34" s="17" t="s">
        <v>1276</v>
      </c>
    </row>
    <row r="35" spans="1:2" ht="13">
      <c r="A35" s="17" t="s">
        <v>31</v>
      </c>
      <c r="B35" s="17" t="s">
        <v>1277</v>
      </c>
    </row>
    <row r="36" spans="1:2" ht="13">
      <c r="A36" s="17" t="s">
        <v>32</v>
      </c>
      <c r="B36" s="17" t="s">
        <v>1278</v>
      </c>
    </row>
    <row r="37" spans="1:2" ht="13">
      <c r="A37" s="17" t="s">
        <v>33</v>
      </c>
      <c r="B37" s="17" t="s">
        <v>1279</v>
      </c>
    </row>
    <row r="38" spans="1:2" ht="13">
      <c r="A38" s="17" t="s">
        <v>34</v>
      </c>
      <c r="B38" s="17" t="s">
        <v>1280</v>
      </c>
    </row>
    <row r="39" spans="1:2" ht="13">
      <c r="A39" s="17" t="s">
        <v>35</v>
      </c>
      <c r="B39" s="17" t="s">
        <v>1281</v>
      </c>
    </row>
    <row r="40" spans="1:2" ht="13">
      <c r="A40" s="17" t="s">
        <v>36</v>
      </c>
      <c r="B40" s="17" t="s">
        <v>1282</v>
      </c>
    </row>
    <row r="41" spans="1:2" ht="13">
      <c r="A41" s="17" t="s">
        <v>37</v>
      </c>
      <c r="B41" s="17" t="s">
        <v>1283</v>
      </c>
    </row>
    <row r="42" spans="1:2" ht="13">
      <c r="A42" s="17" t="s">
        <v>38</v>
      </c>
      <c r="B42" s="17" t="s">
        <v>1284</v>
      </c>
    </row>
    <row r="43" spans="1:2" ht="13">
      <c r="A43" s="17" t="s">
        <v>39</v>
      </c>
      <c r="B43" s="17" t="s">
        <v>1285</v>
      </c>
    </row>
    <row r="44" spans="1:2" ht="13">
      <c r="A44" s="17" t="s">
        <v>40</v>
      </c>
      <c r="B44" s="17" t="s">
        <v>1286</v>
      </c>
    </row>
    <row r="45" spans="1:2" ht="13">
      <c r="A45" s="17" t="s">
        <v>41</v>
      </c>
      <c r="B45" s="17" t="s">
        <v>1287</v>
      </c>
    </row>
    <row r="46" spans="1:2" ht="13">
      <c r="A46" s="17" t="s">
        <v>42</v>
      </c>
      <c r="B46" s="17" t="s">
        <v>1288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Equipe</vt:lpstr>
      <vt:lpstr>TCD</vt:lpstr>
      <vt:lpstr>Top 15</vt:lpstr>
      <vt:lpstr>Calcul des ratios</vt:lpstr>
      <vt:lpstr>Classements</vt:lpstr>
      <vt:lpstr>Données NBA</vt:lpstr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Virginie Perrier</cp:lastModifiedBy>
  <dcterms:created xsi:type="dcterms:W3CDTF">2025-10-03T09:17:53Z</dcterms:created>
  <dcterms:modified xsi:type="dcterms:W3CDTF">2025-10-07T20:26:32Z</dcterms:modified>
</cp:coreProperties>
</file>